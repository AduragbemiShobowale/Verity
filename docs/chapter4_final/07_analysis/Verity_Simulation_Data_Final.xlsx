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2.xml.rels" ContentType="application/vnd.openxmlformats-package.relationships+xml"/>
  <Override PartName="/xl/worksheets/_rels/sheet14.xml.rels" ContentType="application/vnd.openxmlformats-package.relationships+xml"/>
  <Override PartName="/xl/worksheets/_rels/sheet10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Orders" sheetId="2" state="visible" r:id="rId4"/>
    <sheet name="Customers" sheetId="3" state="visible" r:id="rId5"/>
    <sheet name="By error type" sheetId="4" state="visible" r:id="rId6"/>
    <sheet name="Confusion matrix" sheetId="5" state="visible" r:id="rId7"/>
    <sheet name="Rules" sheetId="6" state="visible" r:id="rId8"/>
    <sheet name="Timing" sheetId="7" state="visible" r:id="rId9"/>
    <sheet name="Success criteria" sheetId="8" state="visible" r:id="rId10"/>
    <sheet name="Manual baseline" sheetId="9" state="visible" r:id="rId11"/>
    <sheet name="R1 Orders" sheetId="10" state="visible" r:id="rId12"/>
    <sheet name="R1 Summary" sheetId="11" state="visible" r:id="rId13"/>
    <sheet name="R2 Orders" sheetId="12" state="visible" r:id="rId14"/>
    <sheet name="R2 Summary" sheetId="13" state="visible" r:id="rId15"/>
    <sheet name="R3 Orders" sheetId="14" state="visible" r:id="rId16"/>
    <sheet name="R3 Summary" sheetId="15" state="visible" r:id="rId17"/>
    <sheet name="Replicate range" sheetId="16" state="visible" r:id="rId18"/>
    <sheet name="Sensitivity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<sst xmlns="http://schemas.openxmlformats.org/spreadsheetml/2006/main" count="28367" uniqueCount="8495">
  <si>
    <t xml:space="preserve">Verity – 500-order validation simulation (run 4, seed 0.42)</t>
  </si>
  <si>
    <t xml:space="preserve">What this is</t>
  </si>
  <si>
    <t xml:space="preserve">500 customer orders were generated and pushed through the real Verity order functions (save_draft, submit_order) on the live database.</t>
  </si>
  <si>
    <t xml:space="preserve">Each order carries either no error ("clean") or one planted error. The system did not know which; its validation result is compared with the truth.</t>
  </si>
  <si>
    <t xml:space="preserve">The orders and the 20 customer accounts were rolled back after the run, so the live system was not changed. Only these result rows were kept.</t>
  </si>
  <si>
    <t xml:space="preserve">All company names, people, e-mails and phone numbers are fictional. E-mails use the reserved .example domain.</t>
  </si>
  <si>
    <t xml:space="preserve">Sheets</t>
  </si>
  <si>
    <t xml:space="preserve">Orders – one row per simulated order (raw data).</t>
  </si>
  <si>
    <t xml:space="preserve">Customers – the 20 fictional customer companies, with counts calculated from Orders.</t>
  </si>
  <si>
    <t xml:space="preserve">By error type – detection per planted error, calculated from Orders.</t>
  </si>
  <si>
    <t xml:space="preserve">Confusion matrix – accuracy, precision, recall, specificity and F1, calculated from Orders.</t>
  </si>
  <si>
    <t xml:space="preserve">Rules – how often each validation rule fired (counted when the run was analysed).</t>
  </si>
  <si>
    <t xml:space="preserve">Timing – server validation time statistics, calculated from Orders.</t>
  </si>
  <si>
    <t xml:space="preserve">Success criteria – project targets against the measured results.</t>
  </si>
  <si>
    <t xml:space="preserve">Manual baseline – a template to record the manual-entry comparison needed for the error-reduction and speed criteria.</t>
  </si>
  <si>
    <t xml:space="preserve">Definitions</t>
  </si>
  <si>
    <t xml:space="preserve">Outcome: pass = sent to approval; warn = passed but flagged for a person (duplicate or unusual quantity); fail = blocked, customer must fix.</t>
  </si>
  <si>
    <t xml:space="preserve">Flagged = outcome is warn or fail.</t>
  </si>
  <si>
    <t xml:space="preserve">Has rule = Yes if the error type is one a validation rule is designed to catch. No = realistic mistakes with no rule (wrong product, quantity typo, wrong address).</t>
  </si>
  <si>
    <t xml:space="preserve">Validation time = time the database took to run submit_order for the order, in milliseconds.</t>
  </si>
  <si>
    <t xml:space="preserve">Simulated day = the order's position in the run split into 10 equal blocks; it is not a real date.</t>
  </si>
  <si>
    <t xml:space="preserve">Final simulation, three replicates (added; the run 4 sheets above are unchanged)</t>
  </si>
  <si>
    <t xml:space="preserve">R1, R2 and R3 are runs 5, 6 and 7 of run_simulation_final with seeds 0.42, 0.43 and 0.44. Replicate 1 is the headline result.</t>
  </si>
  <si>
    <t xml:space="preserve">Each run has 500 orders: 15 planted error types × 20 orders, plus 200 clean orders, one error per order, automatic approval off.</t>
  </si>
  <si>
    <t xml:space="preserve">12 types are targeted by a rule. Wrong but valid product, plausible quantity typing slip and wrong saved address have no rule.</t>
  </si>
  <si>
    <t xml:space="preserve">Rn Orders: one row per order. Columns Z to AH hold 1 when that rule fired. Rn Summary: every figure is a formula over Rn Orders.</t>
  </si>
  <si>
    <t xml:space="preserve">Intervals are 95 percent Wilson score intervals. SD is the sample standard deviation (STDEV.S). Percentiles use PERCENTILE.INC.</t>
  </si>
  <si>
    <t xml:space="preserve">Validation time is the clock time of submit_order inside the database, which recalculates, validates and records the status change.</t>
  </si>
  <si>
    <t xml:space="preserve">Replicate range: minimum and maximum across the three summaries. Sensitivity: replays of replicate 1 under other unusual-quantity settings.</t>
  </si>
  <si>
    <t xml:space="preserve">Seq</t>
  </si>
  <si>
    <t xml:space="preserve">Simulated day</t>
  </si>
  <si>
    <t xml:space="preserve">Company</t>
  </si>
  <si>
    <t xml:space="preserve">Contact person</t>
  </si>
  <si>
    <t xml:space="preserve">E-mail</t>
  </si>
  <si>
    <t xml:space="preserve">Phone</t>
  </si>
  <si>
    <t xml:space="preserve">Region</t>
  </si>
  <si>
    <t xml:space="preserve">Lines</t>
  </si>
  <si>
    <t xml:space="preserve">Units</t>
  </si>
  <si>
    <t xml:space="preserve">Items (SKU × qty @ unit price)</t>
  </si>
  <si>
    <t xml:space="preserve">Subtotal (₦)</t>
  </si>
  <si>
    <t xml:space="preserve">Delivery fee (₦)</t>
  </si>
  <si>
    <t xml:space="preserve">Tax (₦)</t>
  </si>
  <si>
    <t xml:space="preserve">Total (₦)</t>
  </si>
  <si>
    <t xml:space="preserve">Planted error</t>
  </si>
  <si>
    <t xml:space="preserve">Has rule</t>
  </si>
  <si>
    <t xml:space="preserve">Outcome</t>
  </si>
  <si>
    <t xml:space="preserve">Flagged</t>
  </si>
  <si>
    <t xml:space="preserve">Status after submit</t>
  </si>
  <si>
    <t xml:space="preserve">Rules triggered</t>
  </si>
  <si>
    <t xml:space="preserve">Messages shown</t>
  </si>
  <si>
    <t xml:space="preserve">Validation time (ms)</t>
  </si>
  <si>
    <t xml:space="preserve">Greenfield Estates Nigeria</t>
  </si>
  <si>
    <t xml:space="preserve">Ngozi Eze</t>
  </si>
  <si>
    <t xml:space="preserve">ngozi.eze@greenfield7.example</t>
  </si>
  <si>
    <t xml:space="preserve">08030733103</t>
  </si>
  <si>
    <t xml:space="preserve">Lekki-Ajah</t>
  </si>
  <si>
    <t xml:space="preserve">PVC-2 × 2 @ 4,100; WIRE-25 × 3 @ 52,000; CEM-50 × 181 @ 9,500</t>
  </si>
  <si>
    <t xml:space="preserve">Clean order (no error)</t>
  </si>
  <si>
    <t xml:space="preserve">No</t>
  </si>
  <si>
    <t xml:space="preserve">warn</t>
  </si>
  <si>
    <t xml:space="preserve">pending_approval</t>
  </si>
  <si>
    <t xml:space="preserve">Unusual quantity</t>
  </si>
  <si>
    <t xml:space="preserve">Cement, 50 kg bag: 181 is far above this customer's usual 23.</t>
  </si>
  <si>
    <t xml:space="preserve">Adeyemi &amp; Sons Construction Ltd</t>
  </si>
  <si>
    <t xml:space="preserve">Folake Adeyemi</t>
  </si>
  <si>
    <t xml:space="preserve">folake.adeyemi@adeyemi1.example</t>
  </si>
  <si>
    <t xml:space="preserve">08030104729</t>
  </si>
  <si>
    <t xml:space="preserve">Ikeja</t>
  </si>
  <si>
    <t xml:space="preserve">TIL-6060 × 47 @ 14,500</t>
  </si>
  <si>
    <t xml:space="preserve">pass</t>
  </si>
  <si>
    <t xml:space="preserve">Bodija Interiors</t>
  </si>
  <si>
    <t xml:space="preserve">Segun Olatunji</t>
  </si>
  <si>
    <t xml:space="preserve">segun.olatunji@bodija16.example</t>
  </si>
  <si>
    <t xml:space="preserve">08031675664</t>
  </si>
  <si>
    <t xml:space="preserve">Ibadan</t>
  </si>
  <si>
    <t xml:space="preserve">PNT-20W × 18 @ 38,000</t>
  </si>
  <si>
    <t xml:space="preserve">Wrong (but valid) product chosen</t>
  </si>
  <si>
    <t xml:space="preserve">Surulere Paint &amp; Finish</t>
  </si>
  <si>
    <t xml:space="preserve">Uche Nwosu</t>
  </si>
  <si>
    <t xml:space="preserve">uche.nwosu@surulere12.example</t>
  </si>
  <si>
    <t xml:space="preserve">08031256748</t>
  </si>
  <si>
    <t xml:space="preserve">Lagos Mainland</t>
  </si>
  <si>
    <t xml:space="preserve">PVC-2 × 2 @ 4,100; NAIL-3 × 14 @ 31,000; CEM-50 × 9 @ 9,500</t>
  </si>
  <si>
    <t xml:space="preserve">Quantity below minimum</t>
  </si>
  <si>
    <t xml:space="preserve">Yes</t>
  </si>
  <si>
    <t xml:space="preserve">fail</t>
  </si>
  <si>
    <t xml:space="preserve">validation_failed</t>
  </si>
  <si>
    <t xml:space="preserve">Quantity limits</t>
  </si>
  <si>
    <t xml:space="preserve">Cement, 50 kg bag: quantity must be between 10 and 2000.</t>
  </si>
  <si>
    <t xml:space="preserve">Ola-Ade Hardware &amp; Tiles</t>
  </si>
  <si>
    <t xml:space="preserve">Babatunde Oladipo</t>
  </si>
  <si>
    <t xml:space="preserve">babatunde.oladipo@olaade8.example</t>
  </si>
  <si>
    <t xml:space="preserve">08030837832</t>
  </si>
  <si>
    <t xml:space="preserve">PNT-20W × 15 @ 38,000; PNT-20C × 7 @ 38,000; CEM-50 × 95 @ 9,500</t>
  </si>
  <si>
    <t xml:space="preserve">Delivery date in the past</t>
  </si>
  <si>
    <t xml:space="preserve">Delivery date &amp; address, Unusual quantity</t>
  </si>
  <si>
    <t xml:space="preserve">The delivery date is in the past. | Cement, 50 kg bag: 95 is far above this customer's usual 23.</t>
  </si>
  <si>
    <t xml:space="preserve">Duplicate order</t>
  </si>
  <si>
    <t xml:space="preserve">draft</t>
  </si>
  <si>
    <t xml:space="preserve">This looks like a repeat of ORD-3195. Confirm it is a new order.</t>
  </si>
  <si>
    <t xml:space="preserve">Magodo Residential Ltd</t>
  </si>
  <si>
    <t xml:space="preserve">Funmilayo Adeleke</t>
  </si>
  <si>
    <t xml:space="preserve">funmilayo.adeleke@magodo19.example</t>
  </si>
  <si>
    <t xml:space="preserve">08031989851</t>
  </si>
  <si>
    <t xml:space="preserve">PNT-20C × 9 @ 38,000</t>
  </si>
  <si>
    <t xml:space="preserve">Yaba Tech Hub Builders</t>
  </si>
  <si>
    <t xml:space="preserve">Emeka Okafor</t>
  </si>
  <si>
    <t xml:space="preserve">emeka.okafor@yaba18.example</t>
  </si>
  <si>
    <t xml:space="preserve">08031885122</t>
  </si>
  <si>
    <t xml:space="preserve">CEM-50 × 203 @ 9,500</t>
  </si>
  <si>
    <t xml:space="preserve">Plausible quantity typo (20 → 200)</t>
  </si>
  <si>
    <t xml:space="preserve">Cement, 50 kg bag: 203 is far above this customer's usual 23.</t>
  </si>
  <si>
    <t xml:space="preserve">Gwarinpa Homes Ltd</t>
  </si>
  <si>
    <t xml:space="preserve">Fatima Sani</t>
  </si>
  <si>
    <t xml:space="preserve">fatima.sani@gwarinpa15.example</t>
  </si>
  <si>
    <t xml:space="preserve">08031570935</t>
  </si>
  <si>
    <t xml:space="preserve">Abuja</t>
  </si>
  <si>
    <t xml:space="preserve">PNT-20W × 19 @ 38,000; PNT-20C × 2 @ 38,000; CEM-50 × 26 @ 9,500</t>
  </si>
  <si>
    <t xml:space="preserve">Wrong saved address chosen</t>
  </si>
  <si>
    <t xml:space="preserve">Victoria Island Fit-Out Ltd</t>
  </si>
  <si>
    <t xml:space="preserve">Chiamaka Obi</t>
  </si>
  <si>
    <t xml:space="preserve">chiamaka.obi@victoria17.example</t>
  </si>
  <si>
    <t xml:space="preserve">08031780393</t>
  </si>
  <si>
    <t xml:space="preserve">Lagos Island</t>
  </si>
  <si>
    <t xml:space="preserve">CEM-50 × 119 @ 9,500</t>
  </si>
  <si>
    <t xml:space="preserve">Cement, 50 kg bag: 119 is far above this customer's usual 23.</t>
  </si>
  <si>
    <t xml:space="preserve">ROOF-AL × 30 @ 12,500; ROD-16 × 70 @ 11,800</t>
  </si>
  <si>
    <t xml:space="preserve">Ajah Sunrise Housing Co-op</t>
  </si>
  <si>
    <t xml:space="preserve">Blessing Okoro</t>
  </si>
  <si>
    <t xml:space="preserve">blessing.okoro@ajah14.example</t>
  </si>
  <si>
    <t xml:space="preserve">08031466206</t>
  </si>
  <si>
    <t xml:space="preserve">SAND-T × 1 @ 185,000; ROOF-AL × 36 @ 12,500; WIRE-25 × 7 @ 52,000; CEM-50 × 27 @ 9,500</t>
  </si>
  <si>
    <t xml:space="preserve">Discontinued product</t>
  </si>
  <si>
    <t xml:space="preserve">SKU / product active, Stock availability</t>
  </si>
  <si>
    <t xml:space="preserve">SAND-T is no longer sold. Remove it. | Sharp sand, 20 tonne trip is out of stock.</t>
  </si>
  <si>
    <t xml:space="preserve">This looks like a repeat of ORD-3204. Confirm it is a new order.</t>
  </si>
  <si>
    <t xml:space="preserve">ROOF-AL × 11 @ 12,500; TIL-6060 × 16 @ 14,500; PNT-20C × 1 @ 38,000</t>
  </si>
  <si>
    <t xml:space="preserve">Lekki Coastal Developers</t>
  </si>
  <si>
    <t xml:space="preserve">Amina Bello</t>
  </si>
  <si>
    <t xml:space="preserve">amina.bello@lekki4.example</t>
  </si>
  <si>
    <t xml:space="preserve">08030418916</t>
  </si>
  <si>
    <t xml:space="preserve">SAND-T × 1 @ 185,000; ROOF-AL × 20 @ 12,500; PNT-20W × 16 @ 38,000; PNT-20C × 8 @ 38,000</t>
  </si>
  <si>
    <t xml:space="preserve">Oyo Central Builders</t>
  </si>
  <si>
    <t xml:space="preserve">Adewale Akinyemi</t>
  </si>
  <si>
    <t xml:space="preserve">adewale.akinyemi@oyo10.example</t>
  </si>
  <si>
    <t xml:space="preserve">08031047290</t>
  </si>
  <si>
    <t xml:space="preserve">(none)</t>
  </si>
  <si>
    <t xml:space="preserve">PNT-20W × 18 @ 38,000; WIRE-25 × 6 @ 52,000</t>
  </si>
  <si>
    <t xml:space="preserve">Missing delivery address</t>
  </si>
  <si>
    <t xml:space="preserve">Mandatory fields</t>
  </si>
  <si>
    <t xml:space="preserve">Choose a delivery address.</t>
  </si>
  <si>
    <t xml:space="preserve">ROOF-AL × 44 @ 12,500; WIRE-25 × 5 @ 52,000; ROD-16 × 27 @ 11,800</t>
  </si>
  <si>
    <t xml:space="preserve">Fractional quantity</t>
  </si>
  <si>
    <t xml:space="preserve">CEM-50 - Quantity must be a whole number</t>
  </si>
  <si>
    <t xml:space="preserve">Marina Point Facilities</t>
  </si>
  <si>
    <t xml:space="preserve">Kemi Lawson</t>
  </si>
  <si>
    <t xml:space="preserve">kemi.lawson@marina11.example</t>
  </si>
  <si>
    <t xml:space="preserve">08031152019</t>
  </si>
  <si>
    <t xml:space="preserve">PVC-4 × 53 @ 8,600; TIL-6060 × 820 @ 14,500</t>
  </si>
  <si>
    <t xml:space="preserve">Quantity above maximum</t>
  </si>
  <si>
    <t xml:space="preserve">Quantity limits, Stock availability</t>
  </si>
  <si>
    <t xml:space="preserve">Floor tile 60x60, carton: quantity must be between 2 and 800. | Floor tile 60x60, carton: not enough stock for this quantity. Reduce it.</t>
  </si>
  <si>
    <t xml:space="preserve">PNT-20C × 3 @ 38,000</t>
  </si>
  <si>
    <t xml:space="preserve">ROD-16 × 33 @ 11,800</t>
  </si>
  <si>
    <t xml:space="preserve">ROD-12 × 65 @ 7,200; CEM-50 × 60 @ 9,500</t>
  </si>
  <si>
    <t xml:space="preserve">Iron rod, 12 mm: 65 is far above this customer's usual 13.</t>
  </si>
  <si>
    <t xml:space="preserve">Ibadan Prime Homes Ltd</t>
  </si>
  <si>
    <t xml:space="preserve">Oluwaseun Afolabi</t>
  </si>
  <si>
    <t xml:space="preserve">oluwaseun.afolabi@ibadan3.example</t>
  </si>
  <si>
    <t xml:space="preserve">08030314187</t>
  </si>
  <si>
    <t xml:space="preserve">PVC-4 × 27 @ 8,600; ROOF-AL × 57 @ 12,500; ROD-12 × 126 @ 7,200; ROD-16 × 301 @ 11,800</t>
  </si>
  <si>
    <t xml:space="preserve">Quantity above available stock</t>
  </si>
  <si>
    <t xml:space="preserve">Stock availability, Unusual quantity</t>
  </si>
  <si>
    <t xml:space="preserve">Iron rod, 16 mm: not enough stock for this quantity. Reduce it. | Iron rod, 12 mm: 126 is far above this customer's usual 13.</t>
  </si>
  <si>
    <t xml:space="preserve">PVC-2 × 2 @ 4,100; ROD-16 × 14 @ 11,800</t>
  </si>
  <si>
    <t xml:space="preserve">ROD-12 × 109 @ 7,200; PVC-2 × 2 @ 4,100; NAIL-3 × 13 @ 31,000</t>
  </si>
  <si>
    <t xml:space="preserve">Iron rod, 12 mm: 109 is far above this customer's usual 13.</t>
  </si>
  <si>
    <t xml:space="preserve">Apapa Port Works Supplies</t>
  </si>
  <si>
    <t xml:space="preserve">Garba Usman</t>
  </si>
  <si>
    <t xml:space="preserve">garba.usman@apapa20.example</t>
  </si>
  <si>
    <t xml:space="preserve">08032094580</t>
  </si>
  <si>
    <t xml:space="preserve">PVC-4 × 32 @ 8,600; ROOF-AL × 61 @ 12,500; TIL-6060 × 40 @ 14,500</t>
  </si>
  <si>
    <t xml:space="preserve">CEM-50 × 104 @ 9,500</t>
  </si>
  <si>
    <t xml:space="preserve">Quantity limits, Unusual quantity</t>
  </si>
  <si>
    <t xml:space="preserve">PVC-4 - Quantity must be a whole number | Cement, 50 kg bag: 104 is far above this customer's usual 23.</t>
  </si>
  <si>
    <t xml:space="preserve">PVC-4 × 60 @ 8,600</t>
  </si>
  <si>
    <t xml:space="preserve">Eko Bridge Contractors</t>
  </si>
  <si>
    <t xml:space="preserve">Tolulope Ogunleye</t>
  </si>
  <si>
    <t xml:space="preserve">tolulope.ogunleye@eko6.example</t>
  </si>
  <si>
    <t xml:space="preserve">08030628374</t>
  </si>
  <si>
    <t xml:space="preserve">PVC-4 × 61 @ 8,600; PVC-2 × 2 @ 4,100; NAIL-3 × 5 @ 31,000</t>
  </si>
  <si>
    <t xml:space="preserve">Northgate Realty Abuja</t>
  </si>
  <si>
    <t xml:space="preserve">Ibrahim Musa</t>
  </si>
  <si>
    <t xml:space="preserve">ibrahim.musa@northgate5.example</t>
  </si>
  <si>
    <t xml:space="preserve">08030523645</t>
  </si>
  <si>
    <t xml:space="preserve">ROOF-AL × 56 @ 12,500; PNT-20W × 15 @ 38,000; WIRE-25 × 13 @ 52,000</t>
  </si>
  <si>
    <t xml:space="preserve">PVC-4 × 14 @ 8,600; ROOF-AL × 31 @ 12,500; NAIL-3 × 4 @ 31,000; ROD-16 × 1016 @ 11,800</t>
  </si>
  <si>
    <t xml:space="preserve">Iron rod, 16 mm: quantity must be between 5 and 1000. | Iron rod, 16 mm: not enough stock for this quantity. Reduce it.</t>
  </si>
  <si>
    <t xml:space="preserve">Kanu Brothers Building Supplies</t>
  </si>
  <si>
    <t xml:space="preserve">Chukwuemeka Kanu</t>
  </si>
  <si>
    <t xml:space="preserve">chukwuemeka.kanu@kanu2.example</t>
  </si>
  <si>
    <t xml:space="preserve">08030209458</t>
  </si>
  <si>
    <t xml:space="preserve">PNT-20C × 6 @ 38,000; PVC-2 × 2 @ 4,100; NAIL-3 × 6 @ 31,000</t>
  </si>
  <si>
    <t xml:space="preserve">PVC-2 × 2 @ 4,100; NAIL-3 × 5 @ 31,000; WIRE-25 × 11 @ 52,000</t>
  </si>
  <si>
    <t xml:space="preserve">TIL-6060 × 29 @ 14,500</t>
  </si>
  <si>
    <t xml:space="preserve">line - Quantity must be a whole number</t>
  </si>
  <si>
    <t xml:space="preserve">ROD-12 × 123 @ 7,200</t>
  </si>
  <si>
    <t xml:space="preserve">Iron rod, 12 mm: 123 is far above this customer's usual 13.</t>
  </si>
  <si>
    <t xml:space="preserve">PVC-4 × 251 @ 8,600; WIRE-25 × 12 @ 52,000</t>
  </si>
  <si>
    <t xml:space="preserve">Stock availability</t>
  </si>
  <si>
    <t xml:space="preserve">PVC pipe, 4 inch, 6 m: not enough stock for this quantity. Reduce it.</t>
  </si>
  <si>
    <t xml:space="preserve">TIL-6060 × 48 @ 14,500; PVC-2 × 2 @ 4,100</t>
  </si>
  <si>
    <t xml:space="preserve">PVC-4 × 44 @ 8,600; ROOF-AL × 39 @ 12,500; PNT-20C × 8 @ 38,000</t>
  </si>
  <si>
    <t xml:space="preserve">Agege Steel Works</t>
  </si>
  <si>
    <t xml:space="preserve">Yusuf Adebanjo</t>
  </si>
  <si>
    <t xml:space="preserve">yusuf.adebanjo@agege13.example</t>
  </si>
  <si>
    <t xml:space="preserve">08031361477</t>
  </si>
  <si>
    <t xml:space="preserve">ROOF-AL × 43 @ 12,500; ROD-12 × 68 @ 7,200; PNT-20C × 6 @ 38,000</t>
  </si>
  <si>
    <t xml:space="preserve">Iron rod, 12 mm: 68 is far above this customer's usual 13.</t>
  </si>
  <si>
    <t xml:space="preserve">PNT-20W × 14 @ 38,000</t>
  </si>
  <si>
    <t xml:space="preserve">ROOF-AL × 45 @ 12,500; TIL-6060 × 57 @ 14,500; PVC-2 × 2 @ 4,100</t>
  </si>
  <si>
    <t xml:space="preserve">TIL-6060 × 14 @ 14,500; NAIL-3 × 9 @ 31,000</t>
  </si>
  <si>
    <t xml:space="preserve">TIL-6060 × 78 @ 14,500; ROD-12 × 22 @ 7,200</t>
  </si>
  <si>
    <t xml:space="preserve">ROOF-AL × 57 @ 12,500; ROD-12 × 64 @ 7,200; PVC-2 × 2 @ 4,100</t>
  </si>
  <si>
    <t xml:space="preserve">Missing delivery date</t>
  </si>
  <si>
    <t xml:space="preserve">Choose a delivery date.</t>
  </si>
  <si>
    <t xml:space="preserve">PVC-4 × 61 @ 8,600; ROD-12 × 48 @ 7,200; PVC-2 × 2 @ 4,100</t>
  </si>
  <si>
    <t xml:space="preserve">Iron rod, 12 mm: 48 is far above this customer's usual 13.</t>
  </si>
  <si>
    <t xml:space="preserve">TIL-6060 × 822 @ 14,500; WIRE-25 × 14 @ 52,000; CEM-50 × 93 @ 9,500</t>
  </si>
  <si>
    <t xml:space="preserve">Quantity limits, Stock availability, Unusual quantity</t>
  </si>
  <si>
    <t xml:space="preserve">Floor tile 60x60, carton: quantity must be between 2 and 800. | Floor tile 60x60, carton: not enough stock for this quantity. Reduce it. | Cement, 50 kg bag: 93 is far above this customer's usual 23.</t>
  </si>
  <si>
    <t xml:space="preserve">PNT-20W × 1 @ 38,000; ROD-12 × 131 @ 7,200; NAIL-3 × 7 @ 31,000</t>
  </si>
  <si>
    <t xml:space="preserve">Iron rod, 12 mm: 131 is far above this customer's usual 13.</t>
  </si>
  <si>
    <t xml:space="preserve">ROOF-AL × 72 @ 12,500; ROD-16 × 49 @ 11,800</t>
  </si>
  <si>
    <t xml:space="preserve">TIL-6060 × 84 @ 14,500; PVC-2 × 2 @ 4,100</t>
  </si>
  <si>
    <t xml:space="preserve">This looks like a repeat of ORD-3241. Confirm it is a new order.</t>
  </si>
  <si>
    <t xml:space="preserve">PVC-4 × 54 @ 8,600; NAIL-3 × 8 @ 31,000; WIRE-25 × 6 @ 52,000</t>
  </si>
  <si>
    <t xml:space="preserve">Zuma Rock Engineering</t>
  </si>
  <si>
    <t xml:space="preserve">Hauwa Abdullahi</t>
  </si>
  <si>
    <t xml:space="preserve">hauwa.abdullahi@zuma9.example</t>
  </si>
  <si>
    <t xml:space="preserve">08030942561</t>
  </si>
  <si>
    <t xml:space="preserve">TIL-6060 × 87 @ 14,500; PVC-2 × 10 @ 4,100</t>
  </si>
  <si>
    <t xml:space="preserve">PVC pipe, 2 inch, 6 m: only 9 left. Reduce the quantity.</t>
  </si>
  <si>
    <t xml:space="preserve">PVC-4 × 46 @ 8,600</t>
  </si>
  <si>
    <t xml:space="preserve">ROOF-AL × 63 @ 12,500; CEM-50 × 36 @ 9,500</t>
  </si>
  <si>
    <t xml:space="preserve">PVC-4 × 5 @ 8,600; PVC-2 × 2 @ 4,100; CEM-50 × 64 @ 9,500</t>
  </si>
  <si>
    <t xml:space="preserve">SAND-T × 1 @ 185,000; ROD-12 × 129 @ 7,200</t>
  </si>
  <si>
    <t xml:space="preserve">SKU / product active, Stock availability, Unusual quantity</t>
  </si>
  <si>
    <t xml:space="preserve">SAND-T is no longer sold. Remove it. | Sharp sand, 20 tonne trip is out of stock. | Iron rod, 12 mm: 129 is far above this customer's usual 13.</t>
  </si>
  <si>
    <t xml:space="preserve">TIL-6060 × 86 @ 14,500; ROD-12 × 38 @ 7,200; NAIL-3 × 3 @ 31,000</t>
  </si>
  <si>
    <t xml:space="preserve">SAND-T × 1 @ 185,000; PVC-2 × 2 @ 4,100</t>
  </si>
  <si>
    <t xml:space="preserve">PNT-20C × 6 @ 38,000; WIRE-25 × 8 @ 52,000; CEM-50 × 9 @ 9,500</t>
  </si>
  <si>
    <t xml:space="preserve">ROD-16 × 54 @ 11,800</t>
  </si>
  <si>
    <t xml:space="preserve">Delivery date &amp; address</t>
  </si>
  <si>
    <t xml:space="preserve">The delivery date is in the past.</t>
  </si>
  <si>
    <t xml:space="preserve">PVC-2 × 2 @ 4,100</t>
  </si>
  <si>
    <t xml:space="preserve">CEM-50 × 211 @ 9,500</t>
  </si>
  <si>
    <t xml:space="preserve">Cement, 50 kg bag: 211 is far above this customer's usual 23.</t>
  </si>
  <si>
    <t xml:space="preserve">This looks like a repeat of ORD-3255. Confirm it is a new order.</t>
  </si>
  <si>
    <t xml:space="preserve">ROOF-AL × 65 @ 12,500; WIRE-25 × 4 @ 52,000; ROD-16 × 51 @ 11,800</t>
  </si>
  <si>
    <t xml:space="preserve">PNT-20W × 3 @ 38,000</t>
  </si>
  <si>
    <t xml:space="preserve">PNT-20W × 10 @ 38,000; PNT-20C × 3 @ 38,000; ROD-16 × 5 @ 11,800</t>
  </si>
  <si>
    <t xml:space="preserve">PVC-4 - Quantity must be a whole number</t>
  </si>
  <si>
    <t xml:space="preserve">PNT-20W × 2 @ 38,000</t>
  </si>
  <si>
    <t xml:space="preserve">ROD-12 - Quantity must be a whole number</t>
  </si>
  <si>
    <t xml:space="preserve">ROD-16 × 55 @ 11,800</t>
  </si>
  <si>
    <t xml:space="preserve">NAIL-3 × 8 @ 31,000; WIRE-25 × 10 @ 52,000; CEM-50 × 54 @ 9,500</t>
  </si>
  <si>
    <t xml:space="preserve">ROOF-AL × 9 @ 12,500; PNT-20W × 20 @ 38,000; NAIL-3 × 11 @ 31,000; WIRE-25 × 4 @ 52,000</t>
  </si>
  <si>
    <t xml:space="preserve">Aluminium roofing sheet, 0.55 mm: quantity must be between 10 and 1000.</t>
  </si>
  <si>
    <t xml:space="preserve">NAIL-3 × 14 @ 31,000; WIRE-25 × 6 @ 52,000; CEM-50 × 54 @ 9,500</t>
  </si>
  <si>
    <t xml:space="preserve">TIL-6060 × 840 @ 14,500; PVC-2 × 2 @ 4,100; WIRE-25 × 13 @ 52,000; ROD-16 × 62 @ 11,800</t>
  </si>
  <si>
    <t xml:space="preserve">TIL-6060 × 69 @ 14,500; PNT-20W × 8 @ 38,000; NAIL-3 × 14 @ 31,000; XX-855 × None (not in catalogue)</t>
  </si>
  <si>
    <t xml:space="preserve">SKU not in catalogue</t>
  </si>
  <si>
    <t xml:space="preserve">SKU / product active</t>
  </si>
  <si>
    <t xml:space="preserve">Row 3: XX-855 - not in the catalogue</t>
  </si>
  <si>
    <t xml:space="preserve">ROD-12 × 143 @ 7,200; PNT-20C × 2 @ 38,000</t>
  </si>
  <si>
    <t xml:space="preserve">Iron rod, 12 mm: 143 is far above this customer's usual 13.</t>
  </si>
  <si>
    <t xml:space="preserve">NAIL-3 × 2 @ 31,000</t>
  </si>
  <si>
    <t xml:space="preserve">ROOF-AL × 49 @ 12,500</t>
  </si>
  <si>
    <t xml:space="preserve">NAIL-3 × 2 @ 31,000; ROD-16 × 24 @ 11,800</t>
  </si>
  <si>
    <t xml:space="preserve">NAIL-3 × 12 @ 31,000; WIRE-25 × 3 @ 52,000; ROD-16 × 6 @ 11,800</t>
  </si>
  <si>
    <t xml:space="preserve">WIRE-25 × 14 @ 52,000</t>
  </si>
  <si>
    <t xml:space="preserve">ROD-12 × 98 @ 7,200; PVC-2 × 1 @ 4,100</t>
  </si>
  <si>
    <t xml:space="preserve">PVC pipe, 2 inch, 6 m: quantity must be between 2 and 500. | Iron rod, 12 mm: 98 is far above this customer's usual 14.</t>
  </si>
  <si>
    <t xml:space="preserve">SAND-T × 1 @ 185,000; TIL-6060 × 40 @ 14,500</t>
  </si>
  <si>
    <t xml:space="preserve">PVC-4 × 16 @ 8,600; ROOF-AL × 71 @ 12,500</t>
  </si>
  <si>
    <t xml:space="preserve">TIL-6060 × 48 @ 14,500</t>
  </si>
  <si>
    <t xml:space="preserve">This looks like a repeat of ORD-3280. Confirm it is a new order.</t>
  </si>
  <si>
    <t xml:space="preserve">ROOF-AL × 40 @ 12,500</t>
  </si>
  <si>
    <t xml:space="preserve">PVC-4 × 37 @ 8,600; PNT-20C × 9 @ 38,000; ROD-16 × 4 @ 11,800</t>
  </si>
  <si>
    <t xml:space="preserve">Iron rod, 16 mm: quantity must be between 5 and 1000.</t>
  </si>
  <si>
    <t xml:space="preserve">PVC-4 × 42 @ 8,600; ROD-12 × 95 @ 7,200; NAIL-3 × 8 @ 31,000</t>
  </si>
  <si>
    <t xml:space="preserve">Iron rod, 12 mm: 95 is far above this customer's usual 13.</t>
  </si>
  <si>
    <t xml:space="preserve">ROOF-AL × 18 @ 12,500; XX-479 × None (not in catalogue)</t>
  </si>
  <si>
    <t xml:space="preserve">Row 3: XX-479 - not in the catalogue</t>
  </si>
  <si>
    <t xml:space="preserve">PNT-20W × 29 @ 38,000; ROD-16 × 39 @ 11,800; CEM-50 × 20 @ 9,500; XX-926 × None (not in catalogue)</t>
  </si>
  <si>
    <t xml:space="preserve">Row 3: XX-926 - not in the catalogue</t>
  </si>
  <si>
    <t xml:space="preserve">PNT-20W × 22 @ 38,000</t>
  </si>
  <si>
    <t xml:space="preserve">WIRE-25 × 14 @ 52,000; ROD-16 × 33 @ 11,800</t>
  </si>
  <si>
    <t xml:space="preserve">ROOF-AL × 29 @ 12,500; PVC-2 × 2 @ 4,100</t>
  </si>
  <si>
    <t xml:space="preserve">This looks like a repeat of ORD-3290. Confirm it is a new order.</t>
  </si>
  <si>
    <t xml:space="preserve">PVC-4 × 15 @ 8,600; PVC-2 × 543 @ 4,100</t>
  </si>
  <si>
    <t xml:space="preserve">PVC pipe, 2 inch, 6 m: quantity must be between 2 and 500. | PVC pipe, 2 inch, 6 m: only 9 left. Reduce the quantity.</t>
  </si>
  <si>
    <t xml:space="preserve">PVC-4 × 1 @ 8,600; TIL-6060 × 48 @ 14,500; PVC-2 × 2 @ 4,100; WIRE-25 × 6 @ 52,000</t>
  </si>
  <si>
    <t xml:space="preserve">PVC pipe, 4 inch, 6 m: quantity must be between 2 and 500.</t>
  </si>
  <si>
    <t xml:space="preserve">PNT-20W × 21 @ 38,000; ROD-12 × 108 @ 7,200; PNT-20C × 5 @ 38,000</t>
  </si>
  <si>
    <t xml:space="preserve">The delivery date is in the past. | Iron rod, 12 mm: 108 is far above this customer's usual 13.</t>
  </si>
  <si>
    <t xml:space="preserve">NAIL-3 × 5 @ 31,000; WIRE-25 × 8 @ 52,000</t>
  </si>
  <si>
    <t xml:space="preserve">PVC-4 × 7 @ 8,600; ROD-12 × 586 @ 7,200</t>
  </si>
  <si>
    <t xml:space="preserve">Iron rod, 12 mm: not enough stock for this quantity. Reduce it. | Iron rod, 12 mm: 586 is far above this customer's usual 35.</t>
  </si>
  <si>
    <t xml:space="preserve">ROD-12 × 137 @ 7,200; ROD-16 × 30 @ 11,800; CEM-50 × 44 @ 9,500</t>
  </si>
  <si>
    <t xml:space="preserve">Iron rod, 12 mm: 137 is far above this customer's usual 23.</t>
  </si>
  <si>
    <t xml:space="preserve">ROOF-AL × 27 @ 12,500; PNT-20C × 8 @ 38,000; ROD-16 × 29 @ 11,800</t>
  </si>
  <si>
    <t xml:space="preserve">ROOF-AL × 73 @ 12,500; TIL-6060 × 66 @ 14,500; WIRE-25 × 8 @ 52,000</t>
  </si>
  <si>
    <t xml:space="preserve">PVC-4 × 33 @ 8,600; TIL-6060 × 29 @ 14,500; PVC-2 × 10 @ 4,100; CEM-50 × 24 @ 9,500</t>
  </si>
  <si>
    <t xml:space="preserve">ROD-12 × 45 @ 7,200; CEM-50 × 9 @ 9,500</t>
  </si>
  <si>
    <t xml:space="preserve">Cement, 50 kg bag: quantity must be between 10 and 2000. | Iron rod, 12 mm: 45 is far above this customer's usual 13.</t>
  </si>
  <si>
    <t xml:space="preserve">PNT-20W × 26 @ 38,000</t>
  </si>
  <si>
    <t xml:space="preserve">ROD-12 × 5 @ 7,200; WIRE-25 × 15 @ 52,000; ROD-16 × 74 @ 11,800</t>
  </si>
  <si>
    <t xml:space="preserve">WIRE-25 × 11 @ 52,000</t>
  </si>
  <si>
    <t xml:space="preserve">PNT-20C × 9 @ 38,000; ROD-16 × 4 @ 11,800</t>
  </si>
  <si>
    <t xml:space="preserve">PNT-20W × 2 @ 38,000; NAIL-3 × 13 @ 31,000</t>
  </si>
  <si>
    <t xml:space="preserve">PVC-2 - Quantity must be a whole number</t>
  </si>
  <si>
    <t xml:space="preserve">CEM-50 × 209 @ 9,500</t>
  </si>
  <si>
    <t xml:space="preserve">Cement, 50 kg bag: 209 is far above this customer's usual 23.</t>
  </si>
  <si>
    <t xml:space="preserve">PVC-4 × 47 @ 8,600; PNT-20W × 24 @ 38,000; ROD-16 × 36 @ 11,800</t>
  </si>
  <si>
    <t xml:space="preserve">ROOF-AL × 23 @ 12,500; ROD-12 × 586 @ 7,200; NAIL-3 × 9 @ 31,000; ROD-16 × 28 @ 11,800</t>
  </si>
  <si>
    <t xml:space="preserve">Iron rod, 12 mm: not enough stock for this quantity. Reduce it. | Iron rod, 12 mm: 586 is far above this customer's usual 13.</t>
  </si>
  <si>
    <t xml:space="preserve">TIL-6060 × 18 @ 14,500; PNT-20W × 19 @ 38,000; PVC-2 × 2 @ 4,100</t>
  </si>
  <si>
    <t xml:space="preserve">PVC-4 × 1 @ 8,600; NAIL-3 × 4 @ 31,000</t>
  </si>
  <si>
    <t xml:space="preserve">ROD-12 × 29 @ 7,200; PVC-2 × 2 @ 4,100; XX-433 × None (not in catalogue)</t>
  </si>
  <si>
    <t xml:space="preserve">Row 3: XX-433 - not in the catalogue</t>
  </si>
  <si>
    <t xml:space="preserve">ROOF-AL × 31 @ 12,500; WIRE-25 × 3 @ 52,000; XX-724 × None (not in catalogue)</t>
  </si>
  <si>
    <t xml:space="preserve">Row 3: XX-724 - not in the catalogue</t>
  </si>
  <si>
    <t xml:space="preserve">TIL-6060 × 10 @ 14,500; PNT-20C × 6 @ 38,000; PVC-2 × 2 @ 4,100</t>
  </si>
  <si>
    <t xml:space="preserve">TIL-6060 × 21 @ 14,500</t>
  </si>
  <si>
    <t xml:space="preserve">ROOF-AL - Quantity must be a whole number</t>
  </si>
  <si>
    <t xml:space="preserve">PVC-4 × 13 @ 8,600; TIL-6060 × 26 @ 14,500</t>
  </si>
  <si>
    <t xml:space="preserve">CEM-50 × 207 @ 9,500</t>
  </si>
  <si>
    <t xml:space="preserve">Cement, 50 kg bag: 207 is far above this customer's usual 23.</t>
  </si>
  <si>
    <t xml:space="preserve">CEM-50 × 219 @ 9,500</t>
  </si>
  <si>
    <t xml:space="preserve">Cement, 50 kg bag: 219 is far above this customer's usual 23.</t>
  </si>
  <si>
    <t xml:space="preserve">PVC-4 × 14 @ 8,600</t>
  </si>
  <si>
    <t xml:space="preserve">ROD-16 × 74 @ 11,800; CEM-50 × 81 @ 9,500</t>
  </si>
  <si>
    <t xml:space="preserve">Cement, 50 kg bag: 81 is far above this customer's usual 23.</t>
  </si>
  <si>
    <t xml:space="preserve">PVC-4 × 7 @ 8,600</t>
  </si>
  <si>
    <t xml:space="preserve">PVC-4 × 32 @ 8,600; SAND-T × 1 @ 185,000; PNT-20C × 1 @ 38,000</t>
  </si>
  <si>
    <t xml:space="preserve">NAIL-3 × 10 @ 31,000</t>
  </si>
  <si>
    <t xml:space="preserve">NAIL-3 × 11 @ 31,000; XX-239 × None (not in catalogue)</t>
  </si>
  <si>
    <t xml:space="preserve">Row 3: XX-239 - not in the catalogue</t>
  </si>
  <si>
    <t xml:space="preserve">PVC-2 × 9 @ 4,100</t>
  </si>
  <si>
    <t xml:space="preserve">PVC-4 × 58 @ 8,600; ROOF-AL × 66 @ 12,500; CEM-50 × 177 @ 9,500</t>
  </si>
  <si>
    <t xml:space="preserve">Cement, 50 kg bag: 177 is far above this customer's usual 23.</t>
  </si>
  <si>
    <t xml:space="preserve">ROOF-AL × 19 @ 12,500; PNT-20C × 3 @ 38,000</t>
  </si>
  <si>
    <t xml:space="preserve">SAND-T × 1 @ 185,000; TIL-6060 × 34 @ 14,500; PNT-20W × 15 @ 38,000</t>
  </si>
  <si>
    <t xml:space="preserve">SAND-T × 1 @ 185,000; ROOF-AL × 36 @ 12,500; ROD-12 × 55 @ 7,200</t>
  </si>
  <si>
    <t xml:space="preserve">TIL-6060 × 26 @ 14,500; PNT-20W × 3 @ 38,000; PNT-20C × 3 @ 38,000</t>
  </si>
  <si>
    <t xml:space="preserve">PNT-20C × 1 @ 38,000; ROD-16 × 50 @ 11,800</t>
  </si>
  <si>
    <t xml:space="preserve">SAND-T × 1 @ 185,000; PNT-20W × 13 @ 38,000; WIRE-25 × 10 @ 52,000; ROD-16 × 55 @ 11,800</t>
  </si>
  <si>
    <t xml:space="preserve">ROOF-AL × 14 @ 12,500; ROD-16 × 17 @ 11,800; CEM-50 × 143 @ 9,500</t>
  </si>
  <si>
    <t xml:space="preserve">Cement, 50 kg bag: 143 is far above this customer's usual 23.</t>
  </si>
  <si>
    <t xml:space="preserve">PNT-20W × 7 @ 38,000</t>
  </si>
  <si>
    <t xml:space="preserve">This looks like a repeat of ORD-3332. Confirm it is a new order.</t>
  </si>
  <si>
    <t xml:space="preserve">CEM-50 × 208 @ 9,500</t>
  </si>
  <si>
    <t xml:space="preserve">Cement, 50 kg bag: 208 is far above this customer's usual 23.</t>
  </si>
  <si>
    <t xml:space="preserve">PNT-20W × 1 @ 38,000; PNT-20C × 10 @ 38,000; NAIL-3 × 5 @ 31,000</t>
  </si>
  <si>
    <t xml:space="preserve">TIL-6060 × 86 @ 14,500; PNT-20W × 26 @ 38,000</t>
  </si>
  <si>
    <t xml:space="preserve">PNT-20W × 10 @ 38,000; PNT-20C × 9 @ 38,000; ROD-16 × 301 @ 11,800</t>
  </si>
  <si>
    <t xml:space="preserve">Iron rod, 16 mm: not enough stock for this quantity. Reduce it.</t>
  </si>
  <si>
    <t xml:space="preserve">ROOF-AL × 71 @ 12,500; NAIL-3 × 7 @ 31,000</t>
  </si>
  <si>
    <t xml:space="preserve">TIL-6060 × 29 @ 14,500; ROD-12 × 58 @ 7,200</t>
  </si>
  <si>
    <t xml:space="preserve">Iron rod, 12 mm: 58 is far above this customer's usual 11.</t>
  </si>
  <si>
    <t xml:space="preserve">TIL-6060 × 22 @ 14,500</t>
  </si>
  <si>
    <t xml:space="preserve">PNT-20C × 3 @ 38,000; CEM-50 × 188 @ 9,500</t>
  </si>
  <si>
    <t xml:space="preserve">Mandatory fields, Unusual quantity</t>
  </si>
  <si>
    <t xml:space="preserve">Choose a delivery date. | Cement, 50 kg bag: 188 is far above this customer's usual 23.</t>
  </si>
  <si>
    <t xml:space="preserve">PNT-20W × 9 @ 38,000</t>
  </si>
  <si>
    <t xml:space="preserve">CEM-50 × 206 @ 9,500</t>
  </si>
  <si>
    <t xml:space="preserve">Cement, 50 kg bag: 206 is far above this customer's usual 23.</t>
  </si>
  <si>
    <t xml:space="preserve">WIRE-25 × 7 @ 52,000</t>
  </si>
  <si>
    <t xml:space="preserve">ROD-12 × 53 @ 7,200</t>
  </si>
  <si>
    <t xml:space="preserve">Choose a delivery address. | Iron rod, 12 mm: 53 is far above this customer's usual 13.</t>
  </si>
  <si>
    <t xml:space="preserve">NAIL-3 × 14 @ 31,000</t>
  </si>
  <si>
    <t xml:space="preserve">TIL-6060 × 73 @ 14,500; NAIL-3 × 11 @ 31,000</t>
  </si>
  <si>
    <t xml:space="preserve">ROD-16 × 7 @ 11,800</t>
  </si>
  <si>
    <t xml:space="preserve">ROD-12 × 101 @ 7,200</t>
  </si>
  <si>
    <t xml:space="preserve">TIL-6060 - Quantity must be a whole number | Iron rod, 12 mm: 101 is far above this customer's usual 24.</t>
  </si>
  <si>
    <t xml:space="preserve">PVC-4 × 19 @ 8,600; PNT-20W × 21 @ 38,000; WIRE-25 × 8 @ 52,000</t>
  </si>
  <si>
    <t xml:space="preserve">PVC-4 × 29 @ 8,600; ROOF-AL × 71 @ 12,500; WIRE-25 × 12 @ 52,000</t>
  </si>
  <si>
    <t xml:space="preserve">ROD-16 × 60 @ 11,800</t>
  </si>
  <si>
    <t xml:space="preserve">CEM-50 × 212 @ 9,500</t>
  </si>
  <si>
    <t xml:space="preserve">Cement, 50 kg bag: 212 is far above this customer's usual 53.</t>
  </si>
  <si>
    <t xml:space="preserve">WIRE-25 × 12 @ 52,000</t>
  </si>
  <si>
    <t xml:space="preserve">PVC-4 × 43 @ 8,600; PVC-2 × 2 @ 4,100; ROD-16 × 44 @ 11,800</t>
  </si>
  <si>
    <t xml:space="preserve">TIL-6060 × 90 @ 14,500; WIRE-25 × 15 @ 52,000</t>
  </si>
  <si>
    <t xml:space="preserve">TIL-6060 × 12 @ 14,500; PNT-20C × 10 @ 38,000</t>
  </si>
  <si>
    <t xml:space="preserve">ROD-12 × 138 @ 7,200; NAIL-3 × 12 @ 31,000; CEM-50 × 73 @ 9,500</t>
  </si>
  <si>
    <t xml:space="preserve">Iron rod, 12 mm: 138 is far above this customer's usual 32.</t>
  </si>
  <si>
    <t xml:space="preserve">This looks like a repeat of ORD-3361. Confirm it is a new order.</t>
  </si>
  <si>
    <t xml:space="preserve">PVC-4 × 57 @ 8,600; ROOF-AL × 22 @ 12,500</t>
  </si>
  <si>
    <t xml:space="preserve">ROD-12 × 99 @ 7,200; PVC-2 × 2 @ 4,100</t>
  </si>
  <si>
    <t xml:space="preserve">Iron rod, 12 mm: 99 is far above this customer's usual 24.</t>
  </si>
  <si>
    <t xml:space="preserve">PVC-2 × 2 @ 4,100; WIRE-25 × 3 @ 52,000</t>
  </si>
  <si>
    <t xml:space="preserve">PVC-2 × 2 @ 4,100; WIRE-25 × 11 @ 52,000; ROD-16 × 62 @ 11,800; XX-359 × None (not in catalogue)</t>
  </si>
  <si>
    <t xml:space="preserve">Row 3: XX-359 - not in the catalogue</t>
  </si>
  <si>
    <t xml:space="preserve">WIRE-25 × 11 @ 52,000; ROD-16 × 4 @ 11,800; CEM-50 × 60 @ 9,500</t>
  </si>
  <si>
    <t xml:space="preserve">PNT-20C × 10 @ 38,000; NAIL-3 × 9 @ 31,000</t>
  </si>
  <si>
    <t xml:space="preserve">PVC-4 × 44 @ 8,600; NAIL-3 × 7 @ 31,000; ROD-16 × 72 @ 11,800</t>
  </si>
  <si>
    <t xml:space="preserve">WIRE-25 × 4 @ 52,000; CEM-50 × 49 @ 9,500</t>
  </si>
  <si>
    <t xml:space="preserve">ROD-12 × 60 @ 7,200; CEM-50 × 166 @ 9,500</t>
  </si>
  <si>
    <t xml:space="preserve">Iron rod, 12 mm: 60 is far above this customer's usual 13. | Cement, 50 kg bag: 166 is far above this customer's usual 42.</t>
  </si>
  <si>
    <t xml:space="preserve">CEM-50 × 214 @ 9,500</t>
  </si>
  <si>
    <t xml:space="preserve">Cement, 50 kg bag: 214 is far above this customer's usual 54.</t>
  </si>
  <si>
    <t xml:space="preserve">PVC-4 × 24 @ 8,600; PNT-20W × 8 @ 38,000; ROD-16 × 50 @ 11,800</t>
  </si>
  <si>
    <t xml:space="preserve">ROD-16 × 11 @ 11,800</t>
  </si>
  <si>
    <t xml:space="preserve">ROD-16 × 14 @ 11,800</t>
  </si>
  <si>
    <t xml:space="preserve">CEM-50 × 134 @ 9,500</t>
  </si>
  <si>
    <t xml:space="preserve">ROOF-AL × 37 @ 12,500; PNT-20W × 14 @ 38,000</t>
  </si>
  <si>
    <t xml:space="preserve">TIL-6060 - Quantity must be a whole number</t>
  </si>
  <si>
    <t xml:space="preserve">PVC-4 × 57 @ 8,600; SAND-T × 1 @ 185,000; TIL-6060 × 64 @ 14,500</t>
  </si>
  <si>
    <t xml:space="preserve">Cement, 50 kg bag: 212 is far above this customer's usual 23.</t>
  </si>
  <si>
    <t xml:space="preserve">PNT-20C × 10 @ 38,000</t>
  </si>
  <si>
    <t xml:space="preserve">PNT-20W × 10 @ 38,000; CEM-50 × 149 @ 9,500</t>
  </si>
  <si>
    <t xml:space="preserve">PNT-20C × 4 @ 38,000; WIRE-25 × 13 @ 52,000; XX-517 × None (not in catalogue)</t>
  </si>
  <si>
    <t xml:space="preserve">Row 3: XX-517 - not in the catalogue</t>
  </si>
  <si>
    <t xml:space="preserve">ROD-12 × 120 @ 7,200; NAIL-3 × 5 @ 31,000; CEM-50 × 129 @ 9,500</t>
  </si>
  <si>
    <t xml:space="preserve">The delivery date is in the past. | Iron rod, 12 mm: 120 is far above this customer's usual 13.</t>
  </si>
  <si>
    <t xml:space="preserve">ROOF-AL × 43 @ 12,500; PNT-20W × 7 @ 38,000</t>
  </si>
  <si>
    <t xml:space="preserve">Cement, 50 kg bag: 207 is far above this customer's usual 59.</t>
  </si>
  <si>
    <t xml:space="preserve">PNT-20C × 9 @ 38,000; PVC-2 × 2 @ 4,100</t>
  </si>
  <si>
    <t xml:space="preserve">ROD-16 × 17 @ 11,800; XX-667 × None (not in catalogue)</t>
  </si>
  <si>
    <t xml:space="preserve">Row 3: XX-667 - not in the catalogue</t>
  </si>
  <si>
    <t xml:space="preserve">SAND-T × 1 @ 185,000; ROOF-AL × 25 @ 12,500; TIL-6060 × 85 @ 14,500; WIRE-25 × 4 @ 52,000</t>
  </si>
  <si>
    <t xml:space="preserve">ROD-16 × 37 @ 11,800</t>
  </si>
  <si>
    <t xml:space="preserve">ROD-12 × 136 @ 7,200; ROD-16 × 13 @ 11,800</t>
  </si>
  <si>
    <t xml:space="preserve">The delivery date is in the past. | Iron rod, 12 mm: 136 is far above this customer's usual 13.</t>
  </si>
  <si>
    <t xml:space="preserve">CEM-50 × 189 @ 9,500</t>
  </si>
  <si>
    <t xml:space="preserve">PVC-4 × 56 @ 8,600; ROOF-AL × 44 @ 12,500; PVC-2 × 1 @ 4,100</t>
  </si>
  <si>
    <t xml:space="preserve">PVC pipe, 2 inch, 6 m: quantity must be between 2 and 500.</t>
  </si>
  <si>
    <t xml:space="preserve">ROOF-AL × 69 @ 12,500; NAIL-3 × 6 @ 31,000</t>
  </si>
  <si>
    <t xml:space="preserve">ROD-12 × 70 @ 7,200</t>
  </si>
  <si>
    <t xml:space="preserve">Iron rod, 12 mm: 70 is far above this customer's usual 20.</t>
  </si>
  <si>
    <t xml:space="preserve">ROD-16 × 66 @ 11,800</t>
  </si>
  <si>
    <t xml:space="preserve">NAIL-3 × 14 @ 31,000; WIRE-25 × 3 @ 52,000</t>
  </si>
  <si>
    <t xml:space="preserve">PVC-4 × 20 @ 8,600</t>
  </si>
  <si>
    <t xml:space="preserve">ROD-16 × 23 @ 11,800</t>
  </si>
  <si>
    <t xml:space="preserve">This looks like a repeat of ORD-3406. Confirm it is a new order.</t>
  </si>
  <si>
    <t xml:space="preserve">ROOF-AL × 76 @ 12,500; ROD-16 × 17 @ 11,800; CEM-50 × 25 @ 9,500</t>
  </si>
  <si>
    <t xml:space="preserve">PVC-4 × 42 @ 8,600; TIL-6060 × 69 @ 14,500; XX-550 × None (not in catalogue)</t>
  </si>
  <si>
    <t xml:space="preserve">Row 3: XX-550 - not in the catalogue</t>
  </si>
  <si>
    <t xml:space="preserve">NAIL-3 × 11 @ 31,000; ROD-16 × 35 @ 11,800</t>
  </si>
  <si>
    <t xml:space="preserve">ROOF-AL × 9 @ 12,500; TIL-6060 × 14 @ 14,500; PVC-2 × 2 @ 4,100; CEM-50 × 69 @ 9,500</t>
  </si>
  <si>
    <t xml:space="preserve">PVC-2 × 2 @ 4,100; WIRE-25 × 1 @ 52,000</t>
  </si>
  <si>
    <t xml:space="preserve">ROD-12 × 122 @ 7,200; PVC-2 × 2 @ 4,100</t>
  </si>
  <si>
    <t xml:space="preserve">TIL-6060 - Quantity must be a whole number | Iron rod, 12 mm: 122 is far above this customer's usual 35.</t>
  </si>
  <si>
    <t xml:space="preserve">ROD-16 × 68 @ 11,800</t>
  </si>
  <si>
    <t xml:space="preserve">NAIL-3 × 6 @ 31,000</t>
  </si>
  <si>
    <t xml:space="preserve">ROOF-AL × 37 @ 12,500</t>
  </si>
  <si>
    <t xml:space="preserve">This looks like a repeat of ORD-3419. Confirm it is a new order.</t>
  </si>
  <si>
    <t xml:space="preserve">PNT-20C × 7 @ 38,000; NAIL-3 × 11 @ 31,000; CEM-50 × 133 @ 9,500</t>
  </si>
  <si>
    <t xml:space="preserve">Cement, 50 kg bag: 133 is far above this customer's usual 23.</t>
  </si>
  <si>
    <t xml:space="preserve">TIL-6060 × 87 @ 14,500; ROD-12 × 87 @ 7,200</t>
  </si>
  <si>
    <t xml:space="preserve">Iron rod, 12 mm: 87 is far above this customer's usual 19.</t>
  </si>
  <si>
    <t xml:space="preserve">ROD-16 × 61 @ 11,800; XX-289 × None (not in catalogue)</t>
  </si>
  <si>
    <t xml:space="preserve">Row 3: XX-289 - not in the catalogue</t>
  </si>
  <si>
    <t xml:space="preserve">PNT-20W × 1 @ 38,000; CEM-50 × 105 @ 9,500</t>
  </si>
  <si>
    <t xml:space="preserve">Cement, 50 kg bag: 105 is far above this customer's usual 31.</t>
  </si>
  <si>
    <t xml:space="preserve">CEM-50 × 210 @ 9,500</t>
  </si>
  <si>
    <t xml:space="preserve">Cement, 50 kg bag: 210 is far above this customer's usual 43.</t>
  </si>
  <si>
    <t xml:space="preserve">ROD-16 × 22 @ 11,800; XX-388 × None (not in catalogue)</t>
  </si>
  <si>
    <t xml:space="preserve">Row 3: XX-388 - not in the catalogue</t>
  </si>
  <si>
    <t xml:space="preserve">ROD-12 × 82 @ 7,200; NAIL-3 × 13 @ 31,000; XX-629 × None (not in catalogue)</t>
  </si>
  <si>
    <t xml:space="preserve">SKU / product active, Unusual quantity</t>
  </si>
  <si>
    <t xml:space="preserve">Row 3: XX-629 - not in the catalogue | Iron rod, 12 mm: 82 is far above this customer's usual 13.</t>
  </si>
  <si>
    <t xml:space="preserve">ROD-12 × 23 @ 7,200; PVC-2 × 2 @ 4,100; WIRE-25 × 15 @ 52,000</t>
  </si>
  <si>
    <t xml:space="preserve">ROD-16 - Quantity must be a whole number</t>
  </si>
  <si>
    <t xml:space="preserve">ROD-16 × 6 @ 11,800; CEM-50 × 91 @ 9,500</t>
  </si>
  <si>
    <t xml:space="preserve">PNT-20W × 7 @ 38,000; ROD-16 × 301 @ 11,800</t>
  </si>
  <si>
    <t xml:space="preserve">PVC-4 × 41 @ 8,600; ROOF-AL × 10 @ 12,500; TIL-6060 × 39 @ 14,500</t>
  </si>
  <si>
    <t xml:space="preserve">PVC-4 × 251 @ 8,600; TIL-6060 × 70 @ 14,500; ROD-12 × 60 @ 7,200; PNT-20C × 10 @ 38,000</t>
  </si>
  <si>
    <t xml:space="preserve">PVC pipe, 4 inch, 6 m: not enough stock for this quantity. Reduce it. | PVC pipe, 4 inch, 6 m: 251 is far above this customer's usual 35.</t>
  </si>
  <si>
    <t xml:space="preserve">ROD-16 × 56 @ 11,800</t>
  </si>
  <si>
    <t xml:space="preserve">ROOF-AL × 13 @ 12,500; PNT-20C × 1 @ 38,000; WIRE-25 × 8 @ 52,000</t>
  </si>
  <si>
    <t xml:space="preserve">ROOF-AL × 69 @ 12,500; TIL-6060 × 57 @ 14,500; NAIL-3 × 9 @ 31,000</t>
  </si>
  <si>
    <t xml:space="preserve">SAND-T × 1 @ 185,000; ROD-16 × 71 @ 11,800</t>
  </si>
  <si>
    <t xml:space="preserve">PVC-4 × 17 @ 8,600; ROOF-AL × 55 @ 12,500; TIL-6060 × 48 @ 14,500</t>
  </si>
  <si>
    <t xml:space="preserve">ROD-12 × 21 @ 7,200</t>
  </si>
  <si>
    <t xml:space="preserve">ROOF-AL × 44 @ 12,500; ROD-12 × 4 @ 7,200; CEM-50 × 190 @ 9,500</t>
  </si>
  <si>
    <t xml:space="preserve">Iron rod, 12 mm: quantity must be between 5 and 1500.</t>
  </si>
  <si>
    <t xml:space="preserve">CEM-50 × 202 @ 9,500</t>
  </si>
  <si>
    <t xml:space="preserve">ROOF-AL × 1020 @ 12,500; ROD-12 × 55 @ 7,200; PVC-2 × 2 @ 4,100</t>
  </si>
  <si>
    <t xml:space="preserve">Aluminium roofing sheet, 0.55 mm: quantity must be between 10 and 1000. | Aluminium roofing sheet, 0.55 mm: not enough stock for this quantity. Reduce it.</t>
  </si>
  <si>
    <t xml:space="preserve">ROOF-AL × 9 @ 12,500; TIL-6060 × 44 @ 14,500; PNT-20W × 12 @ 38,000</t>
  </si>
  <si>
    <t xml:space="preserve">TIL-6060 × 30 @ 14,500</t>
  </si>
  <si>
    <t xml:space="preserve">TIL-6060 × 24 @ 14,500; PNT-20C × 1 @ 38,000; CEM-50 × 45 @ 9,500</t>
  </si>
  <si>
    <t xml:space="preserve">PNT-20W × 25 @ 38,000; ROD-12 × 126 @ 7,200; NAIL-3 × 11 @ 31,000</t>
  </si>
  <si>
    <t xml:space="preserve">Iron rod, 12 mm: 126 is far above this customer's usual 28.</t>
  </si>
  <si>
    <t xml:space="preserve">PNT-20C × 12 @ 38,000</t>
  </si>
  <si>
    <t xml:space="preserve">PVC-4 × 17 @ 8,600; TIL-6060 × 815 @ 14,500; PVC-2 × 2 @ 4,100</t>
  </si>
  <si>
    <t xml:space="preserve">TIL-6060 × 20 @ 14,500; WIRE-25 × 14 @ 52,000; ROD-16 × 52 @ 11,800</t>
  </si>
  <si>
    <t xml:space="preserve">PVC-4 × 3 @ 8,600; PNT-20C × 9 @ 38,000</t>
  </si>
  <si>
    <t xml:space="preserve">ROOF-AL × 13 @ 12,500; PNT-20C × 10 @ 38,000; PVC-2 × 2 @ 4,100</t>
  </si>
  <si>
    <t xml:space="preserve">CEM-50 × 82 @ 9,500</t>
  </si>
  <si>
    <t xml:space="preserve">PVC-4 × 47 @ 8,600; PNT-20C × 4 @ 38,000; CEM-50 × 160 @ 9,500</t>
  </si>
  <si>
    <t xml:space="preserve">ROOF-AL × 51 @ 12,500; CEM-50 × 71 @ 9,500</t>
  </si>
  <si>
    <t xml:space="preserve">ROD-12 × 89 @ 7,200; NAIL-3 × 6 @ 31,000</t>
  </si>
  <si>
    <t xml:space="preserve">The delivery date is in the past. | Iron rod, 12 mm: 89 is far above this customer's usual 13.</t>
  </si>
  <si>
    <t xml:space="preserve">PVC-4 × 35 @ 8,600</t>
  </si>
  <si>
    <t xml:space="preserve">TIL-6060 × 76 @ 14,500; ROD-12 × 53 @ 7,200; PNT-20C × 7 @ 38,000</t>
  </si>
  <si>
    <t xml:space="preserve">Choose a delivery address. | Iron rod, 12 mm: 53 is far above this customer's usual 14.</t>
  </si>
  <si>
    <t xml:space="preserve">ROD-12 × 35 @ 7,200; CEM-50 × 105 @ 9,500</t>
  </si>
  <si>
    <t xml:space="preserve">PVC-4 × 12 @ 8,600; PNT-20W × 13 @ 38,000; ROD-12 × 109 @ 7,200</t>
  </si>
  <si>
    <t xml:space="preserve">PVC-2 - Quantity must be a whole number | Iron rod, 12 mm: 109 is far above this customer's usual 22.</t>
  </si>
  <si>
    <t xml:space="preserve">ROD-12 × 28 @ 7,200; ROD-16 × 50 @ 11,800</t>
  </si>
  <si>
    <t xml:space="preserve">PVC-4 × 22 @ 8,600; NAIL-3 × 6 @ 31,000; WIRE-25 × 9 @ 52,000</t>
  </si>
  <si>
    <t xml:space="preserve">PNT-20C × 17 @ 38,000</t>
  </si>
  <si>
    <t xml:space="preserve">PVC-4 × 20 @ 8,600; ROOF-AL × 11 @ 12,500; TIL-6060 × 1 @ 14,500; NAIL-3 × 12 @ 31,000</t>
  </si>
  <si>
    <t xml:space="preserve">Floor tile 60x60, carton: quantity must be between 2 and 800.</t>
  </si>
  <si>
    <t xml:space="preserve">CEM-50 × 205 @ 9,500</t>
  </si>
  <si>
    <t xml:space="preserve">Cement, 50 kg bag: 205 is far above this customer's usual 23.</t>
  </si>
  <si>
    <t xml:space="preserve">ROOF-AL × 40 @ 12,500; NAIL-3 × 1 @ 31,000; WIRE-25 × 12 @ 52,000</t>
  </si>
  <si>
    <t xml:space="preserve">CEM-50 × 149 @ 9,500</t>
  </si>
  <si>
    <t xml:space="preserve">PNT-20C × 2 @ 38,000; NAIL-3 × 11 @ 31,000; WIRE-25 × 16 @ 52,000</t>
  </si>
  <si>
    <t xml:space="preserve">PVC-4 × 519 @ 8,600; PNT-20C × 7 @ 38,000</t>
  </si>
  <si>
    <t xml:space="preserve">PVC pipe, 4 inch, 6 m: quantity must be between 2 and 500. | PVC pipe, 4 inch, 6 m: not enough stock for this quantity. Reduce it.</t>
  </si>
  <si>
    <t xml:space="preserve">ROD-12 × 38 @ 7,200; NAIL-3 × 4 @ 31,000; WIRE-25 × 11 @ 52,000; XX-582 × None (not in catalogue)</t>
  </si>
  <si>
    <t xml:space="preserve">Row 3: XX-582 - not in the catalogue</t>
  </si>
  <si>
    <t xml:space="preserve">ROD-12 × 125 @ 7,200; ROD-16 × 64 @ 11,800</t>
  </si>
  <si>
    <t xml:space="preserve">Iron rod, 12 mm: 125 is far above this customer's usual 29.</t>
  </si>
  <si>
    <t xml:space="preserve">PNT-20W × 9 @ 38,000; NAIL-3 × 7 @ 31,000; ROD-16 × 74 @ 11,800</t>
  </si>
  <si>
    <t xml:space="preserve">PVC-2 × 2 @ 4,100; ROD-16 × 47 @ 11,800</t>
  </si>
  <si>
    <t xml:space="preserve">PNT-20C × 8 @ 38,000</t>
  </si>
  <si>
    <t xml:space="preserve">TIL-6060 × 77 @ 14,500; NAIL-3 × 14 @ 31,000</t>
  </si>
  <si>
    <t xml:space="preserve">ROD-12 × 48 @ 7,200; WIRE-25 × 1 @ 52,000; CEM-50 × 96 @ 9,500</t>
  </si>
  <si>
    <t xml:space="preserve">Choose a delivery date. | Iron rod, 12 mm: 48 is far above this customer's usual 13.</t>
  </si>
  <si>
    <t xml:space="preserve">PNT-20W × 3 @ 38,000; PNT-20C × 3 @ 38,000</t>
  </si>
  <si>
    <t xml:space="preserve">TIL-6060 × 15 @ 14,500; WIRE-25 × 2 @ 52,000; CEM-50 × 117 @ 9,500</t>
  </si>
  <si>
    <t xml:space="preserve">Cement, 50 kg bag: 206 is far above this customer's usual 57.</t>
  </si>
  <si>
    <t xml:space="preserve">TIL-6060 × 56 @ 14,500</t>
  </si>
  <si>
    <t xml:space="preserve">ROOF-AL × 22 @ 12,500; NAIL-3 × 13 @ 31,000</t>
  </si>
  <si>
    <t xml:space="preserve">ROD-12 × 102 @ 7,200; NAIL-3 × 8 @ 31,000</t>
  </si>
  <si>
    <t xml:space="preserve">TIL-6060 × 63 @ 14,500; PVC-2 × 2 @ 4,100</t>
  </si>
  <si>
    <t xml:space="preserve">PVC-4 × 37 @ 8,600; ROOF-AL × 33 @ 12,500; WIRE-25 × 16 @ 52,000</t>
  </si>
  <si>
    <t xml:space="preserve">ROD-12 × 31 @ 7,200; PVC-2 × 2 @ 4,100; WIRE-25 × 16 @ 52,000; CEM-50 × 2006 @ 9,500</t>
  </si>
  <si>
    <t xml:space="preserve">Cement, 50 kg bag: quantity must be between 10 and 2000. | Cement, 50 kg bag: not enough stock for this quantity. Reduce it. | Cement, 50 kg bag: 2006 is far above this customer's usual 27.</t>
  </si>
  <si>
    <t xml:space="preserve">PNT-20W × 16 @ 38,000; ROD-12 × 74 @ 7,200; NAIL-3 × 7 @ 31,000; ROD-16 × 1033 @ 11,800</t>
  </si>
  <si>
    <t xml:space="preserve">ROOF-AL × 71 @ 12,500; PVC-2 × 2 @ 4,100</t>
  </si>
  <si>
    <t xml:space="preserve">PNT-20W × 12 @ 38,000; PNT-20C × 3 @ 38,000; PVC-2 × 2 @ 4,100</t>
  </si>
  <si>
    <t xml:space="preserve">PNT-20W × 1 @ 38,000; ROD-12 × 27 @ 7,200; NAIL-3 × 14 @ 31,000</t>
  </si>
  <si>
    <t xml:space="preserve">CEM-50 × 217 @ 9,500</t>
  </si>
  <si>
    <t xml:space="preserve">TIL-6060 × 36 @ 14,500; PNT-20C × 9 @ 38,000</t>
  </si>
  <si>
    <t xml:space="preserve">PNT-20W × 15 @ 38,000; CEM-50 × 27 @ 9,500</t>
  </si>
  <si>
    <t xml:space="preserve">TIL-6060 × 1 @ 14,500; NAIL-3 × 4 @ 31,000</t>
  </si>
  <si>
    <t xml:space="preserve">CEM-50 × 164 @ 9,500</t>
  </si>
  <si>
    <t xml:space="preserve">PVC-2 × 6 @ 4,100</t>
  </si>
  <si>
    <t xml:space="preserve">PVC-4 × 19 @ 8,600; ROD-12 × 123 @ 7,200; ROD-16 × 6 @ 11,800</t>
  </si>
  <si>
    <t xml:space="preserve">Choose a delivery date. | Iron rod, 12 mm: 123 is far above this customer's usual 13.</t>
  </si>
  <si>
    <t xml:space="preserve">PNT-20W × 15 @ 38,000; NAIL-3 × 2 @ 31,000</t>
  </si>
  <si>
    <t xml:space="preserve">PVC-4 × 12 @ 8,600; NAIL-3 × 2 @ 31,000</t>
  </si>
  <si>
    <t xml:space="preserve">ROD-12 × 99 @ 7,200; NAIL-3 × 1 @ 31,000</t>
  </si>
  <si>
    <t xml:space="preserve">Iron rod, 12 mm: 99 is far above this customer's usual 13.</t>
  </si>
  <si>
    <t xml:space="preserve">TIL-6060 × 36 @ 14,500</t>
  </si>
  <si>
    <t xml:space="preserve">ROOF-AL × 25 @ 12,500; TIL-6060 × 88 @ 14,500; ROD-12 × 74 @ 7,200</t>
  </si>
  <si>
    <t xml:space="preserve">Iron rod, 12 mm: 74 is far above this customer's usual 13.</t>
  </si>
  <si>
    <t xml:space="preserve">PNT-20C × 7 @ 38,000; NAIL-3 × 1 @ 31,000</t>
  </si>
  <si>
    <t xml:space="preserve">PVC-4 × 251 @ 8,600; TIL-6060 × 12 @ 14,500</t>
  </si>
  <si>
    <t xml:space="preserve">NAIL-3 × 8 @ 31,000</t>
  </si>
  <si>
    <t xml:space="preserve">PNT-20C × 2 @ 38,000</t>
  </si>
  <si>
    <t xml:space="preserve">ROOF-AL × 28 @ 12,500</t>
  </si>
  <si>
    <t xml:space="preserve">TIL-6060 × 69 @ 14,500; PNT-20C × 3 @ 38,000; PVC-2 × 2 @ 4,100</t>
  </si>
  <si>
    <t xml:space="preserve">ROOF-AL × 13 @ 12,500</t>
  </si>
  <si>
    <t xml:space="preserve">PNT-20C × 4 @ 38,000; PVC-2 × 2 @ 4,100; CEM-50 × 124 @ 9,500</t>
  </si>
  <si>
    <t xml:space="preserve">ROOF-AL × 15 @ 12,500; PNT-20W × 28 @ 38,000; PVC-2 × 2 @ 4,100</t>
  </si>
  <si>
    <t xml:space="preserve">ROD-12 × 59 @ 7,200; PNT-20C × 10 @ 38,000; CEM-50 × 137 @ 9,500</t>
  </si>
  <si>
    <t xml:space="preserve">Choose a delivery address. | Iron rod, 12 mm: 59 is far above this customer's usual 13.</t>
  </si>
  <si>
    <t xml:space="preserve">This looks like a repeat of ORD-3254. Confirm it is a new order.</t>
  </si>
  <si>
    <t xml:space="preserve">CEM-50 × 161 @ 9,500</t>
  </si>
  <si>
    <t xml:space="preserve">ROOF-AL × 40 @ 12,500; ROD-12 × 39 @ 7,200; WIRE-25 × 16 @ 52,000</t>
  </si>
  <si>
    <t xml:space="preserve">SAND-T × 1 @ 185,000; CEM-50 × 173 @ 9,500</t>
  </si>
  <si>
    <t xml:space="preserve">ROOF-AL × 68 @ 12,500; ROD-16 × 14 @ 11,800</t>
  </si>
  <si>
    <t xml:space="preserve">CEM-50 × 204 @ 9,500</t>
  </si>
  <si>
    <t xml:space="preserve">NAIL-3 × 13 @ 31,000</t>
  </si>
  <si>
    <t xml:space="preserve">ROD-12 × 111 @ 7,200</t>
  </si>
  <si>
    <t xml:space="preserve">PVC-4 × 29 @ 8,600; SAND-T × 1 @ 185,000; TIL-6060 × 59 @ 14,500</t>
  </si>
  <si>
    <t xml:space="preserve">PNT-20C × 1 @ 38,000; NAIL-3 × 13 @ 31,000; ROD-16 × 10 @ 11,800</t>
  </si>
  <si>
    <t xml:space="preserve">ROD-12 × 4 @ 7,200; PVC-2 × 2 @ 4,100; WIRE-25 × 9 @ 52,000; ROD-16 × 14 @ 11,800</t>
  </si>
  <si>
    <t xml:space="preserve">PVC-4 × 26 @ 8,600; PNT-20W × 21 @ 38,000</t>
  </si>
  <si>
    <t xml:space="preserve">This looks like a repeat of ORD-3256. Confirm it is a new order.</t>
  </si>
  <si>
    <t xml:space="preserve">PVC-4 × 16 @ 8,600; ROD-16 × 13 @ 11,800; CEM-50 × 147 @ 9,500</t>
  </si>
  <si>
    <t xml:space="preserve">Cement, 50 kg bag: 147 is far above this customer's usual 34.</t>
  </si>
  <si>
    <t xml:space="preserve">This looks like a repeat of ORD-3530. Confirm it is a new order.</t>
  </si>
  <si>
    <t xml:space="preserve">TIL-6060 × 849 @ 14,500; NAIL-3 × 2 @ 31,000; WIRE-25 × 11 @ 52,000</t>
  </si>
  <si>
    <t xml:space="preserve">Floor tile 60x60, carton: quantity must be between 2 and 800. | Floor tile 60x60, carton: not enough stock for this quantity. Reduce it. | Floor tile 60x60, carton: 849 is far above this customer's usual 50.</t>
  </si>
  <si>
    <t xml:space="preserve">TIL-6060 × 58 @ 14,500; NAIL-3 × 6 @ 31,000; CEM-50 × 154 @ 9,500</t>
  </si>
  <si>
    <t xml:space="preserve">PVC-4 × 6 @ 8,600; ROOF-AL × 39 @ 12,500</t>
  </si>
  <si>
    <t xml:space="preserve">ROD-12 × 50 @ 7,200; PNT-20C × 2 @ 38,000; PVC-2 × 2 @ 4,100</t>
  </si>
  <si>
    <t xml:space="preserve">PNT-20C × 9 @ 38,000; ROD-16 × 35 @ 11,800; CEM-50 × 19 @ 9,500</t>
  </si>
  <si>
    <t xml:space="preserve">WIRE-25 × 4 @ 52,000; CEM-50 × 164 @ 9,500</t>
  </si>
  <si>
    <t xml:space="preserve">Choose a delivery date. | Cement, 50 kg bag: 164 is far above this customer's usual 48.</t>
  </si>
  <si>
    <t xml:space="preserve">ROD-16 × 72 @ 11,800</t>
  </si>
  <si>
    <t xml:space="preserve">ROD-12 × 76 @ 7,200; PVC-2 × 2 @ 4,100; NAIL-3 × 4 @ 31,000</t>
  </si>
  <si>
    <t xml:space="preserve">PNT-20C × 2 @ 38,000; CEM-50 × 70 @ 9,500</t>
  </si>
  <si>
    <t xml:space="preserve">PVC-2 × 2 @ 4,100; WIRE-25 × 14 @ 52,000; ROD-16 × 44 @ 11,800</t>
  </si>
  <si>
    <t xml:space="preserve">ROOF-AL × 38 @ 12,500; PNT-20W × 3 @ 38,000; ROD-12 × 121 @ 7,200</t>
  </si>
  <si>
    <t xml:space="preserve">Iron rod, 12 mm: 121 is far above this customer's usual 14.</t>
  </si>
  <si>
    <t xml:space="preserve">TIL-6060 × 83 @ 14,500</t>
  </si>
  <si>
    <t xml:space="preserve">SAND-T × 1 @ 185,000; ROD-12 × 134 @ 7,200</t>
  </si>
  <si>
    <t xml:space="preserve">SAND-T is no longer sold. Remove it. | Sharp sand, 20 tonne trip is out of stock. | Iron rod, 12 mm: 134 is far above this customer's usual 39.</t>
  </si>
  <si>
    <t xml:space="preserve">TIL-6060 × 87 @ 14,500</t>
  </si>
  <si>
    <t xml:space="preserve">TIL-6060 × 9 @ 14,500; PVC-2 × 2 @ 4,100</t>
  </si>
  <si>
    <t xml:space="preserve">PVC-4 × 44 @ 8,600; ROD-16 × 63 @ 11,800</t>
  </si>
  <si>
    <t xml:space="preserve">This looks like a repeat of ORD-3555. Confirm it is a new order.</t>
  </si>
  <si>
    <t xml:space="preserve">ROOF-AL × 27 @ 12,500</t>
  </si>
  <si>
    <t xml:space="preserve">This looks like a repeat of ORD-3557. Confirm it is a new order.</t>
  </si>
  <si>
    <t xml:space="preserve">PVC-4 × 60 @ 8,600; WIRE-25 × 4 @ 52,000</t>
  </si>
  <si>
    <t xml:space="preserve">PVC-4 × 29 @ 8,600; TIL-6060 × 68 @ 14,500</t>
  </si>
  <si>
    <t xml:space="preserve">PNT-20C × 7 @ 38,000; NAIL-3 × 8 @ 31,000; ROD-16 × 49 @ 11,800</t>
  </si>
  <si>
    <t xml:space="preserve">ROOF-AL × 311 @ 12,500; NAIL-3 × 12 @ 31,000</t>
  </si>
  <si>
    <t xml:space="preserve">Aluminium roofing sheet, 0.55 mm: not enough stock for this quantity. Reduce it.</t>
  </si>
  <si>
    <t xml:space="preserve">PNT-20W × 11 @ 38,000</t>
  </si>
  <si>
    <t xml:space="preserve">WIRE-25 × 13 @ 52,000</t>
  </si>
  <si>
    <t xml:space="preserve">ROOF-AL × 29 @ 12,500</t>
  </si>
  <si>
    <t xml:space="preserve">PVC-4 × 3 @ 8,600; ROOF-AL × 40 @ 12,500</t>
  </si>
  <si>
    <t xml:space="preserve">PNT-20W × 18 @ 38,000; ROD-12 × 46 @ 7,200</t>
  </si>
  <si>
    <t xml:space="preserve">Iron rod, 12 mm: 46 is far above this customer's usual 13.</t>
  </si>
  <si>
    <t xml:space="preserve">ROOF-AL × 73 @ 12,500; PVC-2 × 2 @ 4,100; CEM-50 × 164 @ 9,500</t>
  </si>
  <si>
    <t xml:space="preserve">ROD-12 × 100 @ 7,200; PVC-2 × 2 @ 4,100; CEM-50 × 9 @ 9,500</t>
  </si>
  <si>
    <t xml:space="preserve">Cement, 50 kg bag: quantity must be between 10 and 2000. | Iron rod, 12 mm: 100 is far above this customer's usual 22.</t>
  </si>
  <si>
    <t xml:space="preserve">PNT-20C × 1 @ 38,000; WIRE-25 × 10 @ 52,000; XX-953 × None (not in catalogue)</t>
  </si>
  <si>
    <t xml:space="preserve">Row 3: XX-953 - not in the catalogue</t>
  </si>
  <si>
    <t xml:space="preserve">PVC-4 × 7 @ 8,600; ROOF-AL × 311 @ 12,500; TIL-6060 × 53 @ 14,500</t>
  </si>
  <si>
    <t xml:space="preserve">Aluminium roofing sheet, 0.55 mm: not enough stock for this quantity. Reduce it. | Aluminium roofing sheet, 0.55 mm: 311 is far above this customer's usual 27.</t>
  </si>
  <si>
    <t xml:space="preserve">This looks like a repeat of ORD-3484. Confirm it is a new order.</t>
  </si>
  <si>
    <t xml:space="preserve">PVC-4 × 27 @ 8,600; ROD-12 × 16 @ 7,200; PNT-20C × 2 @ 38,000</t>
  </si>
  <si>
    <t xml:space="preserve">ROOF-AL × 41 @ 12,500; NAIL-3 × 3 @ 31,000</t>
  </si>
  <si>
    <t xml:space="preserve">ROOF-AL × 16 @ 12,500; ROD-16 × 49 @ 11,800</t>
  </si>
  <si>
    <t xml:space="preserve">PNT-20W × 21 @ 38,000; NAIL-3 × 5 @ 31,000</t>
  </si>
  <si>
    <t xml:space="preserve">ROOF-AL × 45 @ 12,500; TIL-6060 × 3 @ 14,500; XX-528 × None (not in catalogue)</t>
  </si>
  <si>
    <t xml:space="preserve">Row 3: XX-528 - not in the catalogue</t>
  </si>
  <si>
    <t xml:space="preserve">PNT-20W × 22 @ 38,000; WIRE-25 × 13 @ 52,000; CEM-50 × 145 @ 9,500; XX-567 × None (not in catalogue)</t>
  </si>
  <si>
    <t xml:space="preserve">Row 3: XX-567 - not in the catalogue | Cement, 50 kg bag: 145 is far above this customer's usual 33.</t>
  </si>
  <si>
    <t xml:space="preserve">PNT-20W × 8 @ 38,000; PNT-20C × 2 @ 38,000; WIRE-25 × 3 @ 52,000</t>
  </si>
  <si>
    <t xml:space="preserve">PNT-20W × 16 @ 38,000</t>
  </si>
  <si>
    <t xml:space="preserve">PVC-4 × 61 @ 8,600</t>
  </si>
  <si>
    <t xml:space="preserve">PVC-4 × 48 @ 8,600; PNT-20C × 4 @ 38,000; ROD-16 × 14 @ 11,800</t>
  </si>
  <si>
    <t xml:space="preserve">PVC-4 × 251 @ 8,600; ROD-12 × 26 @ 7,200</t>
  </si>
  <si>
    <t xml:space="preserve">PNT-20W × 9 @ 38,000; PVC-2 × 2 @ 4,100; NAIL-3 × 8 @ 31,000</t>
  </si>
  <si>
    <t xml:space="preserve">This looks like a repeat of ORD-3591. Confirm it is a new order.</t>
  </si>
  <si>
    <t xml:space="preserve">ROOF-AL × 64 @ 12,500; WIRE-25 × 12 @ 52,000</t>
  </si>
  <si>
    <t xml:space="preserve">TIL-6060 × 43 @ 14,500; PNT-20W × 28 @ 38,000</t>
  </si>
  <si>
    <t xml:space="preserve">PVC-4 × 14 @ 8,600; PNT-20W × 9 @ 38,000; ROD-12 × 132 @ 7,200</t>
  </si>
  <si>
    <t xml:space="preserve">Iron rod, 12 mm: 132 is far above this customer's usual 13.</t>
  </si>
  <si>
    <t xml:space="preserve">NAIL-3 × 3 @ 31,000</t>
  </si>
  <si>
    <t xml:space="preserve">This looks like a repeat of ORD-3597. Confirm it is a new order.</t>
  </si>
  <si>
    <t xml:space="preserve">PNT-20W × 17 @ 38,000; ROD-16 × 10 @ 11,800</t>
  </si>
  <si>
    <t xml:space="preserve">PVC-4 × 32 @ 8,600; TIL-6060 × 25 @ 14,500; PVC-2 × 2 @ 4,100</t>
  </si>
  <si>
    <t xml:space="preserve">ROD-12 × 100 @ 7,200</t>
  </si>
  <si>
    <t xml:space="preserve">Iron rod, 12 mm: 100 is far above this customer's usual 32.</t>
  </si>
  <si>
    <t xml:space="preserve">WIRE-25 × 15 @ 52,000</t>
  </si>
  <si>
    <t xml:space="preserve">PVC-4 × 5 @ 8,600</t>
  </si>
  <si>
    <t xml:space="preserve">ROOF-AL × 39 @ 12,500; PNT-20C × 5 @ 38,000</t>
  </si>
  <si>
    <t xml:space="preserve">TIL-6060 × 73 @ 14,500; PNT-20C × 3 @ 38,000; WIRE-25 × 2 @ 52,000; XX-838 × None (not in catalogue)</t>
  </si>
  <si>
    <t xml:space="preserve">Row 3: XX-838 - not in the catalogue</t>
  </si>
  <si>
    <t xml:space="preserve">PVC-4 × 1 @ 8,600; PNT-20C × 3 @ 38,000; PVC-2 × 2 @ 4,100; NAIL-3 × 11 @ 31,000</t>
  </si>
  <si>
    <t xml:space="preserve">CEM-50 × 218 @ 9,500</t>
  </si>
  <si>
    <t xml:space="preserve">Cement, 50 kg bag: 218 is far above this customer's usual 48.</t>
  </si>
  <si>
    <t xml:space="preserve">SAND-T × 1 @ 185,000; TIL-6060 × 25 @ 14,500; PNT-20W × 3 @ 38,000; PNT-20C × 5 @ 38,000</t>
  </si>
  <si>
    <t xml:space="preserve">SAND-T × 1 @ 185,000; WIRE-25 × 9 @ 52,000</t>
  </si>
  <si>
    <t xml:space="preserve">PVC-4 × 31 @ 8,600; ROD-12 × 1549 @ 7,200; NAIL-3 × 5 @ 31,000; WIRE-25 × 4 @ 52,000</t>
  </si>
  <si>
    <t xml:space="preserve">Iron rod, 12 mm: quantity must be between 5 and 1500. | Iron rod, 12 mm: not enough stock for this quantity. Reduce it. | Iron rod, 12 mm: 1549 is far above this customer's usual 42.</t>
  </si>
  <si>
    <t xml:space="preserve">PVC-4 × 37 @ 8,600; PNT-20W × 16 @ 38,000; ROD-16 × 25 @ 11,800</t>
  </si>
  <si>
    <t xml:space="preserve">ROD-12 × 61 @ 7,200</t>
  </si>
  <si>
    <t xml:space="preserve">Iron rod, 12 mm: 61 is far above this customer's usual 13.</t>
  </si>
  <si>
    <t xml:space="preserve">ROOF-AL × 39 @ 12,500; ROD-12 × 103 @ 7,200; PVC-2 × 2 @ 4,100</t>
  </si>
  <si>
    <t xml:space="preserve">Choose a delivery date. | Iron rod, 12 mm: 103 is far above this customer's usual 25.</t>
  </si>
  <si>
    <t xml:space="preserve">PVC-4 × 11 @ 8,600; SAND-T × 1 @ 185,000</t>
  </si>
  <si>
    <t xml:space="preserve">ROD-12 × 38 @ 7,200</t>
  </si>
  <si>
    <t xml:space="preserve">PNT-20C × 5 @ 38,000; WIRE-25 × 8 @ 52,000; ROD-16 × 57 @ 11,800</t>
  </si>
  <si>
    <t xml:space="preserve">This looks like a repeat of ORD-3609. Confirm it is a new order.</t>
  </si>
  <si>
    <t xml:space="preserve">PVC-4 × 22 @ 8,600; PNT-20W × 21 @ 38,000; XX-565 × None (not in catalogue)</t>
  </si>
  <si>
    <t xml:space="preserve">Row 3: XX-565 - not in the catalogue</t>
  </si>
  <si>
    <t xml:space="preserve">ROOF-AL × 37 @ 12,500; ROD-16 × 53 @ 11,800</t>
  </si>
  <si>
    <t xml:space="preserve">PNT-20W × 27 @ 38,000</t>
  </si>
  <si>
    <t xml:space="preserve">NAIL-3 × 1 @ 31,000</t>
  </si>
  <si>
    <t xml:space="preserve">ROOF-AL × 64 @ 12,500; WIRE-25 × 2 @ 52,000</t>
  </si>
  <si>
    <t xml:space="preserve">SAND-T × 1 @ 185,000; ROD-16 × 17 @ 11,800</t>
  </si>
  <si>
    <t xml:space="preserve">PVC-4 × 532 @ 8,600; ROOF-AL × 28 @ 12,500; PVC-2 × 2 @ 4,100; WIRE-25 × 1 @ 52,000</t>
  </si>
  <si>
    <t xml:space="preserve">TIL-6060 × 66 @ 14,500; PNT-20W × 29 @ 38,000; CEM-50 × 98 @ 9,500</t>
  </si>
  <si>
    <t xml:space="preserve">PNT-20W × 3 @ 38,000; NAIL-3 × 4 @ 31,000; WIRE-25 × 8 @ 52,000; ROD-16 × 4 @ 11,800</t>
  </si>
  <si>
    <t xml:space="preserve">PVC-4 × 6 @ 8,600; SAND-T × 1 @ 185,000; PVC-2 × 2 @ 4,100</t>
  </si>
  <si>
    <t xml:space="preserve">PVC-4 × 22 @ 8,600; PNT-20W × 17 @ 38,000; CEM-50 × 189 @ 9,500</t>
  </si>
  <si>
    <t xml:space="preserve">Cement, 50 kg bag: 189 is far above this customer's usual 62.</t>
  </si>
  <si>
    <t xml:space="preserve">ROOF-AL × 45 @ 12,500; TIL-6060 × 376 @ 14,500; ROD-16 × 16 @ 11,800; CEM-50 × 167 @ 9,500</t>
  </si>
  <si>
    <t xml:space="preserve">Floor tile 60x60, carton: not enough stock for this quantity. Reduce it. | Floor tile 60x60, carton: 376 is far above this customer's usual 50.</t>
  </si>
  <si>
    <t xml:space="preserve">PNT-20W × 20 @ 38,000; ROD-12 × 54 @ 7,200; WIRE-25 × 4 @ 52,000</t>
  </si>
  <si>
    <t xml:space="preserve">ROOF-AL × 51 @ 12,500; ROD-12 × 60 @ 7,200; WIRE-25 × 6 @ 52,000</t>
  </si>
  <si>
    <t xml:space="preserve">Iron rod, 12 mm: 60 is far above this customer's usual 13.</t>
  </si>
  <si>
    <t xml:space="preserve">ROOF-AL × 22 @ 12,500; CEM-50 × 38 @ 9,500</t>
  </si>
  <si>
    <t xml:space="preserve">CEM-50 × 155 @ 9,500</t>
  </si>
  <si>
    <t xml:space="preserve">PNT-20W × 3 @ 38,000; PNT-20C × 9 @ 38,000; NAIL-3 × 10 @ 31,000</t>
  </si>
  <si>
    <t xml:space="preserve">ROD-12 × 5 @ 7,200</t>
  </si>
  <si>
    <t xml:space="preserve">This looks like a repeat of ORD-3639. Confirm it is a new order.</t>
  </si>
  <si>
    <t xml:space="preserve">TIL-6060 × 1 @ 14,500; PNT-20W × 15 @ 38,000; PNT-20C × 8 @ 38,000</t>
  </si>
  <si>
    <t xml:space="preserve">PNT-20W × 10 @ 38,000; ROD-12 × 586 @ 7,200; PNT-20C × 9 @ 38,000; PVC-2 × 2 @ 4,100</t>
  </si>
  <si>
    <t xml:space="preserve">Iron rod, 12 mm: not enough stock for this quantity. Reduce it. | Iron rod, 12 mm: 586 is far above this customer's usual 42.</t>
  </si>
  <si>
    <t xml:space="preserve">SAND-T × 1 @ 185,000; PNT-20W × 11 @ 38,000</t>
  </si>
  <si>
    <t xml:space="preserve">PVC-2 × 2 @ 4,100; WIRE-25 × 11 @ 52,000; ROD-16 × 15 @ 11,800</t>
  </si>
  <si>
    <t xml:space="preserve">ROOF-AL × 55 @ 12,500; XX-704 × None (not in catalogue)</t>
  </si>
  <si>
    <t xml:space="preserve">Row 3: XX-704 - not in the catalogue</t>
  </si>
  <si>
    <t xml:space="preserve">PNT-20W × 26 @ 38,000; WIRE-25 × 2 @ 52,000; ROD-16 × 17 @ 11,800</t>
  </si>
  <si>
    <t xml:space="preserve">PVC-4 × 30 @ 8,600; ROD-12 × 135 @ 7,200</t>
  </si>
  <si>
    <t xml:space="preserve">Iron rod, 12 mm: 135 is far above this customer's usual 25.</t>
  </si>
  <si>
    <t xml:space="preserve">PNT-20W × 20 @ 38,000</t>
  </si>
  <si>
    <t xml:space="preserve">ROD-12 × 13 @ 7,200</t>
  </si>
  <si>
    <t xml:space="preserve">TIL-6060 × 14 @ 14,500; PNT-20C × 4 @ 38,000</t>
  </si>
  <si>
    <t xml:space="preserve">ROOF-AL × 49 @ 12,500; NAIL-3 × 13 @ 31,000; WIRE-25 × 2 @ 52,000</t>
  </si>
  <si>
    <t xml:space="preserve">PVC-4 × 6 @ 8,600; TIL-6060 × 92 @ 14,500; WIRE-25 × 9 @ 52,000</t>
  </si>
  <si>
    <t xml:space="preserve">PVC-2 × 2 @ 4,100; WIRE-25 × 8 @ 52,000</t>
  </si>
  <si>
    <t xml:space="preserve">TIL-6060 × 42 @ 14,500; ROD-16 × 60 @ 11,800</t>
  </si>
  <si>
    <t xml:space="preserve">The delivery date is in the past. | Iron rod, 16 mm: 60 is far above this customer's usual 18.</t>
  </si>
  <si>
    <t xml:space="preserve">PVC-4 × 25 @ 8,600; PNT-20W × 28 @ 38,000</t>
  </si>
  <si>
    <t xml:space="preserve">PNT-20W × 5 @ 38,000; PVC-2 × 2 @ 4,100</t>
  </si>
  <si>
    <t xml:space="preserve">ROD-12 × 144 @ 7,200; ROD-16 × 46 @ 11,800; CEM-50 × 98 @ 9,500</t>
  </si>
  <si>
    <t xml:space="preserve">Iron rod, 12 mm: 144 is far above this customer's usual 22.</t>
  </si>
  <si>
    <t xml:space="preserve">PNT-20C × 10 @ 38,000; NAIL-3 × 9 @ 31,000; CEM-50 × 23 @ 9,500</t>
  </si>
  <si>
    <t xml:space="preserve">ROD-16 × 52 @ 11,800</t>
  </si>
  <si>
    <t xml:space="preserve">ROD-12 × 33 @ 7,200</t>
  </si>
  <si>
    <t xml:space="preserve">ROOF-AL × 49 @ 12,500; ROD-12 × 77 @ 7,200</t>
  </si>
  <si>
    <t xml:space="preserve">ROD-16 - Quantity must be a whole number | Iron rod, 12 mm: 77 is far above this customer's usual 17.</t>
  </si>
  <si>
    <t xml:space="preserve">NAIL-3 × 1 @ 31,000; ROD-16 × 63 @ 11,800</t>
  </si>
  <si>
    <t xml:space="preserve">PVC-2 × 2 @ 4,100; ROD-16 × 29 @ 11,800; CEM-50 × 167 @ 9,500</t>
  </si>
  <si>
    <t xml:space="preserve">TIL-6060 × 32 @ 14,500; PVC-2 × 2 @ 4,100; NAIL-3 × 4 @ 31,000</t>
  </si>
  <si>
    <t xml:space="preserve">SAND-T × 1 @ 185,000; TIL-6060 × 29 @ 14,500; PNT-20W × 13 @ 38,000; WIRE-25 × 10 @ 52,000</t>
  </si>
  <si>
    <t xml:space="preserve">PVC-4 × 48 @ 8,600; PNT-20C × 10 @ 38,000</t>
  </si>
  <si>
    <t xml:space="preserve">PVC-4 × 12 @ 8,600</t>
  </si>
  <si>
    <t xml:space="preserve">PVC-4 × 58 @ 8,600</t>
  </si>
  <si>
    <t xml:space="preserve">PVC-4 × 21 @ 8,600; TIL-6060 × 52 @ 14,500; ROD-16 × 23 @ 11,800</t>
  </si>
  <si>
    <t xml:space="preserve">ROD-12 × 586 @ 7,200; PVC-2 × 2 @ 4,100</t>
  </si>
  <si>
    <t xml:space="preserve">Iron rod, 12 mm: not enough stock for this quantity. Reduce it. | Iron rod, 12 mm: 586 is far above this customer's usual 43.</t>
  </si>
  <si>
    <t xml:space="preserve">PVC-2 × 2 @ 4,100; WIRE-25 × 1 @ 52,000; CEM-50 × 125 @ 9,500</t>
  </si>
  <si>
    <t xml:space="preserve">SAND-T × 1 @ 185,000; TIL-6060 × 47 @ 14,500; ROD-12 × 61 @ 7,200; PNT-20C × 7 @ 38,000</t>
  </si>
  <si>
    <t xml:space="preserve">SAND-T × 1 @ 185,000; NAIL-3 × 7 @ 31,000</t>
  </si>
  <si>
    <t xml:space="preserve">PVC-4 × 20 @ 8,600; SAND-T × 1 @ 185,000</t>
  </si>
  <si>
    <t xml:space="preserve">PVC-4 × 2 @ 8,600; CEM-50 × 68 @ 9,500</t>
  </si>
  <si>
    <t xml:space="preserve">ROD-12 × 1537 @ 7,200; ROD-16 × 12 @ 11,800</t>
  </si>
  <si>
    <t xml:space="preserve">Iron rod, 12 mm: quantity must be between 5 and 1500. | Iron rod, 12 mm: not enough stock for this quantity. Reduce it. | Iron rod, 12 mm: 1537 is far above this customer's usual 32.</t>
  </si>
  <si>
    <t xml:space="preserve">ROD-12 × 119 @ 7,200</t>
  </si>
  <si>
    <t xml:space="preserve">The delivery date is in the past. | Iron rod, 12 mm: 119 is far above this customer's usual 22.</t>
  </si>
  <si>
    <t xml:space="preserve">PNT-20W × 26 @ 38,000; PNT-20C × 1 @ 38,000; WIRE-25 × 15 @ 52,000</t>
  </si>
  <si>
    <t xml:space="preserve">PNT-20W × 15 @ 38,000; WIRE-25 × 9 @ 52,000; ROD-16 × 11 @ 11,800</t>
  </si>
  <si>
    <t xml:space="preserve">PNT-20C × 2 @ 38,000; PVC-2 × 1 @ 4,100</t>
  </si>
  <si>
    <t xml:space="preserve">ROOF-AL × 68 @ 12,500; PVC-2 × 2 @ 4,100; ROD-16 × 51 @ 11,800</t>
  </si>
  <si>
    <t xml:space="preserve">ROD-12 × 83 @ 7,200; ROD-16 × 67 @ 11,800</t>
  </si>
  <si>
    <t xml:space="preserve">ROD-12 × 4 @ 7,200; PVC-2 × 2 @ 4,100; ROD-16 × 27 @ 11,800</t>
  </si>
  <si>
    <t xml:space="preserve">NAIL-3 × 6 @ 31,000; CEM-50 × 150 @ 9,500</t>
  </si>
  <si>
    <t xml:space="preserve">PNT-20W × 17 @ 38,000; NAIL-3 × 1 @ 31,000</t>
  </si>
  <si>
    <t xml:space="preserve">ROOF-AL × 59 @ 12,500; TIL-6060 × 838 @ 14,500; ROD-12 × 91 @ 7,200</t>
  </si>
  <si>
    <t xml:space="preserve">This looks like a repeat of ORD-3690. Confirm it is a new order.</t>
  </si>
  <si>
    <t xml:space="preserve">Orders</t>
  </si>
  <si>
    <t xml:space="preserve">Passed</t>
  </si>
  <si>
    <t xml:space="preserve">Warned</t>
  </si>
  <si>
    <t xml:space="preserve">Blocked</t>
  </si>
  <si>
    <t xml:space="preserve">Order value (₦)</t>
  </si>
  <si>
    <t xml:space="preserve">Total</t>
  </si>
  <si>
    <t xml:space="preserve">Detection rate</t>
  </si>
  <si>
    <t xml:space="preserve">Note</t>
  </si>
  <si>
    <t xml:space="preserve">For clean orders the "detection rate" is a false-alarm rate; lower is better.</t>
  </si>
  <si>
    <t xml:space="preserve">Flagged only by unrelated rules: Quantity limits ×13, Duplicate order ×1</t>
  </si>
  <si>
    <t xml:space="preserve">Flagged only by unrelated rules: Unusual quantity ×17, Duplicate order ×2</t>
  </si>
  <si>
    <t xml:space="preserve">Flagged only by unrelated rules: Unusual quantity ×4</t>
  </si>
  <si>
    <t xml:space="preserve">Binary view: does the order contain an error, and did the system flag it (warn or fail)?</t>
  </si>
  <si>
    <t xml:space="preserve">A. All 500 orders (every planted error, including those no rule targets)</t>
  </si>
  <si>
    <t xml:space="preserve">Flagged by system</t>
  </si>
  <si>
    <t xml:space="preserve">Passed by system</t>
  </si>
  <si>
    <t xml:space="preserve">Order has an error</t>
  </si>
  <si>
    <t xml:space="preserve">Clean order</t>
  </si>
  <si>
    <t xml:space="preserve">Accuracy</t>
  </si>
  <si>
    <t xml:space="preserve">(TP+TN) / all orders</t>
  </si>
  <si>
    <t xml:space="preserve">Precision</t>
  </si>
  <si>
    <t xml:space="preserve">of flagged orders, share that really had an error</t>
  </si>
  <si>
    <t xml:space="preserve">Recall (detection rate)</t>
  </si>
  <si>
    <t xml:space="preserve">of erroneous orders, share flagged</t>
  </si>
  <si>
    <t xml:space="preserve">Specificity</t>
  </si>
  <si>
    <t xml:space="preserve">of clean orders, share passed without a flag</t>
  </si>
  <si>
    <t xml:space="preserve">F1 score</t>
  </si>
  <si>
    <t xml:space="preserve">harmonic mean of precision and recall</t>
  </si>
  <si>
    <t xml:space="preserve">B. Only error types a rule is designed for, plus all clean orders</t>
  </si>
  <si>
    <t xml:space="preserve">Validation rule</t>
  </si>
  <si>
    <t xml:space="preserve">Severity</t>
  </si>
  <si>
    <t xml:space="preserve">Orders it fired on</t>
  </si>
  <si>
    <t xml:space="preserve">On orders with a planted error</t>
  </si>
  <si>
    <t xml:space="preserve">On clean orders (false alarms)</t>
  </si>
  <si>
    <t xml:space="preserve">False-alarm share</t>
  </si>
  <si>
    <t xml:space="preserve">Warning</t>
  </si>
  <si>
    <t xml:space="preserve">Blocking</t>
  </si>
  <si>
    <t xml:space="preserve">Counts taken from the "Rules triggered" column of Orders when the run was analysed (an order can trigger several rules).</t>
  </si>
  <si>
    <t xml:space="preserve">Statistic</t>
  </si>
  <si>
    <t xml:space="preserve">Orders measured</t>
  </si>
  <si>
    <t xml:space="preserve">Mean</t>
  </si>
  <si>
    <t xml:space="preserve">Median</t>
  </si>
  <si>
    <t xml:space="preserve">95th percentile</t>
  </si>
  <si>
    <t xml:space="preserve">Minimum</t>
  </si>
  <si>
    <t xml:space="preserve">Maximum</t>
  </si>
  <si>
    <t xml:space="preserve">Standard deviation</t>
  </si>
  <si>
    <t xml:space="preserve">Mean – passed orders</t>
  </si>
  <si>
    <t xml:space="preserve">Mean – warned orders</t>
  </si>
  <si>
    <t xml:space="preserve">Mean – blocked orders</t>
  </si>
  <si>
    <t xml:space="preserve">From (ms)</t>
  </si>
  <si>
    <t xml:space="preserve">To (ms)</t>
  </si>
  <si>
    <t xml:space="preserve">Measured inside the database (clock time around submit_order), Supabase Postgres 17, eu-west-1. Excludes network time to the browser.</t>
  </si>
  <si>
    <t xml:space="preserve">Objective</t>
  </si>
  <si>
    <t xml:space="preserve">Success criterion</t>
  </si>
  <si>
    <t xml:space="preserve">Measured result</t>
  </si>
  <si>
    <t xml:space="preserve">Status</t>
  </si>
  <si>
    <t xml:space="preserve">Evidence / note</t>
  </si>
  <si>
    <t xml:space="preserve">Build a digital order-processing system</t>
  </si>
  <si>
    <t xml:space="preserve">500 successful simulated orders</t>
  </si>
  <si>
    <t xml:space="preserve">Met</t>
  </si>
  <si>
    <t xml:space="preserve">Every order was saved, validated and routed by the live functions (Orders sheet).</t>
  </si>
  <si>
    <t xml:space="preserve">Validate orders automatically</t>
  </si>
  <si>
    <t xml:space="preserve">90% validation accuracy</t>
  </si>
  <si>
    <t xml:space="preserve">Partly met</t>
  </si>
  <si>
    <t xml:space="preserve">Below 90% when realistic mistakes with no rule are included; above 90% on the error types the rules cover. 32 of 33 false alarms came from the unusual-quantity warning.</t>
  </si>
  <si>
    <t xml:space="preserve">Reduce manual data-entry errors</t>
  </si>
  <si>
    <t xml:space="preserve">100% mandatory-field completion</t>
  </si>
  <si>
    <t xml:space="preserve">Orders missing a mandatory field cannot leave validation (blocked by the database).</t>
  </si>
  <si>
    <t xml:space="preserve">60% reduction in manual errors</t>
  </si>
  <si>
    <t xml:space="preserve">Needs the manual baseline</t>
  </si>
  <si>
    <t xml:space="preserve">Pending</t>
  </si>
  <si>
    <t xml:space="preserve">Improve processing speed</t>
  </si>
  <si>
    <t xml:space="preserve">30–50% faster processing</t>
  </si>
  <si>
    <t xml:space="preserve">Automatic checking is near-instant, but the criterion compares end-to-end staff time; needs the manual baseline.</t>
  </si>
  <si>
    <t xml:space="preserve">Manual-entry baseline – fill in the yellow cells (blue text). One row per sample order (about 30 recommended).</t>
  </si>
  <si>
    <t xml:space="preserve">Time a person re-keying each order from its original Excel/WhatsApp/e-mail message, count the errors they make, then do the same order in Verity.</t>
  </si>
  <si>
    <t xml:space="preserve">Sample #</t>
  </si>
  <si>
    <t xml:space="preserve">Source message</t>
  </si>
  <si>
    <t xml:space="preserve">Manual: time (seconds)</t>
  </si>
  <si>
    <t xml:space="preserve">Manual: errors made</t>
  </si>
  <si>
    <t xml:space="preserve">Verity: time (seconds)</t>
  </si>
  <si>
    <t xml:space="preserve">Verity: errors reaching approval</t>
  </si>
  <si>
    <t xml:space="preserve">Time saved</t>
  </si>
  <si>
    <t xml:space="preserve">WhatsApp message</t>
  </si>
  <si>
    <t xml:space="preserve">Totals</t>
  </si>
  <si>
    <t xml:space="preserve">Error reduction</t>
  </si>
  <si>
    <t xml:space="preserve">target: at least 60%</t>
  </si>
  <si>
    <t xml:space="preserve">target: 30–50%</t>
  </si>
  <si>
    <t xml:space="preserve">Row 5 is an example; overwrite or clear it. Yellow cells are inputs; column G and rows 36–39 calculate themselves.</t>
  </si>
  <si>
    <t xml:space="preserve">Order no.</t>
  </si>
  <si>
    <t xml:space="preserve">Items (SKU x qty @ unit price)</t>
  </si>
  <si>
    <t xml:space="preserve">Expected rule</t>
  </si>
  <si>
    <t xml:space="preserve">Draft event at</t>
  </si>
  <si>
    <t xml:space="preserve">Submitted event at</t>
  </si>
  <si>
    <t xml:space="preserve">Last event at</t>
  </si>
  <si>
    <t xml:space="preserve">Last status</t>
  </si>
  <si>
    <t xml:space="preserve">Rule: mandatory</t>
  </si>
  <si>
    <t xml:space="preserve">Rule: sku</t>
  </si>
  <si>
    <t xml:space="preserve">Rule: quantity</t>
  </si>
  <si>
    <t xml:space="preserve">Rule: stock</t>
  </si>
  <si>
    <t xml:space="preserve">Rule: customer_status</t>
  </si>
  <si>
    <t xml:space="preserve">Rule: pricing</t>
  </si>
  <si>
    <t xml:space="preserve">Rule: delivery</t>
  </si>
  <si>
    <t xml:space="preserve">Rule: duplicate</t>
  </si>
  <si>
    <t xml:space="preserve">Rule: unusual_quantity</t>
  </si>
  <si>
    <t xml:space="preserve">Delivery date given</t>
  </si>
  <si>
    <t xml:space="preserve">ORD-3782</t>
  </si>
  <si>
    <t xml:space="preserve">WIRE-25 x 10 @ 52,000</t>
  </si>
  <si>
    <t xml:space="preserve">mandatory</t>
  </si>
  <si>
    <t xml:space="preserve">2026-10-27T10:36:08.478438+00:00</t>
  </si>
  <si>
    <t xml:space="preserve">2026-10-27T10:36:08.480878+00:00</t>
  </si>
  <si>
    <t xml:space="preserve">2026-10-27T10:36:08.481309+00:00</t>
  </si>
  <si>
    <t xml:space="preserve">ORD-3783</t>
  </si>
  <si>
    <t xml:space="preserve">CEM-50 x 104 @ 9,500</t>
  </si>
  <si>
    <t xml:space="preserve">mandatory, unusual_quantity</t>
  </si>
  <si>
    <t xml:space="preserve">Choose a delivery date. | Cement, 50 kg bag: 104 is far above this customer's usual 23.</t>
  </si>
  <si>
    <t xml:space="preserve">2026-10-27T10:36:08.4844+00:00</t>
  </si>
  <si>
    <t xml:space="preserve">2026-10-27T10:36:08.490012+00:00</t>
  </si>
  <si>
    <t xml:space="preserve">2026-10-27T10:36:08.490486+00:00</t>
  </si>
  <si>
    <t xml:space="preserve">ORD-3784</t>
  </si>
  <si>
    <t xml:space="preserve">NAIL-3 x 1 @ 31,000; SAND-T x 1 @ 185,000; TIL-6060 x 48 @ 14,500; WIRE-25 x 12 @ 52,000</t>
  </si>
  <si>
    <t xml:space="preserve">sku</t>
  </si>
  <si>
    <t xml:space="preserve">sku, stock</t>
  </si>
  <si>
    <t xml:space="preserve">2026-10-27T10:36:08.492563+00:00</t>
  </si>
  <si>
    <t xml:space="preserve">2026-10-27T10:36:08.495723+00:00</t>
  </si>
  <si>
    <t xml:space="preserve">2026-10-27T10:36:08.496122+00:00</t>
  </si>
  <si>
    <t xml:space="preserve">ORD-3785</t>
  </si>
  <si>
    <t xml:space="preserve">WIRE-25 x 13 @ 52,000; PVC-4 x 2.5 (Quantity must be a whole number)</t>
  </si>
  <si>
    <t xml:space="preserve">quantity</t>
  </si>
  <si>
    <t xml:space="preserve">2026-10-27T10:36:08.49845+00:00</t>
  </si>
  <si>
    <t xml:space="preserve">2026-10-27T10:36:08.50121+00:00</t>
  </si>
  <si>
    <t xml:space="preserve">2026-10-27T10:36:08.50162+00:00</t>
  </si>
  <si>
    <t xml:space="preserve">ORD-3786</t>
  </si>
  <si>
    <t xml:space="preserve">NAIL-3 x 11 @ 31,000; ROD-12 x 586 @ 7,200; ROD-16 x 39 @ 11,800; WIRE-25 x 12 @ 52,000</t>
  </si>
  <si>
    <t xml:space="preserve">stock</t>
  </si>
  <si>
    <t xml:space="preserve">stock, unusual_quantity</t>
  </si>
  <si>
    <t xml:space="preserve">2026-10-27T10:36:08.503648+00:00</t>
  </si>
  <si>
    <t xml:space="preserve">2026-10-27T10:36:08.511376+00:00</t>
  </si>
  <si>
    <t xml:space="preserve">2026-10-27T10:36:08.511833+00:00</t>
  </si>
  <si>
    <t xml:space="preserve">ORD-3787</t>
  </si>
  <si>
    <t xml:space="preserve">NAIL-3 x 9 @ 31,000; PNT-20C x 5 @ 38,000; ROD-16 x 67 @ 11,800; TIL-6060 x 2.5 (Quantity must be a whole number)</t>
  </si>
  <si>
    <t xml:space="preserve">2026-10-27T10:36:08.513837+00:00</t>
  </si>
  <si>
    <t xml:space="preserve">2026-10-27T10:36:08.516723+00:00</t>
  </si>
  <si>
    <t xml:space="preserve">2026-10-27T10:36:08.517133+00:00</t>
  </si>
  <si>
    <t xml:space="preserve">ORD-3788</t>
  </si>
  <si>
    <t xml:space="preserve">PNT-20C x 10 @ 38,000</t>
  </si>
  <si>
    <t xml:space="preserve">2026-10-27T10:36:08.51894+00:00</t>
  </si>
  <si>
    <t xml:space="preserve">2026-10-27T10:36:08.521308+00:00</t>
  </si>
  <si>
    <t xml:space="preserve">2026-10-27T10:36:08.52173+00:00</t>
  </si>
  <si>
    <t xml:space="preserve">ORD-3789</t>
  </si>
  <si>
    <t xml:space="preserve">PVC-2 x 2 @ 4,100; PVC-4 x 55 @ 8,600</t>
  </si>
  <si>
    <t xml:space="preserve">delivery</t>
  </si>
  <si>
    <t xml:space="preserve">2026-10-27T10:36:08.523454+00:00</t>
  </si>
  <si>
    <t xml:space="preserve">2026-10-27T10:36:08.526041+00:00</t>
  </si>
  <si>
    <t xml:space="preserve">2026-10-27T10:36:08.526487+00:00</t>
  </si>
  <si>
    <t xml:space="preserve">ORD-3790</t>
  </si>
  <si>
    <t xml:space="preserve">CEM-50 x 178 @ 9,500; PVC-2 x 2 @ 4,100; PVC-4 x 47 @ 8,600</t>
  </si>
  <si>
    <t xml:space="preserve">unusual_quantity</t>
  </si>
  <si>
    <t xml:space="preserve">Cement, 50 kg bag: 178 is far above this customer's usual 23.</t>
  </si>
  <si>
    <t xml:space="preserve">2026-10-27T10:36:08.527486+00:00</t>
  </si>
  <si>
    <t xml:space="preserve">2026-10-27T10:36:08.533523+00:00</t>
  </si>
  <si>
    <t xml:space="preserve">2026-10-27T10:36:08.533951+00:00</t>
  </si>
  <si>
    <t xml:space="preserve">ORD-3791</t>
  </si>
  <si>
    <t xml:space="preserve">NAIL-3 x 7 @ 31,000; PNT-20C x 1 @ 38,000</t>
  </si>
  <si>
    <t xml:space="preserve">2026-10-27T10:36:08.535559+00:00</t>
  </si>
  <si>
    <t xml:space="preserve">2026-10-27T10:36:08.53968+00:00</t>
  </si>
  <si>
    <t xml:space="preserve">2026-10-27T10:36:08.540085+00:00</t>
  </si>
  <si>
    <t xml:space="preserve">ORD-3792</t>
  </si>
  <si>
    <t xml:space="preserve">CEM-50 x 190 @ 9,500; PNT-20W x 29 @ 38,000; PVC-4 x 34 @ 8,600</t>
  </si>
  <si>
    <t xml:space="preserve">Plausible quantity typing slip</t>
  </si>
  <si>
    <t xml:space="preserve">Cement, 50 kg bag: 190 is far above this customer's usual 23.</t>
  </si>
  <si>
    <t xml:space="preserve">2026-10-27T10:36:08.541948+00:00</t>
  </si>
  <si>
    <t xml:space="preserve">2026-10-27T10:36:08.548443+00:00</t>
  </si>
  <si>
    <t xml:space="preserve">2026-10-27T10:36:08.548891+00:00</t>
  </si>
  <si>
    <t xml:space="preserve">ORD-3793</t>
  </si>
  <si>
    <t xml:space="preserve">ROD-16 x 73 @ 11,800; ROOF-AL x 1043 @ 12,500; TIL-6060 x 10 @ 14,500</t>
  </si>
  <si>
    <t xml:space="preserve">quantity, stock</t>
  </si>
  <si>
    <t xml:space="preserve">2026-10-27T10:36:08.550631+00:00</t>
  </si>
  <si>
    <t xml:space="preserve">2026-10-27T10:36:08.553931+00:00</t>
  </si>
  <si>
    <t xml:space="preserve">2026-10-27T10:36:08.554356+00:00</t>
  </si>
  <si>
    <t xml:space="preserve">ORD-3794</t>
  </si>
  <si>
    <t xml:space="preserve">ROD-12 x 12 @ 7,200; ROD-16 x 19 @ 11,800</t>
  </si>
  <si>
    <t xml:space="preserve">2026-10-27T10:36:08.560981+00:00</t>
  </si>
  <si>
    <t xml:space="preserve">2026-10-27T10:36:08.568594+00:00</t>
  </si>
  <si>
    <t xml:space="preserve">2026-10-27T10:36:08.56906+00:00</t>
  </si>
  <si>
    <t xml:space="preserve">ORD-3795</t>
  </si>
  <si>
    <t xml:space="preserve">PNT-20C x 7 @ 38,000; PVC-2 x 2 @ 4,100; PVC-4 x 61 @ 8,600</t>
  </si>
  <si>
    <t xml:space="preserve">2026-10-27T10:36:08.570777+00:00</t>
  </si>
  <si>
    <t xml:space="preserve">2026-10-27T10:36:08.573972+00:00</t>
  </si>
  <si>
    <t xml:space="preserve">2026-10-27T10:36:08.574559+00:00</t>
  </si>
  <si>
    <t xml:space="preserve">ORD-3796</t>
  </si>
  <si>
    <t xml:space="preserve">NAIL-3 x 1 @ 31,000; PNT-20C x 8 @ 38,000; PVC-4 x 9 @ 8,600</t>
  </si>
  <si>
    <t xml:space="preserve">2026-10-27T10:36:08.576275+00:00</t>
  </si>
  <si>
    <t xml:space="preserve">2026-10-27T10:36:08.580984+00:00</t>
  </si>
  <si>
    <t xml:space="preserve">2026-10-27T10:36:08.581428+00:00</t>
  </si>
  <si>
    <t xml:space="preserve">ORD-3797</t>
  </si>
  <si>
    <t xml:space="preserve">ROD-16 x 25 @ 11,800</t>
  </si>
  <si>
    <t xml:space="preserve">2026-10-27T10:36:08.583089+00:00</t>
  </si>
  <si>
    <t xml:space="preserve">2026-10-27T10:36:08.585657+00:00</t>
  </si>
  <si>
    <t xml:space="preserve">2026-10-27T10:36:08.58609+00:00</t>
  </si>
  <si>
    <t xml:space="preserve">ORD-3798</t>
  </si>
  <si>
    <t xml:space="preserve">PVC-2 x 2 @ 4,100</t>
  </si>
  <si>
    <t xml:space="preserve">Customer account not active</t>
  </si>
  <si>
    <t xml:space="preserve">customer_status</t>
  </si>
  <si>
    <t xml:space="preserve">The customer account is not active.</t>
  </si>
  <si>
    <t xml:space="preserve">2026-10-27T10:36:08.58771+00:00</t>
  </si>
  <si>
    <t xml:space="preserve">2026-10-27T10:36:08.590485+00:00</t>
  </si>
  <si>
    <t xml:space="preserve">2026-10-27T10:36:08.591564+00:00</t>
  </si>
  <si>
    <t xml:space="preserve">ORD-3799</t>
  </si>
  <si>
    <t xml:space="preserve">CEM-50 x 22 @ 9,500; ROOF-AL x 21 @ 12,500</t>
  </si>
  <si>
    <t xml:space="preserve">2026-10-27T10:36:08.592892+00:00</t>
  </si>
  <si>
    <t xml:space="preserve">2026-10-27T10:36:08.599224+00:00</t>
  </si>
  <si>
    <t xml:space="preserve">2026-10-27T10:36:08.599662+00:00</t>
  </si>
  <si>
    <t xml:space="preserve">ORD-3800</t>
  </si>
  <si>
    <t xml:space="preserve">PNT-20W x 14 @ 38,000; ROD-16 x 23 @ 11,800; XX-680 x None (not in the catalogue)</t>
  </si>
  <si>
    <t xml:space="preserve">Row 4: XX-680 - not in the catalogue</t>
  </si>
  <si>
    <t xml:space="preserve">2026-10-27T10:36:08.601213+00:00</t>
  </si>
  <si>
    <t xml:space="preserve">2026-10-27T10:36:08.604148+00:00</t>
  </si>
  <si>
    <t xml:space="preserve">2026-10-27T10:36:08.604599+00:00</t>
  </si>
  <si>
    <t xml:space="preserve">ORD-3801</t>
  </si>
  <si>
    <t xml:space="preserve">PNT-20C x 1 @ 38,000; ROOF-AL x 17 @ 12,500</t>
  </si>
  <si>
    <t xml:space="preserve">2026-10-27T10:36:08.605834+00:00</t>
  </si>
  <si>
    <t xml:space="preserve">2026-10-27T10:36:08.610085+00:00</t>
  </si>
  <si>
    <t xml:space="preserve">2026-10-27T10:36:08.610526+00:00</t>
  </si>
  <si>
    <t xml:space="preserve">ORD-3802</t>
  </si>
  <si>
    <t xml:space="preserve">CEM-50 x 22 @ 9,500</t>
  </si>
  <si>
    <t xml:space="preserve">Price changed after the order was saved</t>
  </si>
  <si>
    <t xml:space="preserve">pricing</t>
  </si>
  <si>
    <t xml:space="preserve">Cement, 50 kg bag: price changed from 9500.00 to 10000.00. Save the order again to update it.</t>
  </si>
  <si>
    <t xml:space="preserve">2026-10-27T10:36:08.612522+00:00</t>
  </si>
  <si>
    <t xml:space="preserve">2026-10-27T10:36:08.619036+00:00</t>
  </si>
  <si>
    <t xml:space="preserve">2026-10-27T10:36:08.619481+00:00</t>
  </si>
  <si>
    <t xml:space="preserve">ORD-3803</t>
  </si>
  <si>
    <t xml:space="preserve">PNT-20W x 21 @ 38,000; ROD-12 x 1538 @ 7,200</t>
  </si>
  <si>
    <t xml:space="preserve">quantity, stock, unusual_quantity</t>
  </si>
  <si>
    <t xml:space="preserve">Iron rod, 12 mm: quantity must be between 5 and 1500. | Iron rod, 12 mm: not enough stock for this quantity. Reduce it. | Iron rod, 12 mm: 1538 is far above this customer's usual 13.</t>
  </si>
  <si>
    <t xml:space="preserve">2026-10-27T10:36:08.621248+00:00</t>
  </si>
  <si>
    <t xml:space="preserve">2026-10-27T10:36:08.628177+00:00</t>
  </si>
  <si>
    <t xml:space="preserve">2026-10-27T10:36:08.62862+00:00</t>
  </si>
  <si>
    <t xml:space="preserve">ORD-3804</t>
  </si>
  <si>
    <t xml:space="preserve">PNT-20W x 18 @ 38,000; TIL-6060 x 56 @ 14,500</t>
  </si>
  <si>
    <t xml:space="preserve">2026-10-27T10:36:08.629974+00:00</t>
  </si>
  <si>
    <t xml:space="preserve">2026-10-27T10:36:08.632975+00:00</t>
  </si>
  <si>
    <t xml:space="preserve">2026-10-27T10:36:08.633437+00:00</t>
  </si>
  <si>
    <t xml:space="preserve">ORD-3805</t>
  </si>
  <si>
    <t xml:space="preserve">PNT-20W x 15 @ 38,000; PVC-2 x 1 @ 4,100</t>
  </si>
  <si>
    <t xml:space="preserve">2026-10-27T10:36:08.638047+00:00</t>
  </si>
  <si>
    <t xml:space="preserve">2026-10-27T10:36:08.641074+00:00</t>
  </si>
  <si>
    <t xml:space="preserve">2026-10-27T10:36:08.641507+00:00</t>
  </si>
  <si>
    <t xml:space="preserve">ORD-3806</t>
  </si>
  <si>
    <t xml:space="preserve">NAIL-3 x 3 @ 31,000; PNT-20W x 14 @ 38,000; TIL-6060 x 22 @ 14,500</t>
  </si>
  <si>
    <t xml:space="preserve">Wrong but valid product</t>
  </si>
  <si>
    <t xml:space="preserve">2026-10-27T10:36:08.64332+00:00</t>
  </si>
  <si>
    <t xml:space="preserve">2026-10-27T10:36:08.64799+00:00</t>
  </si>
  <si>
    <t xml:space="preserve">2026-10-27T10:36:08.648492+00:00</t>
  </si>
  <si>
    <t xml:space="preserve">ORD-3807</t>
  </si>
  <si>
    <t xml:space="preserve">PNT-20W x 26 @ 38,000; PVC-2 x 6 @ 4,100; ROD-12 x 117 @ 7,200; TIL-6060 x 21 @ 14,500</t>
  </si>
  <si>
    <t xml:space="preserve">Iron rod, 12 mm: 117 is far above this customer's usual 13.</t>
  </si>
  <si>
    <t xml:space="preserve">2026-10-27T10:36:08.650577+00:00</t>
  </si>
  <si>
    <t xml:space="preserve">2026-10-27T10:36:08.658325+00:00</t>
  </si>
  <si>
    <t xml:space="preserve">2026-10-27T10:36:08.663334+00:00</t>
  </si>
  <si>
    <t xml:space="preserve">ORD-3808</t>
  </si>
  <si>
    <t xml:space="preserve">PVC-4 x 17 @ 8,600; WIRE-25 x 10 @ 52,000</t>
  </si>
  <si>
    <t xml:space="preserve">2026-10-27T10:36:08.665525+00:00</t>
  </si>
  <si>
    <t xml:space="preserve">2026-10-27T10:36:08.668539+00:00</t>
  </si>
  <si>
    <t xml:space="preserve">2026-10-27T10:36:08.668976+00:00</t>
  </si>
  <si>
    <t xml:space="preserve">ORD-3809</t>
  </si>
  <si>
    <t xml:space="preserve">PNT-20W x 3 @ 38,000; ROD-12 x 90 @ 7,200; ROOF-AL x 64 @ 12,500</t>
  </si>
  <si>
    <t xml:space="preserve">Iron rod, 12 mm: 90 is far above this customer's usual 13.</t>
  </si>
  <si>
    <t xml:space="preserve">2026-10-27T10:36:08.670462+00:00</t>
  </si>
  <si>
    <t xml:space="preserve">2026-10-27T10:36:08.678025+00:00</t>
  </si>
  <si>
    <t xml:space="preserve">2026-10-27T10:36:08.678491+00:00</t>
  </si>
  <si>
    <t xml:space="preserve">ORD-3810</t>
  </si>
  <si>
    <t xml:space="preserve">ROD-16 x 11 @ 11,800</t>
  </si>
  <si>
    <t xml:space="preserve">2026-10-27T10:36:08.680478+00:00</t>
  </si>
  <si>
    <t xml:space="preserve">2026-10-27T10:36:08.683227+00:00</t>
  </si>
  <si>
    <t xml:space="preserve">2026-10-27T10:36:08.683645+00:00</t>
  </si>
  <si>
    <t xml:space="preserve">ORD-3811</t>
  </si>
  <si>
    <t xml:space="preserve">NAIL-3 x 10 @ 31,000</t>
  </si>
  <si>
    <t xml:space="preserve">2026-10-27T10:36:08.685089+00:00</t>
  </si>
  <si>
    <t xml:space="preserve">2026-10-27T10:36:08.68781+00:00</t>
  </si>
  <si>
    <t xml:space="preserve">2026-10-27T10:36:08.688957+00:00</t>
  </si>
  <si>
    <t xml:space="preserve">ORD-3812</t>
  </si>
  <si>
    <t xml:space="preserve">NAIL-3 x 14 @ 31,000; PVC-4 x 42 @ 8,600</t>
  </si>
  <si>
    <t xml:space="preserve">Wrong saved address</t>
  </si>
  <si>
    <t xml:space="preserve">2026-10-27T10:36:08.691082+00:00</t>
  </si>
  <si>
    <t xml:space="preserve">2026-10-27T10:36:08.694444+00:00</t>
  </si>
  <si>
    <t xml:space="preserve">2026-10-27T10:36:08.694881+00:00</t>
  </si>
  <si>
    <t xml:space="preserve">ORD-3813</t>
  </si>
  <si>
    <t xml:space="preserve">NAIL-3 x 4 @ 31,000; ROD-12 x 1532 @ 7,200</t>
  </si>
  <si>
    <t xml:space="preserve">Iron rod, 12 mm: quantity must be between 5 and 1500. | Iron rod, 12 mm: not enough stock for this quantity. Reduce it. | Iron rod, 12 mm: 1532 is far above this customer's usual 13.</t>
  </si>
  <si>
    <t xml:space="preserve">2026-10-27T10:36:08.69704+00:00</t>
  </si>
  <si>
    <t xml:space="preserve">2026-10-27T10:36:08.705007+00:00</t>
  </si>
  <si>
    <t xml:space="preserve">2026-10-27T10:36:08.70547+00:00</t>
  </si>
  <si>
    <t xml:space="preserve">ORD-3814</t>
  </si>
  <si>
    <t xml:space="preserve">CEM-50 x 250 @ 9,500; ROOF-AL x 48 @ 12,500</t>
  </si>
  <si>
    <t xml:space="preserve">Cement, 50 kg bag: 250 is far above this customer's usual 23.</t>
  </si>
  <si>
    <t xml:space="preserve">2026-10-27T10:36:08.707096+00:00</t>
  </si>
  <si>
    <t xml:space="preserve">2026-10-27T10:36:08.71435+00:00</t>
  </si>
  <si>
    <t xml:space="preserve">2026-10-27T10:36:08.714871+00:00</t>
  </si>
  <si>
    <t xml:space="preserve">ORD-3815</t>
  </si>
  <si>
    <t xml:space="preserve">PVC-4 x 548 @ 8,600; ROOF-AL x 59 @ 12,500</t>
  </si>
  <si>
    <t xml:space="preserve">2026-10-27T10:36:08.717174+00:00</t>
  </si>
  <si>
    <t xml:space="preserve">2026-10-27T10:36:08.720829+00:00</t>
  </si>
  <si>
    <t xml:space="preserve">2026-10-27T10:36:08.721306+00:00</t>
  </si>
  <si>
    <t xml:space="preserve">ORD-3816</t>
  </si>
  <si>
    <t xml:space="preserve">WIRE-25 x 8 @ 52,000</t>
  </si>
  <si>
    <t xml:space="preserve">2026-10-27T10:36:08.722946+00:00</t>
  </si>
  <si>
    <t xml:space="preserve">2026-10-27T10:36:08.725791+00:00</t>
  </si>
  <si>
    <t xml:space="preserve">2026-10-27T10:36:08.726248+00:00</t>
  </si>
  <si>
    <t xml:space="preserve">ORD-3817</t>
  </si>
  <si>
    <t xml:space="preserve">CEM-50 x 200 @ 9,500; PNT-20C x 4 @ 38,000; PVC-2 x 2 @ 4,100</t>
  </si>
  <si>
    <t xml:space="preserve">Cement, 50 kg bag: 200 is far above this customer's usual 23.</t>
  </si>
  <si>
    <t xml:space="preserve">2026-10-27T10:36:08.728406+00:00</t>
  </si>
  <si>
    <t xml:space="preserve">2026-10-27T10:36:08.737966+00:00</t>
  </si>
  <si>
    <t xml:space="preserve">2026-10-27T10:36:08.738481+00:00</t>
  </si>
  <si>
    <t xml:space="preserve">ORD-3818</t>
  </si>
  <si>
    <t xml:space="preserve">PNT-20W x 4 @ 38,000</t>
  </si>
  <si>
    <t xml:space="preserve">Emulsion paint, white, 20 L: price changed from 38000.00 to 39900.00. Save the order again to update it.</t>
  </si>
  <si>
    <t xml:space="preserve">2026-10-27T10:36:08.741032+00:00</t>
  </si>
  <si>
    <t xml:space="preserve">2026-10-27T10:36:08.74445+00:00</t>
  </si>
  <si>
    <t xml:space="preserve">2026-10-27T10:36:08.744917+00:00</t>
  </si>
  <si>
    <t xml:space="preserve">ORD-3819</t>
  </si>
  <si>
    <t xml:space="preserve">WIRE-25 x 16 @ 52,000; XX-526 x None (not in the catalogue)</t>
  </si>
  <si>
    <t xml:space="preserve">Row 3: XX-526 - not in the catalogue</t>
  </si>
  <si>
    <t xml:space="preserve">2026-10-27T10:36:08.746884+00:00</t>
  </si>
  <si>
    <t xml:space="preserve">2026-10-27T10:36:08.749938+00:00</t>
  </si>
  <si>
    <t xml:space="preserve">2026-10-27T10:36:08.750419+00:00</t>
  </si>
  <si>
    <t xml:space="preserve">ORD-3820</t>
  </si>
  <si>
    <t xml:space="preserve">PVC-4 x 54 @ 8,600; SAND-T x 1 @ 185,000; WIRE-25 x 9 @ 52,000</t>
  </si>
  <si>
    <t xml:space="preserve">2026-10-27T10:36:08.752082+00:00</t>
  </si>
  <si>
    <t xml:space="preserve">2026-10-27T10:36:08.756121+00:00</t>
  </si>
  <si>
    <t xml:space="preserve">2026-10-27T10:36:08.756608+00:00</t>
  </si>
  <si>
    <t xml:space="preserve">ORD-3821</t>
  </si>
  <si>
    <t xml:space="preserve">PVC-4 x 18 @ 8,600; WIRE-25 x 9 @ 52,000</t>
  </si>
  <si>
    <t xml:space="preserve">2026-10-27T10:36:08.758335+00:00</t>
  </si>
  <si>
    <t xml:space="preserve">2026-10-27T10:36:08.761987+00:00</t>
  </si>
  <si>
    <t xml:space="preserve">2026-10-27T10:36:08.762492+00:00</t>
  </si>
  <si>
    <t xml:space="preserve">ORD-3822</t>
  </si>
  <si>
    <t xml:space="preserve">NAIL-3 x 2 @ 31,000; PNT-20C x 6 @ 38,000; PVC-2 x 2 @ 4,100</t>
  </si>
  <si>
    <t xml:space="preserve">2026-10-27T10:36:08.76477+00:00</t>
  </si>
  <si>
    <t xml:space="preserve">2026-10-27T10:36:08.770395+00:00</t>
  </si>
  <si>
    <t xml:space="preserve">2026-10-27T10:36:08.770864+00:00</t>
  </si>
  <si>
    <t xml:space="preserve">ORD-3823</t>
  </si>
  <si>
    <t xml:space="preserve">PNT-20W x 14 @ 38,000; PVC-2 x 9 @ 4,100; ROD-16 x 44 @ 11,800; ROOF-AL x 59 @ 12,500</t>
  </si>
  <si>
    <t xml:space="preserve">2026-10-27T10:36:08.773378+00:00</t>
  </si>
  <si>
    <t xml:space="preserve">2026-10-27T10:36:08.779778+00:00</t>
  </si>
  <si>
    <t xml:space="preserve">2026-10-27T10:36:08.780271+00:00</t>
  </si>
  <si>
    <t xml:space="preserve">ORD-3824</t>
  </si>
  <si>
    <t xml:space="preserve">PVC-4 x 16 @ 8,600</t>
  </si>
  <si>
    <t xml:space="preserve">2026-10-27T10:36:08.78265+00:00</t>
  </si>
  <si>
    <t xml:space="preserve">2026-10-27T10:36:08.787266+00:00</t>
  </si>
  <si>
    <t xml:space="preserve">2026-10-27T10:36:08.787758+00:00</t>
  </si>
  <si>
    <t xml:space="preserve">ORD-3825</t>
  </si>
  <si>
    <t xml:space="preserve">CEM-50 x 68 @ 9,500; PNT-20W x 29 @ 38,000; PVC-4 x 38 @ 8,600</t>
  </si>
  <si>
    <t xml:space="preserve">Cement, 50 kg bag: 68 is far above this customer's usual 23.</t>
  </si>
  <si>
    <t xml:space="preserve">2026-10-27T10:36:08.789645+00:00</t>
  </si>
  <si>
    <t xml:space="preserve">2026-10-27T10:36:08.798562+00:00</t>
  </si>
  <si>
    <t xml:space="preserve">2026-10-27T10:36:08.799032+00:00</t>
  </si>
  <si>
    <t xml:space="preserve">ORD-3826</t>
  </si>
  <si>
    <t xml:space="preserve">ROD-16 x 64 @ 11,800</t>
  </si>
  <si>
    <t xml:space="preserve">2026-10-27T10:36:08.801611+00:00</t>
  </si>
  <si>
    <t xml:space="preserve">2026-10-27T10:36:08.804759+00:00</t>
  </si>
  <si>
    <t xml:space="preserve">2026-10-27T10:36:08.805261+00:00</t>
  </si>
  <si>
    <t xml:space="preserve">ORD-3827</t>
  </si>
  <si>
    <t xml:space="preserve">PNT-20W x 2 @ 38,000; TIL-6060 x 27 @ 14,500; XX-565 x None (not in the catalogue)</t>
  </si>
  <si>
    <t xml:space="preserve">Row 4: XX-565 - not in the catalogue</t>
  </si>
  <si>
    <t xml:space="preserve">2026-10-27T10:36:08.807598+00:00</t>
  </si>
  <si>
    <t xml:space="preserve">2026-10-27T10:36:08.817402+00:00</t>
  </si>
  <si>
    <t xml:space="preserve">2026-10-27T10:36:08.817848+00:00</t>
  </si>
  <si>
    <t xml:space="preserve">ORD-3828</t>
  </si>
  <si>
    <t xml:space="preserve">PNT-20W x 4 @ 38,000; PVC-2 x 2 @ 4,100; WIRE-25 x 8 @ 52,000</t>
  </si>
  <si>
    <t xml:space="preserve">2026-10-27T10:36:08.819753+00:00</t>
  </si>
  <si>
    <t xml:space="preserve">2026-10-27T10:36:08.824606+00:00</t>
  </si>
  <si>
    <t xml:space="preserve">2026-10-27T10:36:08.825082+00:00</t>
  </si>
  <si>
    <t xml:space="preserve">ORD-3829</t>
  </si>
  <si>
    <t xml:space="preserve">CEM-50 x 170 @ 9,500; PVC-2 x 2 @ 4,100; ROOF-AL x 18 @ 12,500</t>
  </si>
  <si>
    <t xml:space="preserve">Cement, 50 kg bag: 170 is far above this customer's usual 23.</t>
  </si>
  <si>
    <t xml:space="preserve">2026-10-27T10:36:08.827519+00:00</t>
  </si>
  <si>
    <t xml:space="preserve">2026-10-27T10:36:08.836629+00:00</t>
  </si>
  <si>
    <t xml:space="preserve">2026-10-27T10:36:08.837133+00:00</t>
  </si>
  <si>
    <t xml:space="preserve">ORD-3830</t>
  </si>
  <si>
    <t xml:space="preserve">PNT-20C x 1 @ 38,000</t>
  </si>
  <si>
    <t xml:space="preserve">2026-10-27T10:36:08.83965+00:00</t>
  </si>
  <si>
    <t xml:space="preserve">2026-10-27T10:36:08.842971+00:00</t>
  </si>
  <si>
    <t xml:space="preserve">2026-10-27T10:36:08.844639+00:00</t>
  </si>
  <si>
    <t xml:space="preserve">ORD-3831</t>
  </si>
  <si>
    <t xml:space="preserve">CEM-50 x 180 @ 9,500; PNT-20W x 12 @ 38,000; PVC-2 x 2 @ 4,100; PVC-4 x 41 @ 8,600</t>
  </si>
  <si>
    <t xml:space="preserve">Cement, 50 kg bag: 180 is far above this customer's usual 54.</t>
  </si>
  <si>
    <t xml:space="preserve">2026-10-27T10:36:08.846754+00:00</t>
  </si>
  <si>
    <t xml:space="preserve">2026-10-27T10:36:08.857258+00:00</t>
  </si>
  <si>
    <t xml:space="preserve">2026-10-27T10:36:08.857766+00:00</t>
  </si>
  <si>
    <t xml:space="preserve">ORD-3832</t>
  </si>
  <si>
    <t xml:space="preserve">PNT-20C x 8 @ 38,000; PVC-4 x 55 @ 8,600; TIL-6060 x 67 @ 14,500</t>
  </si>
  <si>
    <t xml:space="preserve">Emulsion paint, cream, 20 L: price changed from 38000.00 to 39900.00. Save the order again to update it.</t>
  </si>
  <si>
    <t xml:space="preserve">2026-10-27T10:36:08.860505+00:00</t>
  </si>
  <si>
    <t xml:space="preserve">2026-10-27T10:36:08.866717+00:00</t>
  </si>
  <si>
    <t xml:space="preserve">2026-10-27T10:36:08.867168+00:00</t>
  </si>
  <si>
    <t xml:space="preserve">ORD-3833</t>
  </si>
  <si>
    <t xml:space="preserve">CEM-50 x 31 @ 9,500; ROD-16 x 46 @ 11,800</t>
  </si>
  <si>
    <t xml:space="preserve">2026-10-27T10:36:08.86955+00:00</t>
  </si>
  <si>
    <t xml:space="preserve">2026-10-27T10:36:08.878547+00:00</t>
  </si>
  <si>
    <t xml:space="preserve">2026-10-27T10:36:08.879015+00:00</t>
  </si>
  <si>
    <t xml:space="preserve">ORD-3834</t>
  </si>
  <si>
    <t xml:space="preserve">CEM-50 x 110 @ 9,500; ROD-12 x 33 @ 7,200</t>
  </si>
  <si>
    <t xml:space="preserve">Choose a delivery date. | Cement, 50 kg bag: 110 is far above this customer's usual 23.</t>
  </si>
  <si>
    <t xml:space="preserve">2026-10-27T10:36:08.881324+00:00</t>
  </si>
  <si>
    <t xml:space="preserve">2026-10-27T10:36:08.894679+00:00</t>
  </si>
  <si>
    <t xml:space="preserve">2026-10-27T10:36:08.895164+00:00</t>
  </si>
  <si>
    <t xml:space="preserve">ORD-3835</t>
  </si>
  <si>
    <t xml:space="preserve">NAIL-3 x 11 @ 31,000; ROOF-AL x 59 @ 12,500; WIRE-25 x 6 @ 52,000</t>
  </si>
  <si>
    <t xml:space="preserve">2026-10-27T10:36:08.897319+00:00</t>
  </si>
  <si>
    <t xml:space="preserve">2026-10-27T10:36:08.903059+00:00</t>
  </si>
  <si>
    <t xml:space="preserve">2026-10-27T10:36:08.903571+00:00</t>
  </si>
  <si>
    <t xml:space="preserve">ORD-3836</t>
  </si>
  <si>
    <t xml:space="preserve">PVC-2 x 2 @ 4,100; ROD-12 x 97 @ 7,200</t>
  </si>
  <si>
    <t xml:space="preserve">Iron rod, 12 mm: 97 is far above this customer's usual 13.</t>
  </si>
  <si>
    <t xml:space="preserve">2026-10-27T10:36:08.906192+00:00</t>
  </si>
  <si>
    <t xml:space="preserve">2026-10-27T10:36:08.915023+00:00</t>
  </si>
  <si>
    <t xml:space="preserve">2026-10-27T10:36:08.915549+00:00</t>
  </si>
  <si>
    <t xml:space="preserve">ORD-3837</t>
  </si>
  <si>
    <t xml:space="preserve">CEM-50 x 75 @ 9,500; PVC-2 x 6 @ 4,100; ROD-16 x 56 @ 11,800</t>
  </si>
  <si>
    <t xml:space="preserve">Cement, 50 kg bag: 75 is far above this customer's usual 23.</t>
  </si>
  <si>
    <t xml:space="preserve">2026-10-27T10:36:08.918398+00:00</t>
  </si>
  <si>
    <t xml:space="preserve">2026-10-27T10:36:08.930086+00:00</t>
  </si>
  <si>
    <t xml:space="preserve">2026-10-27T10:36:08.93064+00:00</t>
  </si>
  <si>
    <t xml:space="preserve">ORD-3838</t>
  </si>
  <si>
    <t xml:space="preserve">duplicate</t>
  </si>
  <si>
    <t xml:space="preserve">duplicate, unusual_quantity</t>
  </si>
  <si>
    <t xml:space="preserve">Iron rod, 12 mm: 97 is far above this customer's usual 29. | This looks like a repeat of ORD-3836. Confirm it is a new order.</t>
  </si>
  <si>
    <t xml:space="preserve">2026-10-27T10:36:08.933593+00:00</t>
  </si>
  <si>
    <t xml:space="preserve">ORD-3839</t>
  </si>
  <si>
    <t xml:space="preserve">CEM-50 x 153 @ 9,500</t>
  </si>
  <si>
    <t xml:space="preserve">Cement, 50 kg bag: 153 is far above this customer's usual 33.</t>
  </si>
  <si>
    <t xml:space="preserve">2026-10-27T10:36:08.944791+00:00</t>
  </si>
  <si>
    <t xml:space="preserve">2026-10-27T10:36:08.953345+00:00</t>
  </si>
  <si>
    <t xml:space="preserve">2026-10-27T10:36:08.953882+00:00</t>
  </si>
  <si>
    <t xml:space="preserve">ORD-3840</t>
  </si>
  <si>
    <t xml:space="preserve">PVC-4 x 2 @ 8,600; ROD-12 x 79 @ 7,200</t>
  </si>
  <si>
    <t xml:space="preserve">Iron rod, 12 mm: 79 is far above this customer's usual 13.</t>
  </si>
  <si>
    <t xml:space="preserve">2026-10-27T10:36:08.958057+00:00</t>
  </si>
  <si>
    <t xml:space="preserve">2026-10-27T10:36:08.967301+00:00</t>
  </si>
  <si>
    <t xml:space="preserve">2026-10-27T10:36:08.96781+00:00</t>
  </si>
  <si>
    <t xml:space="preserve">ORD-3841</t>
  </si>
  <si>
    <t xml:space="preserve">PVC-4 x 44 @ 8,600; ROOF-AL x 29 @ 12,500</t>
  </si>
  <si>
    <t xml:space="preserve">2026-10-27T10:36:08.970602+00:00</t>
  </si>
  <si>
    <t xml:space="preserve">2026-10-27T10:36:08.975118+00:00</t>
  </si>
  <si>
    <t xml:space="preserve">2026-10-27T10:36:08.975595+00:00</t>
  </si>
  <si>
    <t xml:space="preserve">ORD-3842</t>
  </si>
  <si>
    <t xml:space="preserve">PNT-20C x 7 @ 38,000</t>
  </si>
  <si>
    <t xml:space="preserve">2026-10-27T10:36:08.977737+00:00</t>
  </si>
  <si>
    <t xml:space="preserve">2026-10-27T10:36:08.981235+00:00</t>
  </si>
  <si>
    <t xml:space="preserve">2026-10-27T10:36:08.981718+00:00</t>
  </si>
  <si>
    <t xml:space="preserve">ORD-3843</t>
  </si>
  <si>
    <t xml:space="preserve">ROOF-AL x 32 @ 12,500; WIRE-25 x 8 @ 52,000</t>
  </si>
  <si>
    <t xml:space="preserve">2026-10-27T10:36:08.984461+00:00</t>
  </si>
  <si>
    <t xml:space="preserve">2026-10-27T10:36:08.990295+00:00</t>
  </si>
  <si>
    <t xml:space="preserve">2026-10-27T10:36:08.992235+00:00</t>
  </si>
  <si>
    <t xml:space="preserve">ORD-3844</t>
  </si>
  <si>
    <t xml:space="preserve">NAIL-3 x 1 @ 31,000; PVC-2 x 2 @ 4,100; TIL-6060 x 73 @ 14,500</t>
  </si>
  <si>
    <t xml:space="preserve">2026-10-27T10:36:08.995031+00:00</t>
  </si>
  <si>
    <t xml:space="preserve">2026-10-27T10:36:09.000632+00:00</t>
  </si>
  <si>
    <t xml:space="preserve">2026-10-27T10:36:09.00113+00:00</t>
  </si>
  <si>
    <t xml:space="preserve">ORD-3845</t>
  </si>
  <si>
    <t xml:space="preserve">PNT-20W x 18 @ 38,000; PVC-2 x 2 @ 4,100; WIRE-25 x 1 @ 52,000</t>
  </si>
  <si>
    <t xml:space="preserve">2026-10-27T10:36:09.003984+00:00</t>
  </si>
  <si>
    <t xml:space="preserve">2026-10-27T10:36:09.010098+00:00</t>
  </si>
  <si>
    <t xml:space="preserve">2026-10-27T10:36:09.010609+00:00</t>
  </si>
  <si>
    <t xml:space="preserve">ORD-3846</t>
  </si>
  <si>
    <t xml:space="preserve">PNT-20W x 22 @ 38,000; PVC-2 x 2 @ 4,100</t>
  </si>
  <si>
    <t xml:space="preserve">2026-10-27T10:36:09.012819+00:00</t>
  </si>
  <si>
    <t xml:space="preserve">2026-10-27T10:36:09.018013+00:00</t>
  </si>
  <si>
    <t xml:space="preserve">2026-10-27T10:36:09.01853+00:00</t>
  </si>
  <si>
    <t xml:space="preserve">ORD-3847</t>
  </si>
  <si>
    <t xml:space="preserve">ROD-12 x 120 @ 7,200; XX-770 x None (not in the catalogue)</t>
  </si>
  <si>
    <t xml:space="preserve">sku, unusual_quantity</t>
  </si>
  <si>
    <t xml:space="preserve">Row 3: XX-770 - not in the catalogue | Iron rod, 12 mm: 120 is far above this customer's usual 13.</t>
  </si>
  <si>
    <t xml:space="preserve">2026-10-27T10:36:09.021342+00:00</t>
  </si>
  <si>
    <t xml:space="preserve">2026-10-27T10:36:09.029922+00:00</t>
  </si>
  <si>
    <t xml:space="preserve">2026-10-27T10:36:09.030407+00:00</t>
  </si>
  <si>
    <t xml:space="preserve">ORD-3848</t>
  </si>
  <si>
    <t xml:space="preserve">PNT-20C x 6 @ 38,000; PVC-4 x 39 @ 8,600; ROOF-AL x 9 @ 12,500; TIL-6060 x 32 @ 14,500</t>
  </si>
  <si>
    <t xml:space="preserve">2026-10-27T10:36:09.032819+00:00</t>
  </si>
  <si>
    <t xml:space="preserve">2026-10-27T10:36:09.040773+00:00</t>
  </si>
  <si>
    <t xml:space="preserve">2026-10-27T10:36:09.041268+00:00</t>
  </si>
  <si>
    <t xml:space="preserve">ORD-3849</t>
  </si>
  <si>
    <t xml:space="preserve">PNT-20C x 6 @ 38,000; ROD-12 x 141 @ 7,200; WIRE-25 x 8 @ 52,000</t>
  </si>
  <si>
    <t xml:space="preserve">Iron rod, 12 mm: 141 is far above this customer's usual 29.</t>
  </si>
  <si>
    <t xml:space="preserve">2026-10-27T10:36:09.043596+00:00</t>
  </si>
  <si>
    <t xml:space="preserve">2026-10-27T10:36:09.055819+00:00</t>
  </si>
  <si>
    <t xml:space="preserve">2026-10-27T10:36:09.056344+00:00</t>
  </si>
  <si>
    <t xml:space="preserve">ORD-3850</t>
  </si>
  <si>
    <t xml:space="preserve">PNT-20W x 6 @ 38,000; PVC-2 x 531 @ 4,100</t>
  </si>
  <si>
    <t xml:space="preserve">2026-10-27T10:36:09.059419+00:00</t>
  </si>
  <si>
    <t xml:space="preserve">2026-10-27T10:36:09.065051+00:00</t>
  </si>
  <si>
    <t xml:space="preserve">2026-10-27T10:36:09.065583+00:00</t>
  </si>
  <si>
    <t xml:space="preserve">ORD-3851</t>
  </si>
  <si>
    <t xml:space="preserve">PVC-2 x 2 @ 4,100; TIL-6060 x 79 @ 14,500</t>
  </si>
  <si>
    <t xml:space="preserve">2026-10-27T10:36:09.067969+00:00</t>
  </si>
  <si>
    <t xml:space="preserve">2026-10-27T10:36:09.073244+00:00</t>
  </si>
  <si>
    <t xml:space="preserve">2026-10-27T10:36:09.073734+00:00</t>
  </si>
  <si>
    <t xml:space="preserve">ORD-3852</t>
  </si>
  <si>
    <t xml:space="preserve">CEM-50 x 126 @ 9,500; ROOF-AL x 56 @ 12,500</t>
  </si>
  <si>
    <t xml:space="preserve">Cement, 50 kg bag: 126 is far above this customer's usual 23.</t>
  </si>
  <si>
    <t xml:space="preserve">2026-10-27T10:36:09.07673+00:00</t>
  </si>
  <si>
    <t xml:space="preserve">2026-10-27T10:36:09.08691+00:00</t>
  </si>
  <si>
    <t xml:space="preserve">2026-10-27T10:36:09.087444+00:00</t>
  </si>
  <si>
    <t xml:space="preserve">ORD-3853</t>
  </si>
  <si>
    <t xml:space="preserve">PNT-20W x 11 @ 38,000</t>
  </si>
  <si>
    <t xml:space="preserve">2026-10-27T10:36:09.090533+00:00</t>
  </si>
  <si>
    <t xml:space="preserve">2026-10-27T10:36:09.095316+00:00</t>
  </si>
  <si>
    <t xml:space="preserve">2026-10-27T10:36:09.095814+00:00</t>
  </si>
  <si>
    <t xml:space="preserve">ORD-3854</t>
  </si>
  <si>
    <t xml:space="preserve">PNT-20C x 3 @ 38,000; ROD-12 x 116 @ 7,200; WIRE-25 x 14 @ 52,000</t>
  </si>
  <si>
    <t xml:space="preserve">Iron rod, 12 mm: 116 is far above this customer's usual 13.</t>
  </si>
  <si>
    <t xml:space="preserve">2026-10-27T10:36:09.098828+00:00</t>
  </si>
  <si>
    <t xml:space="preserve">2026-10-27T10:36:09.110313+00:00</t>
  </si>
  <si>
    <t xml:space="preserve">2026-10-27T10:36:09.110842+00:00</t>
  </si>
  <si>
    <t xml:space="preserve">ORD-3855</t>
  </si>
  <si>
    <t xml:space="preserve">ROD-16 x 46 @ 11,800; WIRE-25 x 12 @ 52,000; XX-364 x None (not in the catalogue)</t>
  </si>
  <si>
    <t xml:space="preserve">Row 4: XX-364 - not in the catalogue</t>
  </si>
  <si>
    <t xml:space="preserve">2026-10-27T10:36:09.113954+00:00</t>
  </si>
  <si>
    <t xml:space="preserve">2026-10-27T10:36:09.119042+00:00</t>
  </si>
  <si>
    <t xml:space="preserve">2026-10-27T10:36:09.119536+00:00</t>
  </si>
  <si>
    <t xml:space="preserve">ORD-3856</t>
  </si>
  <si>
    <t xml:space="preserve">2026-10-27T10:36:09.122011+00:00</t>
  </si>
  <si>
    <t xml:space="preserve">2026-10-27T10:36:09.125892+00:00</t>
  </si>
  <si>
    <t xml:space="preserve">2026-10-27T10:36:09.126423+00:00</t>
  </si>
  <si>
    <t xml:space="preserve">ORD-3857</t>
  </si>
  <si>
    <t xml:space="preserve">PVC-2 x 2 @ 4,100; SAND-T x 1 @ 185,000</t>
  </si>
  <si>
    <t xml:space="preserve">2026-10-27T10:36:09.128941+00:00</t>
  </si>
  <si>
    <t xml:space="preserve">2026-10-27T10:36:09.133958+00:00</t>
  </si>
  <si>
    <t xml:space="preserve">2026-10-27T10:36:09.134447+00:00</t>
  </si>
  <si>
    <t xml:space="preserve">ORD-3858</t>
  </si>
  <si>
    <t xml:space="preserve">Iron rod, 12 mm: 116 is far above this customer's usual 33. | This looks like a repeat of ORD-3854. Confirm it is a new order.</t>
  </si>
  <si>
    <t xml:space="preserve">2026-10-27T10:36:09.136916+00:00</t>
  </si>
  <si>
    <t xml:space="preserve">ORD-3859</t>
  </si>
  <si>
    <t xml:space="preserve">CEM-50 x 43 @ 9,500; PVC-2 x 2 @ 4,100</t>
  </si>
  <si>
    <t xml:space="preserve">2026-10-27T10:36:09.152592+00:00</t>
  </si>
  <si>
    <t xml:space="preserve">2026-10-27T10:36:09.163779+00:00</t>
  </si>
  <si>
    <t xml:space="preserve">2026-10-27T10:36:09.164336+00:00</t>
  </si>
  <si>
    <t xml:space="preserve">ORD-3860</t>
  </si>
  <si>
    <t xml:space="preserve">WIRE-25 x 9 @ 52,000</t>
  </si>
  <si>
    <t xml:space="preserve">2026-10-27T10:36:09.167522+00:00</t>
  </si>
  <si>
    <t xml:space="preserve">2026-10-27T10:36:09.17166+00:00</t>
  </si>
  <si>
    <t xml:space="preserve">2026-10-27T10:36:09.172151+00:00</t>
  </si>
  <si>
    <t xml:space="preserve">ORD-3861</t>
  </si>
  <si>
    <t xml:space="preserve">ROD-12 x 100 @ 7,200</t>
  </si>
  <si>
    <t xml:space="preserve">customer_status, unusual_quantity</t>
  </si>
  <si>
    <t xml:space="preserve">The customer account is not active. | Iron rod, 12 mm: 100 is far above this customer's usual 13.</t>
  </si>
  <si>
    <t xml:space="preserve">2026-10-27T10:36:09.17526+00:00</t>
  </si>
  <si>
    <t xml:space="preserve">2026-10-27T10:36:09.184859+00:00</t>
  </si>
  <si>
    <t xml:space="preserve">2026-10-27T10:36:09.185384+00:00</t>
  </si>
  <si>
    <t xml:space="preserve">ORD-3862</t>
  </si>
  <si>
    <t xml:space="preserve">ROOF-AL x 36 @ 12,500</t>
  </si>
  <si>
    <t xml:space="preserve">2026-10-27T10:36:09.188049+00:00</t>
  </si>
  <si>
    <t xml:space="preserve">2026-10-27T10:36:09.191983+00:00</t>
  </si>
  <si>
    <t xml:space="preserve">2026-10-27T10:36:09.192469+00:00</t>
  </si>
  <si>
    <t xml:space="preserve">ORD-3863</t>
  </si>
  <si>
    <t xml:space="preserve">NAIL-3 x 13 @ 31,000; PNT-20C x 10 @ 38,000; ROOF-AL x 50 @ 12,500; ROD-12 x 5.5 (Quantity must be a whole number)</t>
  </si>
  <si>
    <t xml:space="preserve">2026-10-27T10:36:09.195112+00:00</t>
  </si>
  <si>
    <t xml:space="preserve">2026-10-27T10:36:09.201862+00:00</t>
  </si>
  <si>
    <t xml:space="preserve">2026-10-27T10:36:09.203644+00:00</t>
  </si>
  <si>
    <t xml:space="preserve">ORD-3864</t>
  </si>
  <si>
    <t xml:space="preserve">PNT-20W x 4 @ 38,000; ROD-12 x 64 @ 7,200; ROOF-AL x 47 @ 12,500</t>
  </si>
  <si>
    <t xml:space="preserve">Iron rod, 12 mm: 64 is far above this customer's usual 13.</t>
  </si>
  <si>
    <t xml:space="preserve">2026-10-27T10:36:09.207653+00:00</t>
  </si>
  <si>
    <t xml:space="preserve">2026-10-27T10:36:09.220247+00:00</t>
  </si>
  <si>
    <t xml:space="preserve">2026-10-27T10:36:09.220788+00:00</t>
  </si>
  <si>
    <t xml:space="preserve">ORD-3865</t>
  </si>
  <si>
    <t xml:space="preserve">NAIL-3 x 7 @ 31,000; PVC-4 x 28 @ 8,600; TIL-6060 x 90 @ 14,500</t>
  </si>
  <si>
    <t xml:space="preserve">2026-10-27T10:36:09.225533+00:00</t>
  </si>
  <si>
    <t xml:space="preserve">2026-10-27T10:36:09.232033+00:00</t>
  </si>
  <si>
    <t xml:space="preserve">2026-10-27T10:36:09.232569+00:00</t>
  </si>
  <si>
    <t xml:space="preserve">ORD-3866</t>
  </si>
  <si>
    <t xml:space="preserve">CEM-50 x 250 @ 9,500; PNT-20W x 21 @ 38,000; ROD-16 x 67 @ 11,800</t>
  </si>
  <si>
    <t xml:space="preserve">Cement, 50 kg bag: 250 is far above this customer's usual 32.</t>
  </si>
  <si>
    <t xml:space="preserve">2026-10-27T10:36:09.235895+00:00</t>
  </si>
  <si>
    <t xml:space="preserve">2026-10-27T10:36:09.24867+00:00</t>
  </si>
  <si>
    <t xml:space="preserve">2026-10-27T10:36:09.24925+00:00</t>
  </si>
  <si>
    <t xml:space="preserve">ORD-3867</t>
  </si>
  <si>
    <t xml:space="preserve">NAIL-3 x 9 @ 31,000; PVC-2 x 2 @ 4,100; ROD-16 x 1007 @ 11,800</t>
  </si>
  <si>
    <t xml:space="preserve">2026-10-27T10:36:09.25398+00:00</t>
  </si>
  <si>
    <t xml:space="preserve">2026-10-27T10:36:09.261605+00:00</t>
  </si>
  <si>
    <t xml:space="preserve">2026-10-27T10:36:09.262096+00:00</t>
  </si>
  <si>
    <t xml:space="preserve">ORD-3868</t>
  </si>
  <si>
    <t xml:space="preserve">PNT-20C x 4 @ 38,000; PVC-2 x 2 @ 4,100; WIRE-25 x 2 @ 52,000</t>
  </si>
  <si>
    <t xml:space="preserve">2026-10-27T10:36:09.264889+00:00</t>
  </si>
  <si>
    <t xml:space="preserve">2026-10-27T10:36:09.272674+00:00</t>
  </si>
  <si>
    <t xml:space="preserve">2026-10-27T10:36:09.273186+00:00</t>
  </si>
  <si>
    <t xml:space="preserve">ORD-3869</t>
  </si>
  <si>
    <t xml:space="preserve">NAIL-3 x 8 @ 31,000; PVC-2 x 2 @ 4,100</t>
  </si>
  <si>
    <t xml:space="preserve">2026-10-27T10:36:09.276536+00:00</t>
  </si>
  <si>
    <t xml:space="preserve">2026-10-27T10:36:09.284041+00:00</t>
  </si>
  <si>
    <t xml:space="preserve">2026-10-27T10:36:09.28457+00:00</t>
  </si>
  <si>
    <t xml:space="preserve">ORD-3870</t>
  </si>
  <si>
    <t xml:space="preserve">CEM-50 x 121 @ 9,500; PVC-2 x 2 @ 4,100</t>
  </si>
  <si>
    <t xml:space="preserve">2026-10-27T10:36:09.28784+00:00</t>
  </si>
  <si>
    <t xml:space="preserve">2026-10-27T10:36:09.300859+00:00</t>
  </si>
  <si>
    <t xml:space="preserve">2026-10-27T10:36:09.301423+00:00</t>
  </si>
  <si>
    <t xml:space="preserve">ORD-3871</t>
  </si>
  <si>
    <t xml:space="preserve">PNT-20C x 4 @ 38,000; ROD-12 x 51 @ 7,200</t>
  </si>
  <si>
    <t xml:space="preserve">2026-10-27T10:36:09.304876+00:00</t>
  </si>
  <si>
    <t xml:space="preserve">2026-10-27T10:36:09.316664+00:00</t>
  </si>
  <si>
    <t xml:space="preserve">2026-10-27T10:36:09.317183+00:00</t>
  </si>
  <si>
    <t xml:space="preserve">ORD-3872</t>
  </si>
  <si>
    <t xml:space="preserve">PNT-20C x 4 @ 38,000; PVC-2 x 540 @ 4,100; PVC-4 x 42 @ 8,600; WIRE-25 x 15 @ 52,000</t>
  </si>
  <si>
    <t xml:space="preserve">2026-10-27T10:36:09.320319+00:00</t>
  </si>
  <si>
    <t xml:space="preserve">2026-10-27T10:36:09.330583+00:00</t>
  </si>
  <si>
    <t xml:space="preserve">2026-10-27T10:36:09.331122+00:00</t>
  </si>
  <si>
    <t xml:space="preserve">ORD-3873</t>
  </si>
  <si>
    <t xml:space="preserve">PNT-20C x 9 @ 38,000</t>
  </si>
  <si>
    <t xml:space="preserve">2026-10-27T10:36:09.33422+00:00</t>
  </si>
  <si>
    <t xml:space="preserve">2026-10-27T10:36:09.338963+00:00</t>
  </si>
  <si>
    <t xml:space="preserve">2026-10-27T10:36:09.339469+00:00</t>
  </si>
  <si>
    <t xml:space="preserve">ORD-3874</t>
  </si>
  <si>
    <t xml:space="preserve">PVC-2 x 2 @ 4,100; WIRE-25 x 9 @ 52,000</t>
  </si>
  <si>
    <t xml:space="preserve">2026-10-27T10:36:09.342518+00:00</t>
  </si>
  <si>
    <t xml:space="preserve">2026-10-27T10:36:09.349622+00:00</t>
  </si>
  <si>
    <t xml:space="preserve">2026-10-27T10:36:09.350165+00:00</t>
  </si>
  <si>
    <t xml:space="preserve">ORD-3875</t>
  </si>
  <si>
    <t xml:space="preserve">ROD-16 x 70 @ 11,800</t>
  </si>
  <si>
    <t xml:space="preserve">2026-10-27T10:36:09.353716+00:00</t>
  </si>
  <si>
    <t xml:space="preserve">2026-10-27T10:36:09.357949+00:00</t>
  </si>
  <si>
    <t xml:space="preserve">2026-10-27T10:36:09.358474+00:00</t>
  </si>
  <si>
    <t xml:space="preserve">ORD-3876</t>
  </si>
  <si>
    <t xml:space="preserve">PVC-4 x 54 @ 8,600; ROD-12 x 125 @ 7,200</t>
  </si>
  <si>
    <t xml:space="preserve">Choose a delivery address. | Iron rod, 12 mm: 125 is far above this customer's usual 13.</t>
  </si>
  <si>
    <t xml:space="preserve">2026-10-27T10:36:09.361371+00:00</t>
  </si>
  <si>
    <t xml:space="preserve">2026-10-27T10:36:09.37332+00:00</t>
  </si>
  <si>
    <t xml:space="preserve">2026-10-27T10:36:09.373827+00:00</t>
  </si>
  <si>
    <t xml:space="preserve">ORD-3877</t>
  </si>
  <si>
    <t xml:space="preserve">ROD-12 x 67 @ 7,200; WIRE-25 x 13 @ 52,000</t>
  </si>
  <si>
    <t xml:space="preserve">2026-10-27T10:36:09.376983+00:00</t>
  </si>
  <si>
    <t xml:space="preserve">2026-10-27T10:36:09.389621+00:00</t>
  </si>
  <si>
    <t xml:space="preserve">2026-10-27T10:36:09.390215+00:00</t>
  </si>
  <si>
    <t xml:space="preserve">ORD-3878</t>
  </si>
  <si>
    <t xml:space="preserve">PNT-20W x 29 @ 38,000; ROD-12 x 19 @ 7,200; ROD-16 x 52 @ 11,800</t>
  </si>
  <si>
    <t xml:space="preserve">2026-10-27T10:36:09.39437+00:00</t>
  </si>
  <si>
    <t xml:space="preserve">2026-10-27T10:36:09.40847+00:00</t>
  </si>
  <si>
    <t xml:space="preserve">2026-10-27T10:36:09.409044+00:00</t>
  </si>
  <si>
    <t xml:space="preserve">ORD-3879</t>
  </si>
  <si>
    <t xml:space="preserve">CEM-50 x 186 @ 9,500; NAIL-3 x 7 @ 31,000; PVC-4 x 51 @ 8,600</t>
  </si>
  <si>
    <t xml:space="preserve">Cement, 50 kg bag: 186 is far above this customer's usual 23.</t>
  </si>
  <si>
    <t xml:space="preserve">2026-10-27T10:36:09.412736+00:00</t>
  </si>
  <si>
    <t xml:space="preserve">2026-10-27T10:36:09.42738+00:00</t>
  </si>
  <si>
    <t xml:space="preserve">2026-10-27T10:36:09.427963+00:00</t>
  </si>
  <si>
    <t xml:space="preserve">ORD-3880</t>
  </si>
  <si>
    <t xml:space="preserve">PNT-20C x 1 @ 38,000; ROD-12 x 97 @ 7,200; TIL-6060 x 48 @ 14,500</t>
  </si>
  <si>
    <t xml:space="preserve">2026-10-27T10:36:09.431776+00:00</t>
  </si>
  <si>
    <t xml:space="preserve">2026-10-27T10:36:09.445991+00:00</t>
  </si>
  <si>
    <t xml:space="preserve">2026-10-27T10:36:09.446569+00:00</t>
  </si>
  <si>
    <t xml:space="preserve">ORD-3881</t>
  </si>
  <si>
    <t xml:space="preserve">PVC-2 x 2 @ 4,100; ROD-12 x 131 @ 7,200; TIL-6060 x 58 @ 14,500</t>
  </si>
  <si>
    <t xml:space="preserve">2026-10-27T10:36:09.450397+00:00</t>
  </si>
  <si>
    <t xml:space="preserve">2026-10-27T10:36:09.465433+00:00</t>
  </si>
  <si>
    <t xml:space="preserve">2026-10-27T10:36:09.470556+00:00</t>
  </si>
  <si>
    <t xml:space="preserve">ORD-3882</t>
  </si>
  <si>
    <t xml:space="preserve">PNT-20W x 6 @ 38,000</t>
  </si>
  <si>
    <t xml:space="preserve">2026-10-27T10:36:09.474491+00:00</t>
  </si>
  <si>
    <t xml:space="preserve">2026-10-27T10:36:09.479446+00:00</t>
  </si>
  <si>
    <t xml:space="preserve">2026-10-27T10:36:09.480002+00:00</t>
  </si>
  <si>
    <t xml:space="preserve">ORD-3883</t>
  </si>
  <si>
    <t xml:space="preserve">ROD-12 x 1539 @ 7,200; ROD-16 x 39 @ 11,800; ROOF-AL x 19 @ 12,500</t>
  </si>
  <si>
    <t xml:space="preserve">Iron rod, 12 mm: quantity must be between 5 and 1500. | Iron rod, 12 mm: not enough stock for this quantity. Reduce it. | Iron rod, 12 mm: 1539 is far above this customer's usual 36.</t>
  </si>
  <si>
    <t xml:space="preserve">2026-10-27T10:36:09.483687+00:00</t>
  </si>
  <si>
    <t xml:space="preserve">2026-10-27T10:36:09.498815+00:00</t>
  </si>
  <si>
    <t xml:space="preserve">2026-10-27T10:36:09.499385+00:00</t>
  </si>
  <si>
    <t xml:space="preserve">ORD-3884</t>
  </si>
  <si>
    <t xml:space="preserve">ROD-12 x 109 @ 7,200; ROD-16 x 1043 @ 11,800</t>
  </si>
  <si>
    <t xml:space="preserve">Iron rod, 16 mm: quantity must be between 5 and 1000. | Iron rod, 16 mm: not enough stock for this quantity. Reduce it. | Iron rod, 12 mm: 109 is far above this customer's usual 13.</t>
  </si>
  <si>
    <t xml:space="preserve">2026-10-27T10:36:09.502755+00:00</t>
  </si>
  <si>
    <t xml:space="preserve">2026-10-27T10:36:09.516453+00:00</t>
  </si>
  <si>
    <t xml:space="preserve">2026-10-27T10:36:09.517014+00:00</t>
  </si>
  <si>
    <t xml:space="preserve">ORD-3885</t>
  </si>
  <si>
    <t xml:space="preserve">ROD-16 x 28 @ 11,800; ROOF-AL x 50 @ 12,500; TIL-6060 x 20 @ 14,500</t>
  </si>
  <si>
    <t xml:space="preserve">2026-10-27T10:36:09.520256+00:00</t>
  </si>
  <si>
    <t xml:space="preserve">2026-10-27T10:36:09.528457+00:00</t>
  </si>
  <si>
    <t xml:space="preserve">2026-10-27T10:36:09.52906+00:00</t>
  </si>
  <si>
    <t xml:space="preserve">ORD-3886</t>
  </si>
  <si>
    <t xml:space="preserve">PNT-20C x 2 @ 38,000; PVC-2 x 2 @ 4,100; ROOF-AL x 27 @ 12,500; ROD-16 x 5.5 (Quantity must be a whole number)</t>
  </si>
  <si>
    <t xml:space="preserve">2026-10-27T10:36:09.53307+00:00</t>
  </si>
  <si>
    <t xml:space="preserve">2026-10-27T10:36:09.547475+00:00</t>
  </si>
  <si>
    <t xml:space="preserve">2026-10-27T10:36:09.548006+00:00</t>
  </si>
  <si>
    <t xml:space="preserve">ORD-3887</t>
  </si>
  <si>
    <t xml:space="preserve">PNT-20W x 17 @ 38,000; PVC-2 x 2 @ 4,100</t>
  </si>
  <si>
    <t xml:space="preserve">2026-10-27T10:36:09.551271+00:00</t>
  </si>
  <si>
    <t xml:space="preserve">2026-10-27T10:36:09.559148+00:00</t>
  </si>
  <si>
    <t xml:space="preserve">2026-10-27T10:36:09.559701+00:00</t>
  </si>
  <si>
    <t xml:space="preserve">ORD-3888</t>
  </si>
  <si>
    <t xml:space="preserve">CEM-50 x 124 @ 9,500; NAIL-3 x 9 @ 31,000; ROD-16 x 301 @ 11,800</t>
  </si>
  <si>
    <t xml:space="preserve">2026-10-27T10:36:09.563555+00:00</t>
  </si>
  <si>
    <t xml:space="preserve">2026-10-27T10:36:09.578601+00:00</t>
  </si>
  <si>
    <t xml:space="preserve">2026-10-27T10:36:09.579156+00:00</t>
  </si>
  <si>
    <t xml:space="preserve">ORD-3889</t>
  </si>
  <si>
    <t xml:space="preserve">NAIL-3 x 13 @ 31,000</t>
  </si>
  <si>
    <t xml:space="preserve">2026-10-27T10:36:09.582505+00:00</t>
  </si>
  <si>
    <t xml:space="preserve">2026-10-27T10:36:09.587416+00:00</t>
  </si>
  <si>
    <t xml:space="preserve">2026-10-27T10:36:09.588001+00:00</t>
  </si>
  <si>
    <t xml:space="preserve">ORD-3890</t>
  </si>
  <si>
    <t xml:space="preserve">WIRE-25 x 15 @ 52,000</t>
  </si>
  <si>
    <t xml:space="preserve">2026-10-27T10:36:09.591155+00:00</t>
  </si>
  <si>
    <t xml:space="preserve">2026-10-27T10:36:09.596239+00:00</t>
  </si>
  <si>
    <t xml:space="preserve">2026-10-27T10:36:09.596772+00:00</t>
  </si>
  <si>
    <t xml:space="preserve">ORD-3891</t>
  </si>
  <si>
    <t xml:space="preserve">CEM-50 x 117 @ 9,500; NAIL-3 x 14 @ 31,000; PVC-4 x 1 @ 8,600</t>
  </si>
  <si>
    <t xml:space="preserve">2026-10-27T10:36:09.600613+00:00</t>
  </si>
  <si>
    <t xml:space="preserve">2026-10-27T10:36:09.616052+00:00</t>
  </si>
  <si>
    <t xml:space="preserve">2026-10-27T10:36:09.616635+00:00</t>
  </si>
  <si>
    <t xml:space="preserve">ORD-3892</t>
  </si>
  <si>
    <t xml:space="preserve">PNT-20W x 9 @ 38,000; WIRE-25 x 7 @ 52,000</t>
  </si>
  <si>
    <t xml:space="preserve">2026-10-27T10:36:09.620024+00:00</t>
  </si>
  <si>
    <t xml:space="preserve">2026-10-27T10:36:09.627629+00:00</t>
  </si>
  <si>
    <t xml:space="preserve">2026-10-27T10:36:09.628174+00:00</t>
  </si>
  <si>
    <t xml:space="preserve">ORD-3893</t>
  </si>
  <si>
    <t xml:space="preserve">PVC-4 x 4 @ 8,600</t>
  </si>
  <si>
    <t xml:space="preserve">2026-10-27T10:36:09.63215+00:00</t>
  </si>
  <si>
    <t xml:space="preserve">2026-10-27T10:36:09.637473+00:00</t>
  </si>
  <si>
    <t xml:space="preserve">2026-10-27T10:36:09.637988+00:00</t>
  </si>
  <si>
    <t xml:space="preserve">ORD-3894</t>
  </si>
  <si>
    <t xml:space="preserve">CEM-50 x 9 @ 9,500; ROD-12 x 144 @ 7,200; ROOF-AL x 31 @ 12,500; TIL-6060 x 82 @ 14,500</t>
  </si>
  <si>
    <t xml:space="preserve">quantity, unusual_quantity</t>
  </si>
  <si>
    <t xml:space="preserve">Cement, 50 kg bag: quantity must be between 10 and 2000. | Iron rod, 12 mm: 144 is far above this customer's usual 33.</t>
  </si>
  <si>
    <t xml:space="preserve">2026-10-27T10:36:09.641314+00:00</t>
  </si>
  <si>
    <t xml:space="preserve">2026-10-27T10:36:09.665753+00:00</t>
  </si>
  <si>
    <t xml:space="preserve">2026-10-27T10:36:09.666394+00:00</t>
  </si>
  <si>
    <t xml:space="preserve">ORD-3895</t>
  </si>
  <si>
    <t xml:space="preserve">PNT-20W x 1 @ 38,000; ROD-12 x 9 @ 7,200</t>
  </si>
  <si>
    <t xml:space="preserve">2026-10-27T10:36:09.669853+00:00</t>
  </si>
  <si>
    <t xml:space="preserve">2026-10-27T10:36:09.685159+00:00</t>
  </si>
  <si>
    <t xml:space="preserve">2026-10-27T10:36:09.685748+00:00</t>
  </si>
  <si>
    <t xml:space="preserve">ORD-3896</t>
  </si>
  <si>
    <t xml:space="preserve">PNT-20W x 15 @ 38,000; ROD-16 x 73 @ 11,800; WIRE-25 x 12 @ 52,000</t>
  </si>
  <si>
    <t xml:space="preserve">2026-10-27T10:36:09.689193+00:00</t>
  </si>
  <si>
    <t xml:space="preserve">2026-10-27T10:36:09.69918+00:00</t>
  </si>
  <si>
    <t xml:space="preserve">2026-10-27T10:36:09.699776+00:00</t>
  </si>
  <si>
    <t xml:space="preserve">ORD-3897</t>
  </si>
  <si>
    <t xml:space="preserve">PVC-2 x 2 @ 4,100; ROD-12 x 15 @ 7,200; ROOF-AL x 40 @ 12,500</t>
  </si>
  <si>
    <t xml:space="preserve">2026-10-27T10:36:09.703844+00:00</t>
  </si>
  <si>
    <t xml:space="preserve">2026-10-27T10:36:09.721285+00:00</t>
  </si>
  <si>
    <t xml:space="preserve">2026-10-27T10:36:09.721852+00:00</t>
  </si>
  <si>
    <t xml:space="preserve">ORD-3898</t>
  </si>
  <si>
    <t xml:space="preserve">PNT-20W x 29 @ 38,000; XX-901 x None (not in the catalogue)</t>
  </si>
  <si>
    <t xml:space="preserve">Row 3: XX-901 - not in the catalogue</t>
  </si>
  <si>
    <t xml:space="preserve">2026-10-27T10:36:09.725943+00:00</t>
  </si>
  <si>
    <t xml:space="preserve">2026-10-27T10:36:09.731817+00:00</t>
  </si>
  <si>
    <t xml:space="preserve">2026-10-27T10:36:09.732379+00:00</t>
  </si>
  <si>
    <t xml:space="preserve">ORD-3899</t>
  </si>
  <si>
    <t xml:space="preserve">NAIL-3 x 4 @ 31,000; ROD-12 x 128 @ 7,200; ROD-16 x 61 @ 11,800; ROOF-AL x 9 @ 12,500</t>
  </si>
  <si>
    <t xml:space="preserve">Aluminium roofing sheet, 0.55 mm: quantity must be between 10 and 1000. | Iron rod, 12 mm: 128 is far above this customer's usual 23.</t>
  </si>
  <si>
    <t xml:space="preserve">2026-10-27T10:36:09.735812+00:00</t>
  </si>
  <si>
    <t xml:space="preserve">2026-10-27T10:36:09.754877+00:00</t>
  </si>
  <si>
    <t xml:space="preserve">2026-10-27T10:36:09.755508+00:00</t>
  </si>
  <si>
    <t xml:space="preserve">ORD-3900</t>
  </si>
  <si>
    <t xml:space="preserve">CEM-50 x 771 @ 9,500; ROD-16 x 10 @ 11,800; TIL-6060 x 55 @ 14,500</t>
  </si>
  <si>
    <t xml:space="preserve">Cement, 50 kg bag: not enough stock for this quantity. Reduce it. | Cement, 50 kg bag: 771 is far above this customer's usual 23.</t>
  </si>
  <si>
    <t xml:space="preserve">2026-10-27T10:36:09.759058+00:00</t>
  </si>
  <si>
    <t xml:space="preserve">2026-10-27T10:36:09.775386+00:00</t>
  </si>
  <si>
    <t xml:space="preserve">2026-10-27T10:36:09.775937+00:00</t>
  </si>
  <si>
    <t xml:space="preserve">ORD-3901</t>
  </si>
  <si>
    <t xml:space="preserve">NAIL-3 x 11 @ 31,000; PVC-4 x 10 @ 8,600; ROD-12 x 7 @ 7,200</t>
  </si>
  <si>
    <t xml:space="preserve">2026-10-27T10:36:09.779637+00:00</t>
  </si>
  <si>
    <t xml:space="preserve">2026-10-27T10:36:09.796587+00:00</t>
  </si>
  <si>
    <t xml:space="preserve">2026-10-27T10:36:09.797184+00:00</t>
  </si>
  <si>
    <t xml:space="preserve">ORD-3902</t>
  </si>
  <si>
    <t xml:space="preserve">PNT-20C x 6 @ 38,000; PVC-4 x 14 @ 8,600</t>
  </si>
  <si>
    <t xml:space="preserve">2026-10-27T10:36:09.801335+00:00</t>
  </si>
  <si>
    <t xml:space="preserve">2026-10-27T10:36:09.809321+00:00</t>
  </si>
  <si>
    <t xml:space="preserve">2026-10-27T10:36:09.809869+00:00</t>
  </si>
  <si>
    <t xml:space="preserve">ORD-3903</t>
  </si>
  <si>
    <t xml:space="preserve">NAIL-3 x 11 @ 31,000; ROD-12 x 97 @ 7,200; ROD-16 x 6 @ 11,800</t>
  </si>
  <si>
    <t xml:space="preserve">2026-10-27T10:36:09.813886+00:00</t>
  </si>
  <si>
    <t xml:space="preserve">2026-10-27T10:36:09.831259+00:00</t>
  </si>
  <si>
    <t xml:space="preserve">2026-10-27T10:36:09.831853+00:00</t>
  </si>
  <si>
    <t xml:space="preserve">ORD-3904</t>
  </si>
  <si>
    <t xml:space="preserve">TIL-6060 x 9 @ 14,500</t>
  </si>
  <si>
    <t xml:space="preserve">2026-10-27T10:36:09.836047+00:00</t>
  </si>
  <si>
    <t xml:space="preserve">2026-10-27T10:36:09.841274+00:00</t>
  </si>
  <si>
    <t xml:space="preserve">2026-10-27T10:36:09.841815+00:00</t>
  </si>
  <si>
    <t xml:space="preserve">ORD-3905</t>
  </si>
  <si>
    <t xml:space="preserve">PNT-20W x 14 @ 38,000; TIL-6060 x 1 @ 14,500</t>
  </si>
  <si>
    <t xml:space="preserve">2026-10-27T10:36:09.845887+00:00</t>
  </si>
  <si>
    <t xml:space="preserve">2026-10-27T10:36:09.853652+00:00</t>
  </si>
  <si>
    <t xml:space="preserve">2026-10-27T10:36:09.854183+00:00</t>
  </si>
  <si>
    <t xml:space="preserve">ORD-3906</t>
  </si>
  <si>
    <t xml:space="preserve">PVC-2 x 2 @ 4,100; ROD-12 x 141 @ 7,200; WIRE-25 x 16 @ 52,000</t>
  </si>
  <si>
    <t xml:space="preserve">delivery, unusual_quantity</t>
  </si>
  <si>
    <t xml:space="preserve">The delivery date is in the past. | Iron rod, 12 mm: 141 is far above this customer's usual 13.</t>
  </si>
  <si>
    <t xml:space="preserve">2026-10-27T10:36:09.857632+00:00</t>
  </si>
  <si>
    <t xml:space="preserve">2026-10-27T10:36:09.876469+00:00</t>
  </si>
  <si>
    <t xml:space="preserve">2026-10-27T10:36:09.877089+00:00</t>
  </si>
  <si>
    <t xml:space="preserve">ORD-3907</t>
  </si>
  <si>
    <t xml:space="preserve">ROD-16 x 16 @ 11,800</t>
  </si>
  <si>
    <t xml:space="preserve">2026-10-27T10:36:09.880798+00:00</t>
  </si>
  <si>
    <t xml:space="preserve">2026-10-27T10:36:09.888417+00:00</t>
  </si>
  <si>
    <t xml:space="preserve">2026-10-27T10:36:09.888968+00:00</t>
  </si>
  <si>
    <t xml:space="preserve">ORD-3908</t>
  </si>
  <si>
    <t xml:space="preserve">PNT-20C x 9 @ 38,000; ROD-12 x 18 @ 7,200; ROOF-AL x 10.5 (Quantity must be a whole number)</t>
  </si>
  <si>
    <t xml:space="preserve">2026-10-27T10:36:09.892602+00:00</t>
  </si>
  <si>
    <t xml:space="preserve">2026-10-27T10:36:09.908602+00:00</t>
  </si>
  <si>
    <t xml:space="preserve">2026-10-27T10:36:09.909177+00:00</t>
  </si>
  <si>
    <t xml:space="preserve">ORD-3909</t>
  </si>
  <si>
    <t xml:space="preserve">CEM-50 x 55 @ 9,500; PNT-20W x 11 @ 38,000; ROOF-AL x 10.5 (Quantity must be a whole number)</t>
  </si>
  <si>
    <t xml:space="preserve">2026-10-27T10:36:09.912888+00:00</t>
  </si>
  <si>
    <t xml:space="preserve">2026-10-27T10:36:09.928325+00:00</t>
  </si>
  <si>
    <t xml:space="preserve">2026-10-27T10:36:09.928979+00:00</t>
  </si>
  <si>
    <t xml:space="preserve">ORD-3910</t>
  </si>
  <si>
    <t xml:space="preserve">ROD-16 x 49 @ 11,800; ROOF-AL x 25 @ 12,500; WIRE-25 x 9 @ 52,000</t>
  </si>
  <si>
    <t xml:space="preserve">2026-10-27T10:36:09.932701+00:00</t>
  </si>
  <si>
    <t xml:space="preserve">2026-10-27T10:36:09.943512+00:00</t>
  </si>
  <si>
    <t xml:space="preserve">2026-10-27T10:36:09.944113+00:00</t>
  </si>
  <si>
    <t xml:space="preserve">ORD-3911</t>
  </si>
  <si>
    <t xml:space="preserve">PNT-20W x 15 @ 38,000; ROOF-AL x 49 @ 12,500; TIL-6060 x 55 @ 14,500</t>
  </si>
  <si>
    <t xml:space="preserve">Aluminium roofing sheet, 0.55 mm: price changed from 12500.00 to 13100.00. Save the order again to update it.</t>
  </si>
  <si>
    <t xml:space="preserve">2026-10-27T10:36:09.948637+00:00</t>
  </si>
  <si>
    <t xml:space="preserve">2026-10-27T10:36:09.959622+00:00</t>
  </si>
  <si>
    <t xml:space="preserve">2026-10-27T10:36:09.96015+00:00</t>
  </si>
  <si>
    <t xml:space="preserve">ORD-3912</t>
  </si>
  <si>
    <t xml:space="preserve">CEM-50 x 139 @ 9,500</t>
  </si>
  <si>
    <t xml:space="preserve">2026-10-27T10:36:09.963892+00:00</t>
  </si>
  <si>
    <t xml:space="preserve">2026-10-27T10:36:09.976856+00:00</t>
  </si>
  <si>
    <t xml:space="preserve">2026-10-27T10:36:09.977459+00:00</t>
  </si>
  <si>
    <t xml:space="preserve">ORD-3913</t>
  </si>
  <si>
    <t xml:space="preserve">PVC-2 x 2 @ 4,100; ROD-16 x 38 @ 11,800; ROOF-AL x 37 @ 12,500</t>
  </si>
  <si>
    <t xml:space="preserve">2026-10-27T10:36:09.981903+00:00</t>
  </si>
  <si>
    <t xml:space="preserve">2026-10-27T10:36:09.993717+00:00</t>
  </si>
  <si>
    <t xml:space="preserve">2026-10-27T10:36:09.994315+00:00</t>
  </si>
  <si>
    <t xml:space="preserve">ORD-3914</t>
  </si>
  <si>
    <t xml:space="preserve">PNT-20C x 8 @ 38,000; ROD-12 x 141 @ 7,200; ROOF-AL x 60 @ 12,500</t>
  </si>
  <si>
    <t xml:space="preserve">Choose a delivery address. | Iron rod, 12 mm: 141 is far above this customer's usual 12.</t>
  </si>
  <si>
    <t xml:space="preserve">2026-10-27T10:36:09.998737+00:00</t>
  </si>
  <si>
    <t xml:space="preserve">2026-10-27T10:36:10.018027+00:00</t>
  </si>
  <si>
    <t xml:space="preserve">2026-10-27T10:36:10.018618+00:00</t>
  </si>
  <si>
    <t xml:space="preserve">ORD-3915</t>
  </si>
  <si>
    <t xml:space="preserve">PVC-4 x 15 @ 8,600</t>
  </si>
  <si>
    <t xml:space="preserve">2026-10-27T10:36:10.022288+00:00</t>
  </si>
  <si>
    <t xml:space="preserve">2026-10-27T10:36:10.028015+00:00</t>
  </si>
  <si>
    <t xml:space="preserve">2026-10-27T10:36:10.028583+00:00</t>
  </si>
  <si>
    <t xml:space="preserve">ORD-3916</t>
  </si>
  <si>
    <t xml:space="preserve">ROD-16 x 29 @ 11,800</t>
  </si>
  <si>
    <t xml:space="preserve">2026-10-27T10:36:10.0341+00:00</t>
  </si>
  <si>
    <t xml:space="preserve">2026-10-27T10:36:10.040324+00:00</t>
  </si>
  <si>
    <t xml:space="preserve">2026-10-27T10:36:10.040932+00:00</t>
  </si>
  <si>
    <t xml:space="preserve">ORD-3917</t>
  </si>
  <si>
    <t xml:space="preserve">NAIL-3 x 1 @ 31,000; PVC-2 x 2 @ 4,100; PVC-4 x 18 @ 8,600</t>
  </si>
  <si>
    <t xml:space="preserve">2026-10-27T10:36:10.045337+00:00</t>
  </si>
  <si>
    <t xml:space="preserve">2026-10-27T10:36:10.057234+00:00</t>
  </si>
  <si>
    <t xml:space="preserve">2026-10-27T10:36:10.05781+00:00</t>
  </si>
  <si>
    <t xml:space="preserve">ORD-3918</t>
  </si>
  <si>
    <t xml:space="preserve">PNT-20C x 10 @ 38,000; PVC-2 x 2 @ 4,100; ROOF-AL x 42 @ 12,500; SAND-T x 1 @ 185,000</t>
  </si>
  <si>
    <t xml:space="preserve">2026-10-27T10:36:10.062138+00:00</t>
  </si>
  <si>
    <t xml:space="preserve">2026-10-27T10:36:10.075402+00:00</t>
  </si>
  <si>
    <t xml:space="preserve">2026-10-27T10:36:10.075977+00:00</t>
  </si>
  <si>
    <t xml:space="preserve">ORD-3919</t>
  </si>
  <si>
    <t xml:space="preserve">PVC-4 x 5 @ 8,600; WIRE-25 x 5 @ 52,000</t>
  </si>
  <si>
    <t xml:space="preserve">2026-10-27T10:36:10.080041+00:00</t>
  </si>
  <si>
    <t xml:space="preserve">2026-10-27T10:36:10.089154+00:00</t>
  </si>
  <si>
    <t xml:space="preserve">2026-10-27T10:36:10.089752+00:00</t>
  </si>
  <si>
    <t xml:space="preserve">ORD-3920</t>
  </si>
  <si>
    <t xml:space="preserve">PNT-20C x 2 @ 38,000; PVC-4 x 21 @ 8,600; ROOF-AL x 44 @ 12,500; TIL-6060 x 58 @ 14,500</t>
  </si>
  <si>
    <t xml:space="preserve">2026-10-27T10:36:10.09436+00:00</t>
  </si>
  <si>
    <t xml:space="preserve">2026-10-27T10:36:10.108487+00:00</t>
  </si>
  <si>
    <t xml:space="preserve">2026-10-27T10:36:10.109097+00:00</t>
  </si>
  <si>
    <t xml:space="preserve">ORD-3921</t>
  </si>
  <si>
    <t xml:space="preserve">This looks like a repeat of ORD-3919. Confirm it is a new order.</t>
  </si>
  <si>
    <t xml:space="preserve">2026-10-27T10:36:10.113596+00:00</t>
  </si>
  <si>
    <t xml:space="preserve">ORD-3922</t>
  </si>
  <si>
    <t xml:space="preserve">PVC-4 x 20 @ 8,600; ROOF-AL x 25 @ 12,500</t>
  </si>
  <si>
    <t xml:space="preserve">2026-10-27T10:36:10.126222+00:00</t>
  </si>
  <si>
    <t xml:space="preserve">2026-10-27T10:36:10.135801+00:00</t>
  </si>
  <si>
    <t xml:space="preserve">2026-10-27T10:36:10.136402+00:00</t>
  </si>
  <si>
    <t xml:space="preserve">ORD-3923</t>
  </si>
  <si>
    <t xml:space="preserve">NAIL-3 x 6 @ 31,000; ROD-16 x 64 @ 11,800; ROOF-AL x 1039 @ 12,500</t>
  </si>
  <si>
    <t xml:space="preserve">2026-10-27T10:36:10.140948+00:00</t>
  </si>
  <si>
    <t xml:space="preserve">2026-10-27T10:36:10.153454+00:00</t>
  </si>
  <si>
    <t xml:space="preserve">2026-10-27T10:36:10.154025+00:00</t>
  </si>
  <si>
    <t xml:space="preserve">ORD-3924</t>
  </si>
  <si>
    <t xml:space="preserve">NAIL-3 x 3 @ 31,000; PVC-2 x 2 @ 4,100; PVC-4 x 45 @ 8,600; XX-808 x None (not in the catalogue)</t>
  </si>
  <si>
    <t xml:space="preserve">Row 5: XX-808 - not in the catalogue</t>
  </si>
  <si>
    <t xml:space="preserve">2026-10-27T10:36:10.158034+00:00</t>
  </si>
  <si>
    <t xml:space="preserve">2026-10-27T10:36:10.170887+00:00</t>
  </si>
  <si>
    <t xml:space="preserve">2026-10-27T10:36:10.17148+00:00</t>
  </si>
  <si>
    <t xml:space="preserve">ORD-3925</t>
  </si>
  <si>
    <t xml:space="preserve">PNT-20C x 5 @ 38,000; PVC-2 x 2 @ 4,100; ROD-16 x 14 @ 11,800</t>
  </si>
  <si>
    <t xml:space="preserve">2026-10-27T10:36:10.175567+00:00</t>
  </si>
  <si>
    <t xml:space="preserve">2026-10-27T10:36:10.189023+00:00</t>
  </si>
  <si>
    <t xml:space="preserve">2026-10-27T10:36:10.190831+00:00</t>
  </si>
  <si>
    <t xml:space="preserve">ORD-3926</t>
  </si>
  <si>
    <t xml:space="preserve">NAIL-3 x 9 @ 31,000; PVC-4 x 53 @ 8,600; ROD-12 x 586 @ 7,200</t>
  </si>
  <si>
    <t xml:space="preserve">Iron rod, 12 mm: not enough stock for this quantity. Reduce it. | Iron rod, 12 mm: 586 is far above this customer's usual 46.</t>
  </si>
  <si>
    <t xml:space="preserve">2026-10-27T10:36:10.194955+00:00</t>
  </si>
  <si>
    <t xml:space="preserve">2026-10-27T10:36:10.216101+00:00</t>
  </si>
  <si>
    <t xml:space="preserve">2026-10-27T10:36:10.216702+00:00</t>
  </si>
  <si>
    <t xml:space="preserve">ORD-3927</t>
  </si>
  <si>
    <t xml:space="preserve">PVC-4 x 57 @ 8,600; ROD-12 x 67 @ 7,200; TIL-6060 x 1 @ 14,500; WIRE-25 x 9 @ 52,000</t>
  </si>
  <si>
    <t xml:space="preserve">2026-10-27T10:36:10.220823+00:00</t>
  </si>
  <si>
    <t xml:space="preserve">2026-10-27T10:36:10.244367+00:00</t>
  </si>
  <si>
    <t xml:space="preserve">2026-10-27T10:36:10.244961+00:00</t>
  </si>
  <si>
    <t xml:space="preserve">ORD-3928</t>
  </si>
  <si>
    <t xml:space="preserve">PNT-20W x 1 @ 38,000; ROOF-AL x 55 @ 12,500; TIL-6060 x 52 @ 14,500</t>
  </si>
  <si>
    <t xml:space="preserve">2026-10-27T10:36:10.250568+00:00</t>
  </si>
  <si>
    <t xml:space="preserve">2026-10-27T10:36:10.262864+00:00</t>
  </si>
  <si>
    <t xml:space="preserve">2026-10-27T10:36:10.263572+00:00</t>
  </si>
  <si>
    <t xml:space="preserve">ORD-3929</t>
  </si>
  <si>
    <t xml:space="preserve">PNT-20W x 17 @ 38,000; CEM-50 x 10.5 (Quantity must be a whole number)</t>
  </si>
  <si>
    <t xml:space="preserve">2026-10-27T10:36:10.268559+00:00</t>
  </si>
  <si>
    <t xml:space="preserve">2026-10-27T10:36:10.275603+00:00</t>
  </si>
  <si>
    <t xml:space="preserve">2026-10-27T10:36:10.276151+00:00</t>
  </si>
  <si>
    <t xml:space="preserve">ORD-3930</t>
  </si>
  <si>
    <t xml:space="preserve">ROD-12 x 110 @ 7,200; ROD-16 x 26 @ 11,800; WIRE-25 x 10 @ 52,000</t>
  </si>
  <si>
    <t xml:space="preserve">Choose a delivery date. | Iron rod, 12 mm: 110 is far above this customer's usual 13.</t>
  </si>
  <si>
    <t xml:space="preserve">2026-10-27T10:36:10.280065+00:00</t>
  </si>
  <si>
    <t xml:space="preserve">2026-10-27T10:36:10.301506+00:00</t>
  </si>
  <si>
    <t xml:space="preserve">2026-10-27T10:36:10.30209+00:00</t>
  </si>
  <si>
    <t xml:space="preserve">ORD-3931</t>
  </si>
  <si>
    <t xml:space="preserve">This looks like a repeat of ORD-3842. Confirm it is a new order.</t>
  </si>
  <si>
    <t xml:space="preserve">2026-10-27T10:36:10.306356+00:00</t>
  </si>
  <si>
    <t xml:space="preserve">ORD-3932</t>
  </si>
  <si>
    <t xml:space="preserve">PNT-20C x 4 @ 38,000; ROD-12 x 101 @ 7,200; TIL-6060 x 74 @ 14,500</t>
  </si>
  <si>
    <t xml:space="preserve">The delivery date is in the past. | Iron rod, 12 mm: 101 is far above this customer's usual 13.</t>
  </si>
  <si>
    <t xml:space="preserve">2026-10-27T10:36:10.316383+00:00</t>
  </si>
  <si>
    <t xml:space="preserve">2026-10-27T10:36:10.337428+00:00</t>
  </si>
  <si>
    <t xml:space="preserve">2026-10-27T10:36:10.338025+00:00</t>
  </si>
  <si>
    <t xml:space="preserve">ORD-3933</t>
  </si>
  <si>
    <t xml:space="preserve">WIRE-25 x 13 @ 52,000</t>
  </si>
  <si>
    <t xml:space="preserve">2026-10-27T10:36:10.342146+00:00</t>
  </si>
  <si>
    <t xml:space="preserve">2026-10-27T10:36:10.348974+00:00</t>
  </si>
  <si>
    <t xml:space="preserve">2026-10-27T10:36:10.349627+00:00</t>
  </si>
  <si>
    <t xml:space="preserve">ORD-3934</t>
  </si>
  <si>
    <t xml:space="preserve">CEM-50 x 117 @ 9,500</t>
  </si>
  <si>
    <t xml:space="preserve">2026-10-27T10:36:10.35449+00:00</t>
  </si>
  <si>
    <t xml:space="preserve">2026-10-27T10:36:10.368268+00:00</t>
  </si>
  <si>
    <t xml:space="preserve">2026-10-27T10:36:10.36889+00:00</t>
  </si>
  <si>
    <t xml:space="preserve">ORD-3935</t>
  </si>
  <si>
    <t xml:space="preserve">CEM-50 x 109 @ 9,500; PNT-20C x 2 @ 38,000; PVC-4 x 23 @ 8,600</t>
  </si>
  <si>
    <t xml:space="preserve">2026-10-27T10:36:10.373722+00:00</t>
  </si>
  <si>
    <t xml:space="preserve">2026-10-27T10:36:10.394804+00:00</t>
  </si>
  <si>
    <t xml:space="preserve">2026-10-27T10:36:10.39543+00:00</t>
  </si>
  <si>
    <t xml:space="preserve">ORD-3936</t>
  </si>
  <si>
    <t xml:space="preserve">ROD-12 x 90 @ 7,200</t>
  </si>
  <si>
    <t xml:space="preserve">2026-10-27T10:36:10.400233+00:00</t>
  </si>
  <si>
    <t xml:space="preserve">2026-10-27T10:36:10.415679+00:00</t>
  </si>
  <si>
    <t xml:space="preserve">2026-10-27T10:36:10.416279+00:00</t>
  </si>
  <si>
    <t xml:space="preserve">ORD-3937</t>
  </si>
  <si>
    <t xml:space="preserve">TIL-6060 x 36 @ 14,500</t>
  </si>
  <si>
    <t xml:space="preserve">2026-10-27T10:36:10.421332+00:00</t>
  </si>
  <si>
    <t xml:space="preserve">2026-10-27T10:36:10.427921+00:00</t>
  </si>
  <si>
    <t xml:space="preserve">2026-10-27T10:36:10.428553+00:00</t>
  </si>
  <si>
    <t xml:space="preserve">ORD-3938</t>
  </si>
  <si>
    <t xml:space="preserve">This looks like a repeat of ORD-3937. Confirm it is a new order.</t>
  </si>
  <si>
    <t xml:space="preserve">2026-10-27T10:36:10.433381+00:00</t>
  </si>
  <si>
    <t xml:space="preserve">ORD-3939</t>
  </si>
  <si>
    <t xml:space="preserve">ROD-12 x 94 @ 7,200; ROD-16 x 42 @ 11,800</t>
  </si>
  <si>
    <t xml:space="preserve">Iron rod, 12 mm: 94 is far above this customer's usual 13.</t>
  </si>
  <si>
    <t xml:space="preserve">2026-10-27T10:36:10.442798+00:00</t>
  </si>
  <si>
    <t xml:space="preserve">2026-10-27T10:36:10.462076+00:00</t>
  </si>
  <si>
    <t xml:space="preserve">2026-10-27T10:36:10.462724+00:00</t>
  </si>
  <si>
    <t xml:space="preserve">ORD-3940</t>
  </si>
  <si>
    <t xml:space="preserve">ROOF-AL x 311 @ 12,500; WIRE-25 x 16 @ 52,000</t>
  </si>
  <si>
    <t xml:space="preserve">2026-10-27T10:36:10.468101+00:00</t>
  </si>
  <si>
    <t xml:space="preserve">2026-10-27T10:36:10.479108+00:00</t>
  </si>
  <si>
    <t xml:space="preserve">2026-10-27T10:36:10.479788+00:00</t>
  </si>
  <si>
    <t xml:space="preserve">ORD-3941</t>
  </si>
  <si>
    <t xml:space="preserve">ROD-12 x 72 @ 7,200; XX-650 x None (not in the catalogue)</t>
  </si>
  <si>
    <t xml:space="preserve">Row 3: XX-650 - not in the catalogue | Iron rod, 12 mm: 72 is far above this customer's usual 14.</t>
  </si>
  <si>
    <t xml:space="preserve">2026-10-27T10:36:10.484034+00:00</t>
  </si>
  <si>
    <t xml:space="preserve">2026-10-27T10:36:10.500141+00:00</t>
  </si>
  <si>
    <t xml:space="preserve">2026-10-27T10:36:10.500753+00:00</t>
  </si>
  <si>
    <t xml:space="preserve">ORD-3942</t>
  </si>
  <si>
    <t xml:space="preserve">ROOF-AL x 23 @ 12,500</t>
  </si>
  <si>
    <t xml:space="preserve">2026-10-27T10:36:10.505106+00:00</t>
  </si>
  <si>
    <t xml:space="preserve">2026-10-27T10:36:10.512602+00:00</t>
  </si>
  <si>
    <t xml:space="preserve">2026-10-27T10:36:10.513251+00:00</t>
  </si>
  <si>
    <t xml:space="preserve">ORD-3943</t>
  </si>
  <si>
    <t xml:space="preserve">CEM-50 x 771 @ 9,500; NAIL-3 x 11 @ 31,000; ROD-16 x 53 @ 11,800</t>
  </si>
  <si>
    <t xml:space="preserve">2026-10-27T10:36:10.518361+00:00</t>
  </si>
  <si>
    <t xml:space="preserve">2026-10-27T10:36:10.540142+00:00</t>
  </si>
  <si>
    <t xml:space="preserve">2026-10-27T10:36:10.540784+00:00</t>
  </si>
  <si>
    <t xml:space="preserve">ORD-3944</t>
  </si>
  <si>
    <t xml:space="preserve">PNT-20C x 3 @ 38,000; PVC-4 x 13 @ 8,600; SAND-T x 1 @ 185,000</t>
  </si>
  <si>
    <t xml:space="preserve">2026-10-27T10:36:10.545307+00:00</t>
  </si>
  <si>
    <t xml:space="preserve">2026-10-27T10:36:10.557712+00:00</t>
  </si>
  <si>
    <t xml:space="preserve">2026-10-27T10:36:10.558309+00:00</t>
  </si>
  <si>
    <t xml:space="preserve">ORD-3945</t>
  </si>
  <si>
    <t xml:space="preserve">ROD-16 x 7 @ 11,800; WIRE-25 x 15 @ 52,000</t>
  </si>
  <si>
    <t xml:space="preserve">Electric cable, 2.5 mm, 100 m: price changed from 52000.00 to 54600.00. Save the order again to update it.</t>
  </si>
  <si>
    <t xml:space="preserve">2026-10-27T10:36:10.562603+00:00</t>
  </si>
  <si>
    <t xml:space="preserve">2026-10-27T10:36:10.574041+00:00</t>
  </si>
  <si>
    <t xml:space="preserve">2026-10-27T10:36:10.574698+00:00</t>
  </si>
  <si>
    <t xml:space="preserve">ORD-3946</t>
  </si>
  <si>
    <t xml:space="preserve">TIL-6060 x 65 @ 14,500</t>
  </si>
  <si>
    <t xml:space="preserve">2026-10-27T10:36:10.579257+00:00</t>
  </si>
  <si>
    <t xml:space="preserve">2026-10-27T10:36:10.586052+00:00</t>
  </si>
  <si>
    <t xml:space="preserve">2026-10-27T10:36:10.586654+00:00</t>
  </si>
  <si>
    <t xml:space="preserve">ORD-3947</t>
  </si>
  <si>
    <t xml:space="preserve">ROD-16 x 9 @ 11,800; TIL-6060 x 27 @ 14,500</t>
  </si>
  <si>
    <t xml:space="preserve">2026-10-27T10:36:10.591718+00:00</t>
  </si>
  <si>
    <t xml:space="preserve">2026-10-27T10:36:10.602487+00:00</t>
  </si>
  <si>
    <t xml:space="preserve">2026-10-27T10:36:10.603095+00:00</t>
  </si>
  <si>
    <t xml:space="preserve">ORD-3948</t>
  </si>
  <si>
    <t xml:space="preserve">2026-10-27T10:36:10.607541+00:00</t>
  </si>
  <si>
    <t xml:space="preserve">2026-10-27T10:36:10.61512+00:00</t>
  </si>
  <si>
    <t xml:space="preserve">2026-10-27T10:36:10.615721+00:00</t>
  </si>
  <si>
    <t xml:space="preserve">ORD-3949</t>
  </si>
  <si>
    <t xml:space="preserve">PVC-2 x 2 @ 4,100; ROD-16 x 59 @ 11,800; ROOF-AL x 52 @ 12,500</t>
  </si>
  <si>
    <t xml:space="preserve">2026-10-27T10:36:10.619265+00:00</t>
  </si>
  <si>
    <t xml:space="preserve">2026-10-27T10:36:10.635239+00:00</t>
  </si>
  <si>
    <t xml:space="preserve">2026-10-27T10:36:10.635895+00:00</t>
  </si>
  <si>
    <t xml:space="preserve">ORD-3950</t>
  </si>
  <si>
    <t xml:space="preserve">PNT-20W x 5 @ 38,000; PVC-4 x 36 @ 8,600; ROD-12 x 82 @ 7,200</t>
  </si>
  <si>
    <t xml:space="preserve">2026-10-27T10:36:10.641046+00:00</t>
  </si>
  <si>
    <t xml:space="preserve">2026-10-27T10:36:10.665256+00:00</t>
  </si>
  <si>
    <t xml:space="preserve">2026-10-27T10:36:10.665883+00:00</t>
  </si>
  <si>
    <t xml:space="preserve">ORD-3951</t>
  </si>
  <si>
    <t xml:space="preserve">PVC-4 x 39 @ 8,600; WIRE-25 x 11 @ 52,000; XX-874 x None (not in the catalogue)</t>
  </si>
  <si>
    <t xml:space="preserve">Row 4: XX-874 - not in the catalogue</t>
  </si>
  <si>
    <t xml:space="preserve">2026-10-27T10:36:10.671134+00:00</t>
  </si>
  <si>
    <t xml:space="preserve">2026-10-27T10:36:10.683085+00:00</t>
  </si>
  <si>
    <t xml:space="preserve">2026-10-27T10:36:10.683715+00:00</t>
  </si>
  <si>
    <t xml:space="preserve">ORD-3952</t>
  </si>
  <si>
    <t xml:space="preserve">PNT-20W x 27 @ 38,000; TIL-6060 x 69 @ 14,500; WIRE-25 x 10 @ 52,000</t>
  </si>
  <si>
    <t xml:space="preserve">2026-10-27T10:36:10.688132+00:00</t>
  </si>
  <si>
    <t xml:space="preserve">2026-10-27T10:36:10.703131+00:00</t>
  </si>
  <si>
    <t xml:space="preserve">2026-10-27T10:36:10.705258+00:00</t>
  </si>
  <si>
    <t xml:space="preserve">ORD-3953</t>
  </si>
  <si>
    <t xml:space="preserve">NAIL-3 x 6 @ 31,000</t>
  </si>
  <si>
    <t xml:space="preserve">2026-10-27T10:36:10.710571+00:00</t>
  </si>
  <si>
    <t xml:space="preserve">2026-10-27T10:36:10.717397+00:00</t>
  </si>
  <si>
    <t xml:space="preserve">2026-10-27T10:36:10.717983+00:00</t>
  </si>
  <si>
    <t xml:space="preserve">ORD-3954</t>
  </si>
  <si>
    <t xml:space="preserve">PVC-4 x 36 @ 8,600; WIRE-25 x 11 @ 52,000</t>
  </si>
  <si>
    <t xml:space="preserve">2026-10-27T10:36:10.72293+00:00</t>
  </si>
  <si>
    <t xml:space="preserve">2026-10-27T10:36:10.735361+00:00</t>
  </si>
  <si>
    <t xml:space="preserve">2026-10-27T10:36:10.735987+00:00</t>
  </si>
  <si>
    <t xml:space="preserve">ORD-3955</t>
  </si>
  <si>
    <t xml:space="preserve">TIL-6060 x 91 @ 14,500</t>
  </si>
  <si>
    <t xml:space="preserve">2026-10-27T10:36:10.740979+00:00</t>
  </si>
  <si>
    <t xml:space="preserve">2026-10-27T10:36:10.748124+00:00</t>
  </si>
  <si>
    <t xml:space="preserve">2026-10-27T10:36:10.74878+00:00</t>
  </si>
  <si>
    <t xml:space="preserve">ORD-3956</t>
  </si>
  <si>
    <t xml:space="preserve">PVC-2 x 2 @ 4,100; PVC-4 x 3 @ 8,600</t>
  </si>
  <si>
    <t xml:space="preserve">2026-10-27T10:36:10.753973+00:00</t>
  </si>
  <si>
    <t xml:space="preserve">2026-10-27T10:36:10.766854+00:00</t>
  </si>
  <si>
    <t xml:space="preserve">2026-10-27T10:36:10.767502+00:00</t>
  </si>
  <si>
    <t xml:space="preserve">ORD-3957</t>
  </si>
  <si>
    <t xml:space="preserve">2026-10-27T10:36:10.772074+00:00</t>
  </si>
  <si>
    <t xml:space="preserve">2026-10-27T10:36:10.779423+00:00</t>
  </si>
  <si>
    <t xml:space="preserve">2026-10-27T10:36:10.780045+00:00</t>
  </si>
  <si>
    <t xml:space="preserve">ORD-3958</t>
  </si>
  <si>
    <t xml:space="preserve">PNT-20W x 28 @ 38,000; PVC-4 x 56 @ 8,600</t>
  </si>
  <si>
    <t xml:space="preserve">2026-10-27T10:36:10.785176+00:00</t>
  </si>
  <si>
    <t xml:space="preserve">2026-10-27T10:36:10.797609+00:00</t>
  </si>
  <si>
    <t xml:space="preserve">2026-10-27T10:36:10.798213+00:00</t>
  </si>
  <si>
    <t xml:space="preserve">ORD-3959</t>
  </si>
  <si>
    <t xml:space="preserve">ROOF-AL x 16 @ 12,500; PVC-2 x 2.5 (Quantity must be a whole number)</t>
  </si>
  <si>
    <t xml:space="preserve">2026-10-27T10:36:10.802882+00:00</t>
  </si>
  <si>
    <t xml:space="preserve">2026-10-27T10:36:10.810653+00:00</t>
  </si>
  <si>
    <t xml:space="preserve">2026-10-27T10:36:10.811241+00:00</t>
  </si>
  <si>
    <t xml:space="preserve">ORD-3960</t>
  </si>
  <si>
    <t xml:space="preserve">ROOF-AL x 47 @ 12,500; SAND-T x 1 @ 185,000; TIL-6060 x 26 @ 14,500</t>
  </si>
  <si>
    <t xml:space="preserve">2026-10-27T10:36:10.815825+00:00</t>
  </si>
  <si>
    <t xml:space="preserve">2026-10-27T10:36:10.828815+00:00</t>
  </si>
  <si>
    <t xml:space="preserve">2026-10-27T10:36:10.82955+00:00</t>
  </si>
  <si>
    <t xml:space="preserve">ORD-3961</t>
  </si>
  <si>
    <t xml:space="preserve">PNT-20W x 4 @ 38,000; PVC-4 x 23 @ 8,600; SAND-T x 1 @ 185,000</t>
  </si>
  <si>
    <t xml:space="preserve">2026-10-27T10:36:10.834014+00:00</t>
  </si>
  <si>
    <t xml:space="preserve">2026-10-27T10:36:10.848217+00:00</t>
  </si>
  <si>
    <t xml:space="preserve">2026-10-27T10:36:10.848823+00:00</t>
  </si>
  <si>
    <t xml:space="preserve">ORD-3962</t>
  </si>
  <si>
    <t xml:space="preserve">This looks like a repeat of ORD-3957. Confirm it is a new order.</t>
  </si>
  <si>
    <t xml:space="preserve">2026-10-27T10:36:10.857167+00:00</t>
  </si>
  <si>
    <t xml:space="preserve">ORD-3963</t>
  </si>
  <si>
    <t xml:space="preserve">2026-10-27T10:36:10.868834+00:00</t>
  </si>
  <si>
    <t xml:space="preserve">ORD-3964</t>
  </si>
  <si>
    <t xml:space="preserve">ROD-16 x 13 @ 11,800; TIL-6060 x 36 @ 14,500</t>
  </si>
  <si>
    <t xml:space="preserve">2026-10-27T10:36:10.880439+00:00</t>
  </si>
  <si>
    <t xml:space="preserve">2026-10-27T10:36:10.89249+00:00</t>
  </si>
  <si>
    <t xml:space="preserve">2026-10-27T10:36:10.893185+00:00</t>
  </si>
  <si>
    <t xml:space="preserve">ORD-3965</t>
  </si>
  <si>
    <t xml:space="preserve">PVC-4 x 21 @ 8,600; ROD-12 x 23 @ 7,200; WIRE-25 x 2 @ 52,000</t>
  </si>
  <si>
    <t xml:space="preserve">2026-10-27T10:36:10.898654+00:00</t>
  </si>
  <si>
    <t xml:space="preserve">2026-10-27T10:36:10.925311+00:00</t>
  </si>
  <si>
    <t xml:space="preserve">2026-10-27T10:36:10.92593+00:00</t>
  </si>
  <si>
    <t xml:space="preserve">ORD-3966</t>
  </si>
  <si>
    <t xml:space="preserve">PNT-20C x 4 @ 38,000; PNT-20W x 5 @ 38,000</t>
  </si>
  <si>
    <t xml:space="preserve">2026-10-27T10:36:10.930717+00:00</t>
  </si>
  <si>
    <t xml:space="preserve">2026-10-27T10:36:10.942795+00:00</t>
  </si>
  <si>
    <t xml:space="preserve">2026-10-27T10:36:10.943402+00:00</t>
  </si>
  <si>
    <t xml:space="preserve">ORD-3967</t>
  </si>
  <si>
    <t xml:space="preserve">PVC-2 x 2 @ 4,100; ROD-12 x 52 @ 7,200</t>
  </si>
  <si>
    <t xml:space="preserve">2026-10-27T10:36:10.947959+00:00</t>
  </si>
  <si>
    <t xml:space="preserve">2026-10-27T10:36:10.970503+00:00</t>
  </si>
  <si>
    <t xml:space="preserve">2026-10-27T10:36:10.971134+00:00</t>
  </si>
  <si>
    <t xml:space="preserve">ORD-3968</t>
  </si>
  <si>
    <t xml:space="preserve">ROD-12 x 75 @ 7,200</t>
  </si>
  <si>
    <t xml:space="preserve">Iron rod, 12 mm: 75 is far above this customer's usual 23.</t>
  </si>
  <si>
    <t xml:space="preserve">2026-10-27T10:36:10.976696+00:00</t>
  </si>
  <si>
    <t xml:space="preserve">2026-10-27T10:36:10.994467+00:00</t>
  </si>
  <si>
    <t xml:space="preserve">2026-10-27T10:36:10.995097+00:00</t>
  </si>
  <si>
    <t xml:space="preserve">ORD-3969</t>
  </si>
  <si>
    <t xml:space="preserve">PVC-2 x 545 @ 4,100; ROD-12 x 94 @ 7,200; ROD-16 x 69 @ 11,800; ROOF-AL x 73 @ 12,500</t>
  </si>
  <si>
    <t xml:space="preserve">PVC pipe, 2 inch, 6 m: quantity must be between 2 and 500. | PVC pipe, 2 inch, 6 m: only 9 left. Reduce the quantity. | Iron rod, 12 mm: 94 is far above this customer's usual 13.</t>
  </si>
  <si>
    <t xml:space="preserve">2026-10-27T10:36:11.000718+00:00</t>
  </si>
  <si>
    <t xml:space="preserve">2026-10-27T10:36:11.033179+00:00</t>
  </si>
  <si>
    <t xml:space="preserve">2026-10-27T10:36:11.033818+00:00</t>
  </si>
  <si>
    <t xml:space="preserve">ORD-3970</t>
  </si>
  <si>
    <t xml:space="preserve">PVC-2 x 2 @ 4,100; PVC-4 x 24 @ 8,600; ROOF-AL x 9 @ 12,500; TIL-6060 x 36 @ 14,500</t>
  </si>
  <si>
    <t xml:space="preserve">2026-10-27T10:36:11.038589+00:00</t>
  </si>
  <si>
    <t xml:space="preserve">2026-10-27T10:36:11.061534+00:00</t>
  </si>
  <si>
    <t xml:space="preserve">2026-10-27T10:36:11.06215+00:00</t>
  </si>
  <si>
    <t xml:space="preserve">ORD-3971</t>
  </si>
  <si>
    <t xml:space="preserve">CEM-50 x 104 @ 9,500; WIRE-25 x 3 @ 52,000</t>
  </si>
  <si>
    <t xml:space="preserve">2026-10-27T10:36:11.06698+00:00</t>
  </si>
  <si>
    <t xml:space="preserve">2026-10-27T10:36:11.088349+00:00</t>
  </si>
  <si>
    <t xml:space="preserve">2026-10-27T10:36:11.089014+00:00</t>
  </si>
  <si>
    <t xml:space="preserve">ORD-3972</t>
  </si>
  <si>
    <t xml:space="preserve">CEM-50 x 75 @ 9,500; PVC-4 x 6 @ 8,600</t>
  </si>
  <si>
    <t xml:space="preserve">2026-10-27T10:36:11.094548+00:00</t>
  </si>
  <si>
    <t xml:space="preserve">2026-10-27T10:36:11.116448+00:00</t>
  </si>
  <si>
    <t xml:space="preserve">2026-10-27T10:36:11.117218+00:00</t>
  </si>
  <si>
    <t xml:space="preserve">ORD-3973</t>
  </si>
  <si>
    <t xml:space="preserve">NAIL-3 x 7 @ 31,000; PNT-20C x 3 @ 38,000; ROOF-AL x 25 @ 12,500</t>
  </si>
  <si>
    <t xml:space="preserve">2026-10-27T10:36:11.122678+00:00</t>
  </si>
  <si>
    <t xml:space="preserve">2026-10-27T10:36:11.139673+00:00</t>
  </si>
  <si>
    <t xml:space="preserve">2026-10-27T10:36:11.140324+00:00</t>
  </si>
  <si>
    <t xml:space="preserve">ORD-3974</t>
  </si>
  <si>
    <t xml:space="preserve">PVC-2 x 2 @ 4,100; ROD-12 x 129 @ 7,200; ROD-16 x 28 @ 11,800</t>
  </si>
  <si>
    <t xml:space="preserve">pricing, unusual_quantity</t>
  </si>
  <si>
    <t xml:space="preserve">Iron rod, 16 mm: price changed from 11800.00 to 12400.00. Save the order again to update it. | Iron rod, 12 mm: 129 is far above this customer's usual 39.</t>
  </si>
  <si>
    <t xml:space="preserve">2026-10-27T10:36:11.145893+00:00</t>
  </si>
  <si>
    <t xml:space="preserve">2026-10-27T10:36:11.17504+00:00</t>
  </si>
  <si>
    <t xml:space="preserve">2026-10-27T10:36:11.175678+00:00</t>
  </si>
  <si>
    <t xml:space="preserve">ORD-3975</t>
  </si>
  <si>
    <t xml:space="preserve">CEM-50 x 21 @ 9,500; NAIL-3 x 3 @ 31,000</t>
  </si>
  <si>
    <t xml:space="preserve">2026-10-27T10:36:11.180785+00:00</t>
  </si>
  <si>
    <t xml:space="preserve">2026-10-27T10:36:11.201084+00:00</t>
  </si>
  <si>
    <t xml:space="preserve">2026-10-27T10:36:11.201748+00:00</t>
  </si>
  <si>
    <t xml:space="preserve">ORD-3976</t>
  </si>
  <si>
    <t xml:space="preserve">CEM-50 x 166 @ 9,500; NAIL-3 x 14 @ 31,000</t>
  </si>
  <si>
    <t xml:space="preserve">2026-10-27T10:36:11.207268+00:00</t>
  </si>
  <si>
    <t xml:space="preserve">2026-10-27T10:36:11.228283+00:00</t>
  </si>
  <si>
    <t xml:space="preserve">2026-10-27T10:36:11.228939+00:00</t>
  </si>
  <si>
    <t xml:space="preserve">ORD-3977</t>
  </si>
  <si>
    <t xml:space="preserve">PNT-20C x 5 @ 38,000; PVC-4 x 2 @ 8,600; ROD-16 x 21 @ 11,800; TIL-6060 x 376 @ 14,500</t>
  </si>
  <si>
    <t xml:space="preserve">Floor tile 60x60, carton: not enough stock for this quantity. Reduce it.</t>
  </si>
  <si>
    <t xml:space="preserve">2026-10-27T10:36:11.234693+00:00</t>
  </si>
  <si>
    <t xml:space="preserve">2026-10-27T10:36:11.257751+00:00</t>
  </si>
  <si>
    <t xml:space="preserve">2026-10-27T10:36:11.258421+00:00</t>
  </si>
  <si>
    <t xml:space="preserve">ORD-3978</t>
  </si>
  <si>
    <t xml:space="preserve">CEM-50 x 17 @ 9,500; PVC-2 x 2 @ 4,100</t>
  </si>
  <si>
    <t xml:space="preserve">2026-10-27T10:36:11.263445+00:00</t>
  </si>
  <si>
    <t xml:space="preserve">2026-10-27T10:36:11.285974+00:00</t>
  </si>
  <si>
    <t xml:space="preserve">2026-10-27T10:36:11.28663+00:00</t>
  </si>
  <si>
    <t xml:space="preserve">ORD-3979</t>
  </si>
  <si>
    <t xml:space="preserve">PNT-20C x 8 @ 38,000; PVC-2 x 2 @ 4,100</t>
  </si>
  <si>
    <t xml:space="preserve">2026-10-27T10:36:11.292163+00:00</t>
  </si>
  <si>
    <t xml:space="preserve">2026-10-27T10:36:11.306038+00:00</t>
  </si>
  <si>
    <t xml:space="preserve">2026-10-27T10:36:11.306695+00:00</t>
  </si>
  <si>
    <t xml:space="preserve">ORD-3980</t>
  </si>
  <si>
    <t xml:space="preserve">ROD-12 x 80 @ 7,200; ROD-16 x 27 @ 11,800; TIL-6060 x 50 @ 14,500</t>
  </si>
  <si>
    <t xml:space="preserve">Iron rod, 12 mm: 80 is far above this customer's usual 14.</t>
  </si>
  <si>
    <t xml:space="preserve">2026-10-27T10:36:11.312439+00:00</t>
  </si>
  <si>
    <t xml:space="preserve">2026-10-27T10:36:11.340718+00:00</t>
  </si>
  <si>
    <t xml:space="preserve">2026-10-27T10:36:11.341404+00:00</t>
  </si>
  <si>
    <t xml:space="preserve">ORD-3981</t>
  </si>
  <si>
    <t xml:space="preserve">PVC-2 x 2 @ 4,100; ROD-16 x 36 @ 11,800</t>
  </si>
  <si>
    <t xml:space="preserve">2026-10-27T10:36:11.347165+00:00</t>
  </si>
  <si>
    <t xml:space="preserve">2026-10-27T10:36:11.361973+00:00</t>
  </si>
  <si>
    <t xml:space="preserve">2026-10-27T10:36:11.362604+00:00</t>
  </si>
  <si>
    <t xml:space="preserve">ORD-3982</t>
  </si>
  <si>
    <t xml:space="preserve">PNT-20W x 17 @ 38,000</t>
  </si>
  <si>
    <t xml:space="preserve">2026-10-27T10:36:11.367646+00:00</t>
  </si>
  <si>
    <t xml:space="preserve">2026-10-27T10:36:11.376333+00:00</t>
  </si>
  <si>
    <t xml:space="preserve">2026-10-27T10:36:11.376977+00:00</t>
  </si>
  <si>
    <t xml:space="preserve">ORD-3983</t>
  </si>
  <si>
    <t xml:space="preserve">CEM-50 x 11 @ 9,500; PVC-2 x 2 @ 4,100; ROD-12 x 4 @ 7,200; TIL-6060 x 23 @ 14,500</t>
  </si>
  <si>
    <t xml:space="preserve">2026-10-27T10:36:11.382924+00:00</t>
  </si>
  <si>
    <t xml:space="preserve">2026-10-27T10:36:11.425948+00:00</t>
  </si>
  <si>
    <t xml:space="preserve">2026-10-27T10:36:11.426617+00:00</t>
  </si>
  <si>
    <t xml:space="preserve">ORD-3984</t>
  </si>
  <si>
    <t xml:space="preserve">CEM-50 x 156 @ 9,500; ROD-12 x 10 @ 7,200; WIRE-25 x 7 @ 52,000</t>
  </si>
  <si>
    <t xml:space="preserve">Cement, 50 kg bag: 156 is far above this customer's usual 23.</t>
  </si>
  <si>
    <t xml:space="preserve">2026-10-27T10:36:11.431781+00:00</t>
  </si>
  <si>
    <t xml:space="preserve">2026-10-27T10:36:11.469672+00:00</t>
  </si>
  <si>
    <t xml:space="preserve">2026-10-27T10:36:11.470422+00:00</t>
  </si>
  <si>
    <t xml:space="preserve">ORD-3985</t>
  </si>
  <si>
    <t xml:space="preserve">CEM-50 x 31 @ 9,500; TIL-6060 x 376 @ 14,500</t>
  </si>
  <si>
    <t xml:space="preserve">2026-10-27T10:36:11.476302+00:00</t>
  </si>
  <si>
    <t xml:space="preserve">2026-10-27T10:36:11.49888+00:00</t>
  </si>
  <si>
    <t xml:space="preserve">2026-10-27T10:36:11.499536+00:00</t>
  </si>
  <si>
    <t xml:space="preserve">ORD-3986</t>
  </si>
  <si>
    <t xml:space="preserve">TIL-6060 x 35 @ 14,500; XX-181 x None (not in the catalogue)</t>
  </si>
  <si>
    <t xml:space="preserve">Row 3: XX-181 - not in the catalogue</t>
  </si>
  <si>
    <t xml:space="preserve">2026-10-27T10:36:11.504778+00:00</t>
  </si>
  <si>
    <t xml:space="preserve">2026-10-27T10:36:11.513831+00:00</t>
  </si>
  <si>
    <t xml:space="preserve">2026-10-27T10:36:11.514458+00:00</t>
  </si>
  <si>
    <t xml:space="preserve">ORD-3987</t>
  </si>
  <si>
    <t xml:space="preserve">ROD-12 x 107 @ 7,200; WIRE-25 x 4 @ 52,000</t>
  </si>
  <si>
    <t xml:space="preserve">Iron rod, 12 mm: 107 is far above this customer's usual 13.</t>
  </si>
  <si>
    <t xml:space="preserve">2026-10-27T10:36:11.519412+00:00</t>
  </si>
  <si>
    <t xml:space="preserve">2026-10-27T10:36:11.544073+00:00</t>
  </si>
  <si>
    <t xml:space="preserve">2026-10-27T10:36:11.544815+00:00</t>
  </si>
  <si>
    <t xml:space="preserve">ORD-3988</t>
  </si>
  <si>
    <t xml:space="preserve">PNT-20W x 19 @ 38,000; TIL-6060 x 49 @ 14,500</t>
  </si>
  <si>
    <t xml:space="preserve">2026-10-27T10:36:11.550533+00:00</t>
  </si>
  <si>
    <t xml:space="preserve">2026-10-27T10:36:11.564571+00:00</t>
  </si>
  <si>
    <t xml:space="preserve">2026-10-27T10:36:11.565225+00:00</t>
  </si>
  <si>
    <t xml:space="preserve">ORD-3989</t>
  </si>
  <si>
    <t xml:space="preserve">PNT-20C x 4 @ 38,000; PVC-4 x 23 @ 8,600</t>
  </si>
  <si>
    <t xml:space="preserve">2026-10-27T10:36:11.570965+00:00</t>
  </si>
  <si>
    <t xml:space="preserve">2026-10-27T10:36:11.585502+00:00</t>
  </si>
  <si>
    <t xml:space="preserve">2026-10-27T10:36:11.586149+00:00</t>
  </si>
  <si>
    <t xml:space="preserve">ORD-3990</t>
  </si>
  <si>
    <t xml:space="preserve">NAIL-3 x 4 @ 31,000; PVC-2 x 2 @ 4,100; PVC-4 x 28 @ 8,600; ROOF-AL x 10.5 (Quantity must be a whole number)</t>
  </si>
  <si>
    <t xml:space="preserve">2026-10-27T10:36:11.592162+00:00</t>
  </si>
  <si>
    <t xml:space="preserve">2026-10-27T10:36:11.61338+00:00</t>
  </si>
  <si>
    <t xml:space="preserve">2026-10-27T10:36:11.614038+00:00</t>
  </si>
  <si>
    <t xml:space="preserve">ORD-3991</t>
  </si>
  <si>
    <t xml:space="preserve">This looks like a repeat of ORD-3988. Confirm it is a new order.</t>
  </si>
  <si>
    <t xml:space="preserve">2026-10-27T10:36:11.619213+00:00</t>
  </si>
  <si>
    <t xml:space="preserve">ORD-3992</t>
  </si>
  <si>
    <t xml:space="preserve">CEM-50 x 28 @ 9,500</t>
  </si>
  <si>
    <t xml:space="preserve">2026-10-27T10:36:11.63811+00:00</t>
  </si>
  <si>
    <t xml:space="preserve">2026-10-27T10:36:11.656509+00:00</t>
  </si>
  <si>
    <t xml:space="preserve">2026-10-27T10:36:11.657231+00:00</t>
  </si>
  <si>
    <t xml:space="preserve">ORD-3993</t>
  </si>
  <si>
    <t xml:space="preserve">PNT-20C x 4 @ 38,000; TIL-6060 x 68 @ 14,500; WIRE-25 x 2 @ 52,000</t>
  </si>
  <si>
    <t xml:space="preserve">2026-10-27T10:36:11.662672+00:00</t>
  </si>
  <si>
    <t xml:space="preserve">2026-10-27T10:36:11.682905+00:00</t>
  </si>
  <si>
    <t xml:space="preserve">2026-10-27T10:36:11.683575+00:00</t>
  </si>
  <si>
    <t xml:space="preserve">ORD-3994</t>
  </si>
  <si>
    <t xml:space="preserve">PNT-20C x 3 @ 38,000; ROD-16 x 19 @ 11,800; ROOF-AL x 74 @ 12,500</t>
  </si>
  <si>
    <t xml:space="preserve">2026-10-27T10:36:11.689463+00:00</t>
  </si>
  <si>
    <t xml:space="preserve">2026-10-27T10:36:11.709686+00:00</t>
  </si>
  <si>
    <t xml:space="preserve">2026-10-27T10:36:11.710367+00:00</t>
  </si>
  <si>
    <t xml:space="preserve">ORD-3995</t>
  </si>
  <si>
    <t xml:space="preserve">2026-10-27T10:36:11.716516+00:00</t>
  </si>
  <si>
    <t xml:space="preserve">2026-10-27T10:36:11.726031+00:00</t>
  </si>
  <si>
    <t xml:space="preserve">2026-10-27T10:36:11.726658+00:00</t>
  </si>
  <si>
    <t xml:space="preserve">ORD-3996</t>
  </si>
  <si>
    <t xml:space="preserve">This looks like a repeat of ORD-3993. Confirm it is a new order.</t>
  </si>
  <si>
    <t xml:space="preserve">2026-10-27T10:36:11.731952+00:00</t>
  </si>
  <si>
    <t xml:space="preserve">ORD-3997</t>
  </si>
  <si>
    <t xml:space="preserve">CEM-50 x 9 @ 9,500; NAIL-3 x 2 @ 31,000; PNT-20W x 5 @ 38,000; PVC-2 x 2 @ 4,100</t>
  </si>
  <si>
    <t xml:space="preserve">2026-10-27T10:36:11.758948+00:00</t>
  </si>
  <si>
    <t xml:space="preserve">2026-10-27T10:36:11.793954+00:00</t>
  </si>
  <si>
    <t xml:space="preserve">2026-10-27T10:36:11.794633+00:00</t>
  </si>
  <si>
    <t xml:space="preserve">ORD-3998</t>
  </si>
  <si>
    <t xml:space="preserve">ROD-16 x 40 @ 11,800; TIL-6060 x 89 @ 14,500</t>
  </si>
  <si>
    <t xml:space="preserve">2026-10-27T10:36:11.800183+00:00</t>
  </si>
  <si>
    <t xml:space="preserve">2026-10-27T10:36:11.81591+00:00</t>
  </si>
  <si>
    <t xml:space="preserve">2026-10-27T10:36:11.816614+00:00</t>
  </si>
  <si>
    <t xml:space="preserve">ORD-3999</t>
  </si>
  <si>
    <t xml:space="preserve">ROD-12 x 170 @ 7,200; ROD-16 x 39 @ 11,800; TIL-6060 x 36 @ 14,500</t>
  </si>
  <si>
    <t xml:space="preserve">Iron rod, 12 mm: 170 is far above this customer's usual 13.</t>
  </si>
  <si>
    <t xml:space="preserve">2026-10-27T10:36:11.822805+00:00</t>
  </si>
  <si>
    <t xml:space="preserve">2026-10-27T10:36:11.854943+00:00</t>
  </si>
  <si>
    <t xml:space="preserve">2026-10-27T10:36:11.855656+00:00</t>
  </si>
  <si>
    <t xml:space="preserve">ORD-4000</t>
  </si>
  <si>
    <t xml:space="preserve">PNT-20C x 2 @ 38,000</t>
  </si>
  <si>
    <t xml:space="preserve">2026-10-27T10:36:11.86191+00:00</t>
  </si>
  <si>
    <t xml:space="preserve">2026-10-27T10:36:11.872016+00:00</t>
  </si>
  <si>
    <t xml:space="preserve">2026-10-27T10:36:11.872699+00:00</t>
  </si>
  <si>
    <t xml:space="preserve">ORD-4001</t>
  </si>
  <si>
    <t xml:space="preserve">PVC-2 x 2 @ 4,100; ROOF-AL x 10.5 (Quantity must be a whole number)</t>
  </si>
  <si>
    <t xml:space="preserve">2026-10-27T10:36:11.879038+00:00</t>
  </si>
  <si>
    <t xml:space="preserve">2026-10-27T10:36:11.889933+00:00</t>
  </si>
  <si>
    <t xml:space="preserve">2026-10-27T10:36:11.890589+00:00</t>
  </si>
  <si>
    <t xml:space="preserve">ORD-4002</t>
  </si>
  <si>
    <t xml:space="preserve">PVC-4 x 50 @ 8,600; ROD-16 x 46 @ 11,800; TIL-6060 x 9 @ 14,500</t>
  </si>
  <si>
    <t xml:space="preserve">2026-10-27T10:36:11.896331+00:00</t>
  </si>
  <si>
    <t xml:space="preserve">2026-10-27T10:36:11.918936+00:00</t>
  </si>
  <si>
    <t xml:space="preserve">2026-10-27T10:36:11.919594+00:00</t>
  </si>
  <si>
    <t xml:space="preserve">ORD-4003</t>
  </si>
  <si>
    <t xml:space="preserve">TIL-6060 x 58 @ 14,500</t>
  </si>
  <si>
    <t xml:space="preserve">Floor tile 60x60, carton: price changed from 14500.00 to 15200.00. Save the order again to update it.</t>
  </si>
  <si>
    <t xml:space="preserve">2026-10-27T10:36:11.925059+00:00</t>
  </si>
  <si>
    <t xml:space="preserve">2026-10-27T10:36:11.935816+00:00</t>
  </si>
  <si>
    <t xml:space="preserve">2026-10-27T10:36:11.936513+00:00</t>
  </si>
  <si>
    <t xml:space="preserve">ORD-4004</t>
  </si>
  <si>
    <t xml:space="preserve">CEM-50 x 190 @ 9,500; PVC-2 x 2 @ 4,100</t>
  </si>
  <si>
    <t xml:space="preserve">2026-10-27T10:36:11.942192+00:00</t>
  </si>
  <si>
    <t xml:space="preserve">2026-10-27T10:36:11.968415+00:00</t>
  </si>
  <si>
    <t xml:space="preserve">2026-10-27T10:36:11.969118+00:00</t>
  </si>
  <si>
    <t xml:space="preserve">ORD-4005</t>
  </si>
  <si>
    <t xml:space="preserve">PVC-4 x 13 @ 8,600; TIL-6060 x 1 @ 14,500</t>
  </si>
  <si>
    <t xml:space="preserve">2026-10-27T10:36:11.975507+00:00</t>
  </si>
  <si>
    <t xml:space="preserve">2026-10-27T10:36:11.992326+00:00</t>
  </si>
  <si>
    <t xml:space="preserve">2026-10-27T10:36:11.992995+00:00</t>
  </si>
  <si>
    <t xml:space="preserve">ORD-4006</t>
  </si>
  <si>
    <t xml:space="preserve">PVC-4 x 56 @ 8,600</t>
  </si>
  <si>
    <t xml:space="preserve">2026-10-27T10:36:11.998451+00:00</t>
  </si>
  <si>
    <t xml:space="preserve">2026-10-27T10:36:12.009382+00:00</t>
  </si>
  <si>
    <t xml:space="preserve">2026-10-27T10:36:12.010021+00:00</t>
  </si>
  <si>
    <t xml:space="preserve">ORD-4007</t>
  </si>
  <si>
    <t xml:space="preserve">PVC-2 x 2 @ 4,100; ROD-12 x 43 @ 7,200</t>
  </si>
  <si>
    <t xml:space="preserve">2026-10-27T10:36:12.015647+00:00</t>
  </si>
  <si>
    <t xml:space="preserve">2026-10-27T10:36:12.043497+00:00</t>
  </si>
  <si>
    <t xml:space="preserve">2026-10-27T10:36:12.044157+00:00</t>
  </si>
  <si>
    <t xml:space="preserve">ORD-4008</t>
  </si>
  <si>
    <t xml:space="preserve">PNT-20W x 1 @ 38,000; PVC-4 x 51 @ 8,600; ROD-16 x 30 @ 11,800; WIRE-25 x 9 @ 52,000</t>
  </si>
  <si>
    <t xml:space="preserve">2026-10-27T10:36:12.049846+00:00</t>
  </si>
  <si>
    <t xml:space="preserve">2026-10-27T10:36:12.079397+00:00</t>
  </si>
  <si>
    <t xml:space="preserve">2026-10-27T10:36:12.080071+00:00</t>
  </si>
  <si>
    <t xml:space="preserve">ORD-4009</t>
  </si>
  <si>
    <t xml:space="preserve">WIRE-25 x 6 @ 52,000</t>
  </si>
  <si>
    <t xml:space="preserve">2026-10-27T10:36:12.090862+00:00</t>
  </si>
  <si>
    <t xml:space="preserve">2026-10-27T10:36:12.101355+00:00</t>
  </si>
  <si>
    <t xml:space="preserve">2026-10-27T10:36:12.102053+00:00</t>
  </si>
  <si>
    <t xml:space="preserve">ORD-4010</t>
  </si>
  <si>
    <t xml:space="preserve">PNT-20W x 2 @ 38,000; PVC-4 x 42 @ 8,600; ROD-12 x 180 @ 7,200; WIRE-25 x 11 @ 52,000</t>
  </si>
  <si>
    <t xml:space="preserve">Iron rod, 12 mm: 180 is far above this customer's usual 25.</t>
  </si>
  <si>
    <t xml:space="preserve">2026-10-27T10:36:12.108556+00:00</t>
  </si>
  <si>
    <t xml:space="preserve">2026-10-27T10:36:12.148774+00:00</t>
  </si>
  <si>
    <t xml:space="preserve">2026-10-27T10:36:12.149495+00:00</t>
  </si>
  <si>
    <t xml:space="preserve">ORD-4011</t>
  </si>
  <si>
    <t xml:space="preserve">PNT-20W x 18 @ 38,000; ROOF-AL x 73 @ 12,500</t>
  </si>
  <si>
    <t xml:space="preserve">2026-10-27T10:36:12.155959+00:00</t>
  </si>
  <si>
    <t xml:space="preserve">2026-10-27T10:36:12.171814+00:00</t>
  </si>
  <si>
    <t xml:space="preserve">2026-10-27T10:36:12.172492+00:00</t>
  </si>
  <si>
    <t xml:space="preserve">ORD-4012</t>
  </si>
  <si>
    <t xml:space="preserve">PNT-20C x 5 @ 38,000</t>
  </si>
  <si>
    <t xml:space="preserve">2026-10-27T10:36:12.178806+00:00</t>
  </si>
  <si>
    <t xml:space="preserve">2026-10-27T10:36:12.18899+00:00</t>
  </si>
  <si>
    <t xml:space="preserve">2026-10-27T10:36:12.189672+00:00</t>
  </si>
  <si>
    <t xml:space="preserve">ORD-4013</t>
  </si>
  <si>
    <t xml:space="preserve">PVC-4 x 29 @ 8,600; TIL-6060 x 3 @ 14,500</t>
  </si>
  <si>
    <t xml:space="preserve">2026-10-27T10:36:12.196167+00:00</t>
  </si>
  <si>
    <t xml:space="preserve">2026-10-27T10:36:12.218633+00:00</t>
  </si>
  <si>
    <t xml:space="preserve">2026-10-27T10:36:12.219317+00:00</t>
  </si>
  <si>
    <t xml:space="preserve">ORD-4014</t>
  </si>
  <si>
    <t xml:space="preserve">PVC-4 x 43 @ 8,600; ROD-16 x 301 @ 11,800</t>
  </si>
  <si>
    <t xml:space="preserve">2026-10-27T10:36:12.225807+00:00</t>
  </si>
  <si>
    <t xml:space="preserve">2026-10-27T10:36:12.243942+00:00</t>
  </si>
  <si>
    <t xml:space="preserve">2026-10-27T10:36:12.24464+00:00</t>
  </si>
  <si>
    <t xml:space="preserve">ORD-4015</t>
  </si>
  <si>
    <t xml:space="preserve">PVC-2 x 2 @ 4,100; PVC-4 x 534 @ 8,600; ROOF-AL x 29 @ 12,500</t>
  </si>
  <si>
    <t xml:space="preserve">2026-10-27T10:36:12.250437+00:00</t>
  </si>
  <si>
    <t xml:space="preserve">2026-10-27T10:36:12.276171+00:00</t>
  </si>
  <si>
    <t xml:space="preserve">2026-10-27T10:36:12.276871+00:00</t>
  </si>
  <si>
    <t xml:space="preserve">ORD-4016</t>
  </si>
  <si>
    <t xml:space="preserve">ROD-16 x 19 @ 11,800; TIL-6060 x 33 @ 14,500; WIRE-25 x 10 @ 52,000</t>
  </si>
  <si>
    <t xml:space="preserve">2026-10-27T10:36:12.282814+00:00</t>
  </si>
  <si>
    <t xml:space="preserve">2026-10-27T10:36:12.306975+00:00</t>
  </si>
  <si>
    <t xml:space="preserve">2026-10-27T10:36:12.30768+00:00</t>
  </si>
  <si>
    <t xml:space="preserve">ORD-4017</t>
  </si>
  <si>
    <t xml:space="preserve">NAIL-3 x 8 @ 31,000; PVC-2 x 2 @ 4,100; TIL-6060 x 61 @ 14,500</t>
  </si>
  <si>
    <t xml:space="preserve">2026-10-27T10:36:12.314131+00:00</t>
  </si>
  <si>
    <t xml:space="preserve">2026-10-27T10:36:12.337997+00:00</t>
  </si>
  <si>
    <t xml:space="preserve">2026-10-27T10:36:12.338701+00:00</t>
  </si>
  <si>
    <t xml:space="preserve">ORD-4018</t>
  </si>
  <si>
    <t xml:space="preserve">ROOF-AL x 71 @ 12,500</t>
  </si>
  <si>
    <t xml:space="preserve">2026-10-27T10:36:12.345029+00:00</t>
  </si>
  <si>
    <t xml:space="preserve">2026-10-27T10:36:12.355612+00:00</t>
  </si>
  <si>
    <t xml:space="preserve">2026-10-27T10:36:12.356306+00:00</t>
  </si>
  <si>
    <t xml:space="preserve">ORD-4019</t>
  </si>
  <si>
    <t xml:space="preserve">CEM-50 x 109 @ 9,500; TIL-6060 x 83 @ 14,500</t>
  </si>
  <si>
    <t xml:space="preserve">2026-10-27T10:36:12.362961+00:00</t>
  </si>
  <si>
    <t xml:space="preserve">2026-10-27T10:36:12.390297+00:00</t>
  </si>
  <si>
    <t xml:space="preserve">2026-10-27T10:36:12.390952+00:00</t>
  </si>
  <si>
    <t xml:space="preserve">ORD-4020</t>
  </si>
  <si>
    <t xml:space="preserve">CEM-50 x 125 @ 9,500</t>
  </si>
  <si>
    <t xml:space="preserve">2026-10-27T10:36:12.396857+00:00</t>
  </si>
  <si>
    <t xml:space="preserve">2026-10-27T10:36:12.417576+00:00</t>
  </si>
  <si>
    <t xml:space="preserve">2026-10-27T10:36:12.418313+00:00</t>
  </si>
  <si>
    <t xml:space="preserve">ORD-4021</t>
  </si>
  <si>
    <t xml:space="preserve">NAIL-3 x 10 @ 31,000; PNT-20C x 7 @ 38,000; PVC-4 x 10 @ 8,600</t>
  </si>
  <si>
    <t xml:space="preserve">2026-10-27T10:36:12.424225+00:00</t>
  </si>
  <si>
    <t xml:space="preserve">2026-10-27T10:36:12.448602+00:00</t>
  </si>
  <si>
    <t xml:space="preserve">2026-10-27T10:36:12.449315+00:00</t>
  </si>
  <si>
    <t xml:space="preserve">ORD-4022</t>
  </si>
  <si>
    <t xml:space="preserve">ROOF-AL x 74 @ 12,500; TIL-6060 x 90 @ 14,500; WIRE-25 x 5 @ 52,000</t>
  </si>
  <si>
    <t xml:space="preserve">2026-10-27T10:36:12.455222+00:00</t>
  </si>
  <si>
    <t xml:space="preserve">2026-10-27T10:36:12.479752+00:00</t>
  </si>
  <si>
    <t xml:space="preserve">2026-10-27T10:36:12.480432+00:00</t>
  </si>
  <si>
    <t xml:space="preserve">ORD-4023</t>
  </si>
  <si>
    <t xml:space="preserve">PVC-2 x 2 @ 4,100; ROD-16 x 31 @ 11,800</t>
  </si>
  <si>
    <t xml:space="preserve">2026-10-27T10:36:12.486382+00:00</t>
  </si>
  <si>
    <t xml:space="preserve">2026-10-27T10:36:12.505358+00:00</t>
  </si>
  <si>
    <t xml:space="preserve">2026-10-27T10:36:12.506049+00:00</t>
  </si>
  <si>
    <t xml:space="preserve">ORD-4024</t>
  </si>
  <si>
    <t xml:space="preserve">CEM-50 x 95 @ 9,500; PNT-20C x 1 @ 38,000</t>
  </si>
  <si>
    <t xml:space="preserve">Cement, 50 kg bag: price changed from 9500.00 to 10000.00. Save the order again to update it. | Cement, 50 kg bag: 95 is far above this customer's usual 23.</t>
  </si>
  <si>
    <t xml:space="preserve">2026-10-27T10:36:12.512742+00:00</t>
  </si>
  <si>
    <t xml:space="preserve">2026-10-27T10:36:12.540108+00:00</t>
  </si>
  <si>
    <t xml:space="preserve">2026-10-27T10:36:12.540876+00:00</t>
  </si>
  <si>
    <t xml:space="preserve">ORD-4025</t>
  </si>
  <si>
    <t xml:space="preserve">CEM-50 x 171 @ 9,500</t>
  </si>
  <si>
    <t xml:space="preserve">Cement, 50 kg bag: 171 is far above this customer's usual 56.</t>
  </si>
  <si>
    <t xml:space="preserve">2026-10-27T10:36:12.547103+00:00</t>
  </si>
  <si>
    <t xml:space="preserve">2026-10-27T10:36:12.568388+00:00</t>
  </si>
  <si>
    <t xml:space="preserve">2026-10-27T10:36:12.569111+00:00</t>
  </si>
  <si>
    <t xml:space="preserve">ORD-4026</t>
  </si>
  <si>
    <t xml:space="preserve">ROD-16 x 38 @ 11,800; TIL-6060 x 91 @ 14,500; WIRE-25 x 12 @ 52,000</t>
  </si>
  <si>
    <t xml:space="preserve">2026-10-27T10:36:12.575809+00:00</t>
  </si>
  <si>
    <t xml:space="preserve">2026-10-27T10:36:12.601833+00:00</t>
  </si>
  <si>
    <t xml:space="preserve">2026-10-27T10:36:12.602568+00:00</t>
  </si>
  <si>
    <t xml:space="preserve">ORD-4027</t>
  </si>
  <si>
    <t xml:space="preserve">PNT-20C x 1 @ 38,000; PVC-4 x 17 @ 8,600; WIRE-25 x 16 @ 52,000</t>
  </si>
  <si>
    <t xml:space="preserve">2026-10-27T10:36:12.609151+00:00</t>
  </si>
  <si>
    <t xml:space="preserve">2026-10-27T10:36:12.635706+00:00</t>
  </si>
  <si>
    <t xml:space="preserve">2026-10-27T10:36:12.636455+00:00</t>
  </si>
  <si>
    <t xml:space="preserve">ORD-4028</t>
  </si>
  <si>
    <t xml:space="preserve">CEM-50 x 101 @ 9,500; NAIL-3 x 13 @ 31,000; PNT-20W x 24 @ 38,000; TIL-6060 x 1 @ 14,500</t>
  </si>
  <si>
    <t xml:space="preserve">2026-10-27T10:36:12.643366+00:00</t>
  </si>
  <si>
    <t xml:space="preserve">2026-10-27T10:36:12.684759+00:00</t>
  </si>
  <si>
    <t xml:space="preserve">2026-10-27T10:36:12.685478+00:00</t>
  </si>
  <si>
    <t xml:space="preserve">ORD-4029</t>
  </si>
  <si>
    <t xml:space="preserve">PNT-20C x 10 @ 38,000; ROD-16 x 26 @ 11,800; ROD-12 x 5.5 (Quantity must be a whole number)</t>
  </si>
  <si>
    <t xml:space="preserve">2026-10-27T10:36:12.69158+00:00</t>
  </si>
  <si>
    <t xml:space="preserve">2026-10-27T10:36:12.710257+00:00</t>
  </si>
  <si>
    <t xml:space="preserve">2026-10-27T10:36:12.710935+00:00</t>
  </si>
  <si>
    <t xml:space="preserve">ORD-4030</t>
  </si>
  <si>
    <t xml:space="preserve">NAIL-3 x 8 @ 31,000; PNT-20W x 8 @ 38,000; TIL-6060 x 48 @ 14,500</t>
  </si>
  <si>
    <t xml:space="preserve">2026-10-27T10:36:12.716907+00:00</t>
  </si>
  <si>
    <t xml:space="preserve">2026-10-27T10:36:12.743515+00:00</t>
  </si>
  <si>
    <t xml:space="preserve">2026-10-27T10:36:12.744229+00:00</t>
  </si>
  <si>
    <t xml:space="preserve">ORD-4031</t>
  </si>
  <si>
    <t xml:space="preserve">PNT-20C x 3 @ 38,000</t>
  </si>
  <si>
    <t xml:space="preserve">2026-10-27T10:36:12.750562+00:00</t>
  </si>
  <si>
    <t xml:space="preserve">2026-10-27T10:36:12.762566+00:00</t>
  </si>
  <si>
    <t xml:space="preserve">2026-10-27T10:36:12.763341+00:00</t>
  </si>
  <si>
    <t xml:space="preserve">ORD-4032</t>
  </si>
  <si>
    <t xml:space="preserve">CEM-50 x 134 @ 9,500</t>
  </si>
  <si>
    <t xml:space="preserve">Cement, 50 kg bag: 134 is far above this customer's usual 23.</t>
  </si>
  <si>
    <t xml:space="preserve">2026-10-27T10:36:12.770168+00:00</t>
  </si>
  <si>
    <t xml:space="preserve">2026-10-27T10:36:12.791991+00:00</t>
  </si>
  <si>
    <t xml:space="preserve">2026-10-27T10:36:12.792748+00:00</t>
  </si>
  <si>
    <t xml:space="preserve">ORD-4033</t>
  </si>
  <si>
    <t xml:space="preserve">WIRE-25 x 7 @ 52,000; XX-587 x None (not in the catalogue)</t>
  </si>
  <si>
    <t xml:space="preserve">Row 3: XX-587 - not in the catalogue</t>
  </si>
  <si>
    <t xml:space="preserve">2026-10-27T10:36:12.799363+00:00</t>
  </si>
  <si>
    <t xml:space="preserve">2026-10-27T10:36:12.811555+00:00</t>
  </si>
  <si>
    <t xml:space="preserve">2026-10-27T10:36:12.812238+00:00</t>
  </si>
  <si>
    <t xml:space="preserve">ORD-4034</t>
  </si>
  <si>
    <t xml:space="preserve">CEM-50 x 77 @ 9,500; ROD-16 x 27 @ 11,800</t>
  </si>
  <si>
    <t xml:space="preserve">2026-10-27T10:36:12.818521+00:00</t>
  </si>
  <si>
    <t xml:space="preserve">2026-10-27T10:36:12.84829+00:00</t>
  </si>
  <si>
    <t xml:space="preserve">2026-10-27T10:36:12.849015+00:00</t>
  </si>
  <si>
    <t xml:space="preserve">ORD-4035</t>
  </si>
  <si>
    <t xml:space="preserve">This looks like a repeat of ORD-4034. Confirm it is a new order.</t>
  </si>
  <si>
    <t xml:space="preserve">2026-10-27T10:36:12.855917+00:00</t>
  </si>
  <si>
    <t xml:space="preserve">ORD-4036</t>
  </si>
  <si>
    <t xml:space="preserve">2026-10-27T10:36:12.891702+00:00</t>
  </si>
  <si>
    <t xml:space="preserve">ORD-4037</t>
  </si>
  <si>
    <t xml:space="preserve">2026-10-27T10:36:12.927941+00:00</t>
  </si>
  <si>
    <t xml:space="preserve">ORD-4038</t>
  </si>
  <si>
    <t xml:space="preserve">PVC-2 x 526 @ 4,100; PVC-4 x 32 @ 8,600; WIRE-25 x 3 @ 52,000</t>
  </si>
  <si>
    <t xml:space="preserve">PVC pipe, 2 inch, 6 m: quantity must be between 2 and 500. | PVC pipe, 2 inch, 6 m: only 9 left. Reduce the quantity. | PVC pipe, 2 inch, 6 m: 526 is far above this customer's usual 3.</t>
  </si>
  <si>
    <t xml:space="preserve">2026-10-27T10:36:12.964593+00:00</t>
  </si>
  <si>
    <t xml:space="preserve">2026-10-27T10:36:12.993949+00:00</t>
  </si>
  <si>
    <t xml:space="preserve">2026-10-27T10:36:12.994665+00:00</t>
  </si>
  <si>
    <t xml:space="preserve">ORD-4039</t>
  </si>
  <si>
    <t xml:space="preserve">CEM-50 x 771 @ 9,500; NAIL-3 x 2 @ 31,000; TIL-6060 x 9 @ 14,500; WIRE-25 x 6 @ 52,000</t>
  </si>
  <si>
    <t xml:space="preserve">Cement, 50 kg bag: not enough stock for this quantity. Reduce it. | Cement, 50 kg bag: 771 is far above this customer's usual 75.</t>
  </si>
  <si>
    <t xml:space="preserve">2026-10-27T10:36:13.001074+00:00</t>
  </si>
  <si>
    <t xml:space="preserve">2026-10-27T10:36:13.046193+00:00</t>
  </si>
  <si>
    <t xml:space="preserve">2026-10-27T10:36:13.04692+00:00</t>
  </si>
  <si>
    <t xml:space="preserve">ORD-4040</t>
  </si>
  <si>
    <t xml:space="preserve">PVC-2 x 2 @ 4,100; ROOF-AL x 55 @ 12,500; TIL-6060 x 23 @ 14,500</t>
  </si>
  <si>
    <t xml:space="preserve">2026-10-27T10:36:13.053508+00:00</t>
  </si>
  <si>
    <t xml:space="preserve">2026-10-27T10:36:13.081653+00:00</t>
  </si>
  <si>
    <t xml:space="preserve">2026-10-27T10:36:13.08238+00:00</t>
  </si>
  <si>
    <t xml:space="preserve">ORD-4041</t>
  </si>
  <si>
    <t xml:space="preserve">PNT-20W x 20 @ 38,000; ROOF-AL x 32 @ 12,500; TIL-6060 x 27 @ 14,500; CEM-50 x 10.5 (Quantity must be a whole number)</t>
  </si>
  <si>
    <t xml:space="preserve">2026-10-27T10:36:13.089012+00:00</t>
  </si>
  <si>
    <t xml:space="preserve">2026-10-27T10:36:13.115794+00:00</t>
  </si>
  <si>
    <t xml:space="preserve">2026-10-27T10:36:13.116525+00:00</t>
  </si>
  <si>
    <t xml:space="preserve">ORD-4042</t>
  </si>
  <si>
    <t xml:space="preserve">CEM-50 x 180 @ 9,500; PVC-2 x 2 @ 4,100</t>
  </si>
  <si>
    <t xml:space="preserve">2026-10-27T10:36:13.122778+00:00</t>
  </si>
  <si>
    <t xml:space="preserve">2026-10-27T10:36:13.154107+00:00</t>
  </si>
  <si>
    <t xml:space="preserve">2026-10-27T10:36:13.154828+00:00</t>
  </si>
  <si>
    <t xml:space="preserve">ORD-4043</t>
  </si>
  <si>
    <t xml:space="preserve">CEM-50 x 41 @ 9,500; ROD-16 x 10 @ 11,800; TIL-6060 x 10 @ 14,500</t>
  </si>
  <si>
    <t xml:space="preserve">2026-10-27T10:36:13.162161+00:00</t>
  </si>
  <si>
    <t xml:space="preserve">2026-10-27T10:36:13.202466+00:00</t>
  </si>
  <si>
    <t xml:space="preserve">2026-10-27T10:36:13.203224+00:00</t>
  </si>
  <si>
    <t xml:space="preserve">ORD-4044</t>
  </si>
  <si>
    <t xml:space="preserve">PNT-20W x 25 @ 38,000; ROOF-AL x 64 @ 12,500; TIL-6060 x 376 @ 14,500; WIRE-25 x 6 @ 52,000</t>
  </si>
  <si>
    <t xml:space="preserve">2026-10-27T10:36:13.210738+00:00</t>
  </si>
  <si>
    <t xml:space="preserve">2026-10-27T10:36:13.246571+00:00</t>
  </si>
  <si>
    <t xml:space="preserve">2026-10-27T10:36:13.247292+00:00</t>
  </si>
  <si>
    <t xml:space="preserve">ORD-4045</t>
  </si>
  <si>
    <t xml:space="preserve">CEM-50 x 121 @ 9,500; PNT-20W x 15 @ 38,000; ROD-12 x 90 @ 7,200; ROOF-AL x 21 @ 12,500</t>
  </si>
  <si>
    <t xml:space="preserve">2026-10-27T10:36:13.253738+00:00</t>
  </si>
  <si>
    <t xml:space="preserve">2026-10-27T10:36:13.31031+00:00</t>
  </si>
  <si>
    <t xml:space="preserve">2026-10-27T10:36:13.31104+00:00</t>
  </si>
  <si>
    <t xml:space="preserve">ORD-4046</t>
  </si>
  <si>
    <t xml:space="preserve">ROD-16 x 9 @ 11,800; WIRE-25 x 5 @ 52,000</t>
  </si>
  <si>
    <t xml:space="preserve">2026-10-27T10:36:13.31846+00:00</t>
  </si>
  <si>
    <t xml:space="preserve">2026-10-27T10:36:13.341499+00:00</t>
  </si>
  <si>
    <t xml:space="preserve">2026-10-27T10:36:13.342182+00:00</t>
  </si>
  <si>
    <t xml:space="preserve">ORD-4047</t>
  </si>
  <si>
    <t xml:space="preserve">NAIL-3 x 12 @ 31,000; PVC-4 x 32 @ 8,600; ROD-16 x 29 @ 11,800; PVC-2 x 2.5 (Quantity must be a whole number)</t>
  </si>
  <si>
    <t xml:space="preserve">2026-10-27T10:36:13.348828+00:00</t>
  </si>
  <si>
    <t xml:space="preserve">2026-10-27T10:36:13.381056+00:00</t>
  </si>
  <si>
    <t xml:space="preserve">2026-10-27T10:36:13.381786+00:00</t>
  </si>
  <si>
    <t xml:space="preserve">ORD-4048</t>
  </si>
  <si>
    <t xml:space="preserve">PNT-20W x 5 @ 38,000; PVC-2 x 2 @ 4,100; WIRE-25 x 12 @ 52,000</t>
  </si>
  <si>
    <t xml:space="preserve">2026-10-27T10:36:13.388149+00:00</t>
  </si>
  <si>
    <t xml:space="preserve">2026-10-27T10:36:13.418011+00:00</t>
  </si>
  <si>
    <t xml:space="preserve">2026-10-27T10:36:13.418796+00:00</t>
  </si>
  <si>
    <t xml:space="preserve">ORD-4049</t>
  </si>
  <si>
    <t xml:space="preserve">PNT-20C x 3 @ 38,000; ROOF-AL x 12 @ 12,500; WIRE-25 x 13 @ 52,000</t>
  </si>
  <si>
    <t xml:space="preserve">2026-10-27T10:36:13.426651+00:00</t>
  </si>
  <si>
    <t xml:space="preserve">2026-10-27T10:36:13.455303+00:00</t>
  </si>
  <si>
    <t xml:space="preserve">2026-10-27T10:36:13.456017+00:00</t>
  </si>
  <si>
    <t xml:space="preserve">ORD-4050</t>
  </si>
  <si>
    <t xml:space="preserve">NAIL-3 x 4 @ 31,000; PNT-20W x 28 @ 38,000</t>
  </si>
  <si>
    <t xml:space="preserve">2026-10-27T10:36:13.463424+00:00</t>
  </si>
  <si>
    <t xml:space="preserve">2026-10-27T10:36:13.482434+00:00</t>
  </si>
  <si>
    <t xml:space="preserve">2026-10-27T10:36:13.483144+00:00</t>
  </si>
  <si>
    <t xml:space="preserve">ORD-4051</t>
  </si>
  <si>
    <t xml:space="preserve">PNT-20W x 16 @ 38,000; ROOF-AL x 23 @ 12,500; WIRE-25 x 10 @ 52,000</t>
  </si>
  <si>
    <t xml:space="preserve">2026-10-27T10:36:13.489611+00:00</t>
  </si>
  <si>
    <t xml:space="preserve">2026-10-27T10:36:13.518296+00:00</t>
  </si>
  <si>
    <t xml:space="preserve">2026-10-27T10:36:13.519031+00:00</t>
  </si>
  <si>
    <t xml:space="preserve">ORD-4052</t>
  </si>
  <si>
    <t xml:space="preserve">NAIL-3 x 11 @ 31,000; ROD-16 x 65 @ 11,800; WIRE-25 x 10 @ 52,000</t>
  </si>
  <si>
    <t xml:space="preserve">2026-10-27T10:36:13.526458+00:00</t>
  </si>
  <si>
    <t xml:space="preserve">2026-10-27T10:36:13.555896+00:00</t>
  </si>
  <si>
    <t xml:space="preserve">2026-10-27T10:36:13.556631+00:00</t>
  </si>
  <si>
    <t xml:space="preserve">ORD-4053</t>
  </si>
  <si>
    <t xml:space="preserve">NAIL-3 x 4 @ 31,000; ROD-16 x 46 @ 11,800; ROOF-AL x 73 @ 12,500</t>
  </si>
  <si>
    <t xml:space="preserve">2026-10-27T10:36:13.564017+00:00</t>
  </si>
  <si>
    <t xml:space="preserve">2026-10-27T10:36:13.592728+00:00</t>
  </si>
  <si>
    <t xml:space="preserve">2026-10-27T10:36:13.593488+00:00</t>
  </si>
  <si>
    <t xml:space="preserve">ORD-4054</t>
  </si>
  <si>
    <t xml:space="preserve">NAIL-3 x 7 @ 31,000; PVC-2 x 2 @ 4,100; ROD-12 x 80 @ 7,200</t>
  </si>
  <si>
    <t xml:space="preserve">2026-10-27T10:36:13.599974+00:00</t>
  </si>
  <si>
    <t xml:space="preserve">2026-10-27T10:36:13.64063+00:00</t>
  </si>
  <si>
    <t xml:space="preserve">2026-10-27T10:36:13.641374+00:00</t>
  </si>
  <si>
    <t xml:space="preserve">ORD-4055</t>
  </si>
  <si>
    <t xml:space="preserve">NAIL-3 x 10 @ 31,000; ROD-12 x 53 @ 7,200; ROOF-AL x 65 @ 12,500; SAND-T x 1 @ 185,000</t>
  </si>
  <si>
    <t xml:space="preserve">2026-10-27T10:36:13.648887+00:00</t>
  </si>
  <si>
    <t xml:space="preserve">2026-10-27T10:36:13.690616+00:00</t>
  </si>
  <si>
    <t xml:space="preserve">2026-10-27T10:36:13.691435+00:00</t>
  </si>
  <si>
    <t xml:space="preserve">ORD-4056</t>
  </si>
  <si>
    <t xml:space="preserve">PNT-20C x 2 @ 38,000; ROD-12 x 65 @ 7,200; TIL-6060 x 1 @ 14,500; WIRE-25 x 8 @ 52,000</t>
  </si>
  <si>
    <t xml:space="preserve">2026-10-27T10:36:13.698362+00:00</t>
  </si>
  <si>
    <t xml:space="preserve">2026-10-27T10:36:13.749566+00:00</t>
  </si>
  <si>
    <t xml:space="preserve">2026-10-27T10:36:13.750289+00:00</t>
  </si>
  <si>
    <t xml:space="preserve">ORD-4057</t>
  </si>
  <si>
    <t xml:space="preserve">CEM-50 x 113 @ 9,500; PVC-4 x 5 @ 8,600; ROD-16 x 18 @ 11,800</t>
  </si>
  <si>
    <t xml:space="preserve">2026-10-27T10:36:13.756945+00:00</t>
  </si>
  <si>
    <t xml:space="preserve">2026-10-27T10:36:13.799942+00:00</t>
  </si>
  <si>
    <t xml:space="preserve">2026-10-27T10:36:13.800665+00:00</t>
  </si>
  <si>
    <t xml:space="preserve">ORD-4058</t>
  </si>
  <si>
    <t xml:space="preserve">2026-10-27T10:36:13.807477+00:00</t>
  </si>
  <si>
    <t xml:space="preserve">2026-10-27T10:36:13.820404+00:00</t>
  </si>
  <si>
    <t xml:space="preserve">2026-10-27T10:36:13.82113+00:00</t>
  </si>
  <si>
    <t xml:space="preserve">ORD-4059</t>
  </si>
  <si>
    <t xml:space="preserve">ROD-16 x 5 @ 11,800; WIRE-25 x 3 @ 52,000</t>
  </si>
  <si>
    <t xml:space="preserve">2026-10-27T10:36:13.828567+00:00</t>
  </si>
  <si>
    <t xml:space="preserve">2026-10-27T10:36:13.852401+00:00</t>
  </si>
  <si>
    <t xml:space="preserve">2026-10-27T10:36:13.853153+00:00</t>
  </si>
  <si>
    <t xml:space="preserve">ORD-4060</t>
  </si>
  <si>
    <t xml:space="preserve">ROOF-AL x 44 @ 12,500; CEM-50 x 10.5 (Quantity must be a whole number)</t>
  </si>
  <si>
    <t xml:space="preserve">2026-10-27T10:36:13.860574+00:00</t>
  </si>
  <si>
    <t xml:space="preserve">2026-10-27T10:36:13.873951+00:00</t>
  </si>
  <si>
    <t xml:space="preserve">2026-10-27T10:36:13.874729+00:00</t>
  </si>
  <si>
    <t xml:space="preserve">ORD-4061</t>
  </si>
  <si>
    <t xml:space="preserve">CEM-50 x 186 @ 9,500; PVC-4 x 19 @ 8,600; ROD-16 x 14 @ 11,800</t>
  </si>
  <si>
    <t xml:space="preserve">2026-10-27T10:36:13.881802+00:00</t>
  </si>
  <si>
    <t xml:space="preserve">2026-10-27T10:36:13.926035+00:00</t>
  </si>
  <si>
    <t xml:space="preserve">2026-10-27T10:36:13.92683+00:00</t>
  </si>
  <si>
    <t xml:space="preserve">ORD-4062</t>
  </si>
  <si>
    <t xml:space="preserve">PNT-20C x 2 @ 38,000; PNT-20W x 13 @ 38,000; WIRE-25 x 4 @ 52,000; XX-526 x None (not in the catalogue)</t>
  </si>
  <si>
    <t xml:space="preserve">Row 5: XX-526 - not in the catalogue</t>
  </si>
  <si>
    <t xml:space="preserve">2026-10-27T10:36:13.934441+00:00</t>
  </si>
  <si>
    <t xml:space="preserve">2026-10-27T10:36:13.965621+00:00</t>
  </si>
  <si>
    <t xml:space="preserve">2026-10-27T10:36:13.966369+00:00</t>
  </si>
  <si>
    <t xml:space="preserve">ORD-4063</t>
  </si>
  <si>
    <t xml:space="preserve">PVC-4 x 44 @ 8,600; ROOF-AL x 27 @ 12,500</t>
  </si>
  <si>
    <t xml:space="preserve">2026-10-27T10:36:13.972939+00:00</t>
  </si>
  <si>
    <t xml:space="preserve">2026-10-27T10:36:13.996059+00:00</t>
  </si>
  <si>
    <t xml:space="preserve">2026-10-27T10:36:13.996802+00:00</t>
  </si>
  <si>
    <t xml:space="preserve">ORD-4064</t>
  </si>
  <si>
    <t xml:space="preserve">CEM-50 x 10 @ 9,500; TIL-6060 x 38 @ 14,500</t>
  </si>
  <si>
    <t xml:space="preserve">2026-10-27T10:36:14.004599+00:00</t>
  </si>
  <si>
    <t xml:space="preserve">2026-10-27T10:36:14.039585+00:00</t>
  </si>
  <si>
    <t xml:space="preserve">2026-10-27T10:36:14.040402+00:00</t>
  </si>
  <si>
    <t xml:space="preserve">ORD-4065</t>
  </si>
  <si>
    <t xml:space="preserve">PNT-20W x 25 @ 38,000; ROD-12 x 72 @ 7,200</t>
  </si>
  <si>
    <t xml:space="preserve">Iron rod, 12 mm: 72 is far above this customer's usual 13.</t>
  </si>
  <si>
    <t xml:space="preserve">2026-10-27T10:36:14.047516+00:00</t>
  </si>
  <si>
    <t xml:space="preserve">2026-10-27T10:36:14.081272+00:00</t>
  </si>
  <si>
    <t xml:space="preserve">2026-10-27T10:36:14.082035+00:00</t>
  </si>
  <si>
    <t xml:space="preserve">ORD-4066</t>
  </si>
  <si>
    <t xml:space="preserve">2026-10-27T10:36:14.08949+00:00</t>
  </si>
  <si>
    <t xml:space="preserve">2026-10-27T10:36:14.103505+00:00</t>
  </si>
  <si>
    <t xml:space="preserve">2026-10-27T10:36:14.105541+00:00</t>
  </si>
  <si>
    <t xml:space="preserve">ORD-4067</t>
  </si>
  <si>
    <t xml:space="preserve">PVC-4 x 22 @ 8,600; ROD-16 x 43 @ 11,800</t>
  </si>
  <si>
    <t xml:space="preserve">2026-10-27T10:36:14.112688+00:00</t>
  </si>
  <si>
    <t xml:space="preserve">2026-10-27T10:36:14.137872+00:00</t>
  </si>
  <si>
    <t xml:space="preserve">2026-10-27T10:36:14.13868+00:00</t>
  </si>
  <si>
    <t xml:space="preserve">ORD-4068</t>
  </si>
  <si>
    <t xml:space="preserve">ROOF-AL x 66 @ 12,500</t>
  </si>
  <si>
    <t xml:space="preserve">2026-10-27T10:36:14.14724+00:00</t>
  </si>
  <si>
    <t xml:space="preserve">2026-10-27T10:36:14.161444+00:00</t>
  </si>
  <si>
    <t xml:space="preserve">2026-10-27T10:36:14.162175+00:00</t>
  </si>
  <si>
    <t xml:space="preserve">ORD-4069</t>
  </si>
  <si>
    <t xml:space="preserve">NAIL-3 x 7 @ 31,000; PVC-4 x 7 @ 8,600</t>
  </si>
  <si>
    <t xml:space="preserve">2026-10-27T10:36:14.169737+00:00</t>
  </si>
  <si>
    <t xml:space="preserve">2026-10-27T10:36:14.192348+00:00</t>
  </si>
  <si>
    <t xml:space="preserve">2026-10-27T10:36:14.193101+00:00</t>
  </si>
  <si>
    <t xml:space="preserve">ORD-4070</t>
  </si>
  <si>
    <t xml:space="preserve">PVC-2 x 2 @ 4,100; ROD-12 x 23 @ 7,200; TIL-6060 x 80 @ 14,500</t>
  </si>
  <si>
    <t xml:space="preserve">2026-10-27T10:36:14.200778+00:00</t>
  </si>
  <si>
    <t xml:space="preserve">2026-10-27T10:36:14.246582+00:00</t>
  </si>
  <si>
    <t xml:space="preserve">2026-10-27T10:36:14.247374+00:00</t>
  </si>
  <si>
    <t xml:space="preserve">ORD-4071</t>
  </si>
  <si>
    <t xml:space="preserve">CEM-50 x 176 @ 9,500; NAIL-3 x 2 @ 31,000; ROD-16 x 5.5 (Quantity must be a whole number)</t>
  </si>
  <si>
    <t xml:space="preserve">2026-10-27T10:36:14.255088+00:00</t>
  </si>
  <si>
    <t xml:space="preserve">2026-10-27T10:36:14.289106+00:00</t>
  </si>
  <si>
    <t xml:space="preserve">2026-10-27T10:36:14.289847+00:00</t>
  </si>
  <si>
    <t xml:space="preserve">ORD-4072</t>
  </si>
  <si>
    <t xml:space="preserve">CEM-50 x 98 @ 9,500</t>
  </si>
  <si>
    <t xml:space="preserve">Cement, 50 kg bag: 98 is far above this customer's usual 23.</t>
  </si>
  <si>
    <t xml:space="preserve">2026-10-27T10:36:14.29653+00:00</t>
  </si>
  <si>
    <t xml:space="preserve">2026-10-27T10:36:14.322142+00:00</t>
  </si>
  <si>
    <t xml:space="preserve">2026-10-27T10:36:14.322899+00:00</t>
  </si>
  <si>
    <t xml:space="preserve">ORD-4073</t>
  </si>
  <si>
    <t xml:space="preserve">NAIL-3 x 5 @ 31,000; PNT-20W x 19 @ 38,000; ROOF-AL x 29 @ 12,500</t>
  </si>
  <si>
    <t xml:space="preserve">2026-10-27T10:36:14.330628+00:00</t>
  </si>
  <si>
    <t xml:space="preserve">2026-10-27T10:36:14.361444+00:00</t>
  </si>
  <si>
    <t xml:space="preserve">2026-10-27T10:36:14.362223+00:00</t>
  </si>
  <si>
    <t xml:space="preserve">ORD-4074</t>
  </si>
  <si>
    <t xml:space="preserve">TIL-6060 x 30 @ 14,500</t>
  </si>
  <si>
    <t xml:space="preserve">2026-10-27T10:36:14.369334+00:00</t>
  </si>
  <si>
    <t xml:space="preserve">2026-10-27T10:36:14.384553+00:00</t>
  </si>
  <si>
    <t xml:space="preserve">2026-10-27T10:36:14.385315+00:00</t>
  </si>
  <si>
    <t xml:space="preserve">ORD-4075</t>
  </si>
  <si>
    <t xml:space="preserve">CEM-50 x 139 @ 9,500; PVC-4 x 27 @ 8,600; ROD-12 x 99 @ 7,200</t>
  </si>
  <si>
    <t xml:space="preserve">Iron rod, 12 mm: 99 is far above this customer's usual 31. | Cement, 50 kg bag: 139 is far above this customer's usual 43.</t>
  </si>
  <si>
    <t xml:space="preserve">2026-10-27T10:36:14.392737+00:00</t>
  </si>
  <si>
    <t xml:space="preserve">2026-10-27T10:36:14.450757+00:00</t>
  </si>
  <si>
    <t xml:space="preserve">2026-10-27T10:36:14.451522+00:00</t>
  </si>
  <si>
    <t xml:space="preserve">ORD-4076</t>
  </si>
  <si>
    <t xml:space="preserve">CEM-50 x 164 @ 9,500; PVC-2 x 2 @ 4,100; WIRE-25 x 4 @ 52,000</t>
  </si>
  <si>
    <t xml:space="preserve">2026-10-27T10:36:14.459386+00:00</t>
  </si>
  <si>
    <t xml:space="preserve">2026-10-27T10:36:14.506127+00:00</t>
  </si>
  <si>
    <t xml:space="preserve">2026-10-27T10:36:14.506965+00:00</t>
  </si>
  <si>
    <t xml:space="preserve">ORD-4077</t>
  </si>
  <si>
    <t xml:space="preserve">PNT-20C x 2 @ 38,000; PVC-4 x 11 @ 8,600</t>
  </si>
  <si>
    <t xml:space="preserve">2026-10-27T10:36:14.51494+00:00</t>
  </si>
  <si>
    <t xml:space="preserve">2026-10-27T10:36:14.539301+00:00</t>
  </si>
  <si>
    <t xml:space="preserve">2026-10-27T10:36:14.540046+00:00</t>
  </si>
  <si>
    <t xml:space="preserve">ORD-4078</t>
  </si>
  <si>
    <t xml:space="preserve">ROD-12 x 44 @ 7,200; ROD-16 x 17 @ 11,800</t>
  </si>
  <si>
    <t xml:space="preserve">Iron rod, 12 mm: price changed from 7200.00 to 7600.00. Save the order again to update it. | Iron rod, 12 mm: 44 is far above this customer's usual 13.</t>
  </si>
  <si>
    <t xml:space="preserve">2026-10-27T10:36:14.547632+00:00</t>
  </si>
  <si>
    <t xml:space="preserve">2026-10-27T10:36:14.585987+00:00</t>
  </si>
  <si>
    <t xml:space="preserve">2026-10-27T10:36:14.586755+00:00</t>
  </si>
  <si>
    <t xml:space="preserve">ORD-4079</t>
  </si>
  <si>
    <t xml:space="preserve">PNT-20W x 27 @ 38,000; PVC-4 x 1 @ 8,600; ROD-16 x 46 @ 11,800; ROOF-AL x 19 @ 12,500</t>
  </si>
  <si>
    <t xml:space="preserve">2026-10-27T10:36:14.594372+00:00</t>
  </si>
  <si>
    <t xml:space="preserve">2026-10-27T10:36:14.641012+00:00</t>
  </si>
  <si>
    <t xml:space="preserve">2026-10-27T10:36:14.641765+00:00</t>
  </si>
  <si>
    <t xml:space="preserve">ORD-4080</t>
  </si>
  <si>
    <t xml:space="preserve">TIL-6060 x 6 @ 14,500; WIRE-25 x 7 @ 52,000</t>
  </si>
  <si>
    <t xml:space="preserve">2026-10-27T10:36:14.648911+00:00</t>
  </si>
  <si>
    <t xml:space="preserve">2026-10-27T10:36:14.674603+00:00</t>
  </si>
  <si>
    <t xml:space="preserve">2026-10-27T10:36:14.675415+00:00</t>
  </si>
  <si>
    <t xml:space="preserve">ORD-4081</t>
  </si>
  <si>
    <t xml:space="preserve">CEM-50 x 14 @ 9,500; NAIL-3 x 2 @ 31,000; ROD-12 x 55 @ 7,200</t>
  </si>
  <si>
    <t xml:space="preserve">2026-10-27T10:36:14.683124+00:00</t>
  </si>
  <si>
    <t xml:space="preserve">2026-10-27T10:36:14.741133+00:00</t>
  </si>
  <si>
    <t xml:space="preserve">2026-10-27T10:36:14.741917+00:00</t>
  </si>
  <si>
    <t xml:space="preserve">ORD-4082</t>
  </si>
  <si>
    <t xml:space="preserve">PVC-4 x 19 @ 8,600; ROD-12 x 44 @ 7,200</t>
  </si>
  <si>
    <t xml:space="preserve">2026-10-27T10:36:14.749931+00:00</t>
  </si>
  <si>
    <t xml:space="preserve">2026-10-27T10:36:14.788596+00:00</t>
  </si>
  <si>
    <t xml:space="preserve">2026-10-27T10:36:14.789373+00:00</t>
  </si>
  <si>
    <t xml:space="preserve">ORD-4083</t>
  </si>
  <si>
    <t xml:space="preserve">PNT-20C x 9 @ 38,000; PVC-2 x 2 @ 4,100</t>
  </si>
  <si>
    <t xml:space="preserve">2026-10-27T10:36:14.796518+00:00</t>
  </si>
  <si>
    <t xml:space="preserve">2026-10-27T10:36:14.820981+00:00</t>
  </si>
  <si>
    <t xml:space="preserve">2026-10-27T10:36:14.821733+00:00</t>
  </si>
  <si>
    <t xml:space="preserve">ORD-4084</t>
  </si>
  <si>
    <t xml:space="preserve">This looks like a repeat of ORD-4083. Confirm it is a new order.</t>
  </si>
  <si>
    <t xml:space="preserve">2026-10-27T10:36:14.829343+00:00</t>
  </si>
  <si>
    <t xml:space="preserve">ORD-4085</t>
  </si>
  <si>
    <t xml:space="preserve">2026-10-27T10:36:14.860636+00:00</t>
  </si>
  <si>
    <t xml:space="preserve">2026-10-27T10:36:14.875355+00:00</t>
  </si>
  <si>
    <t xml:space="preserve">2026-10-27T10:36:14.876138+00:00</t>
  </si>
  <si>
    <t xml:space="preserve">ORD-4086</t>
  </si>
  <si>
    <t xml:space="preserve">PNT-20W x 1 @ 38,000</t>
  </si>
  <si>
    <t xml:space="preserve">2026-10-27T10:36:14.883529+00:00</t>
  </si>
  <si>
    <t xml:space="preserve">2026-10-27T10:36:14.898516+00:00</t>
  </si>
  <si>
    <t xml:space="preserve">2026-10-27T10:36:14.899275+00:00</t>
  </si>
  <si>
    <t xml:space="preserve">ORD-4087</t>
  </si>
  <si>
    <t xml:space="preserve">NAIL-3 x 13 @ 31,000; PNT-20C x 4 @ 38,000; PVC-4 x 55 @ 8,600; ROD-12 x 90 @ 7,200</t>
  </si>
  <si>
    <t xml:space="preserve">2026-10-27T10:36:14.906402+00:00</t>
  </si>
  <si>
    <t xml:space="preserve">2026-10-27T10:36:14.963854+00:00</t>
  </si>
  <si>
    <t xml:space="preserve">2026-10-27T10:36:14.964643+00:00</t>
  </si>
  <si>
    <t xml:space="preserve">ORD-4088</t>
  </si>
  <si>
    <t xml:space="preserve">PNT-20W x 3 @ 38,000; ROD-16 x 58 @ 11,800</t>
  </si>
  <si>
    <t xml:space="preserve">2026-10-27T10:36:14.972836+00:00</t>
  </si>
  <si>
    <t xml:space="preserve">2026-10-27T10:36:14.998844+00:00</t>
  </si>
  <si>
    <t xml:space="preserve">2026-10-27T10:36:14.999653+00:00</t>
  </si>
  <si>
    <t xml:space="preserve">ORD-4089</t>
  </si>
  <si>
    <t xml:space="preserve">PNT-20C x 7 @ 38,000; PVC-4 x 41 @ 8,600</t>
  </si>
  <si>
    <t xml:space="preserve">2026-10-27T10:36:15.006991+00:00</t>
  </si>
  <si>
    <t xml:space="preserve">2026-10-27T10:36:15.033505+00:00</t>
  </si>
  <si>
    <t xml:space="preserve">2026-10-27T10:36:15.034281+00:00</t>
  </si>
  <si>
    <t xml:space="preserve">ORD-4090</t>
  </si>
  <si>
    <t xml:space="preserve">CEM-50 x 39 @ 9,500; PNT-20C x 7 @ 38,000; PVC-2 x 2 @ 4,100; TIL-6060 x 376 @ 14,500</t>
  </si>
  <si>
    <t xml:space="preserve">2026-10-27T10:36:15.042131+00:00</t>
  </si>
  <si>
    <t xml:space="preserve">2026-10-27T10:36:15.101536+00:00</t>
  </si>
  <si>
    <t xml:space="preserve">2026-10-27T10:36:15.102308+00:00</t>
  </si>
  <si>
    <t xml:space="preserve">ORD-4091</t>
  </si>
  <si>
    <t xml:space="preserve">NAIL-3 x 11 @ 31,000; ROD-16 x 28 @ 11,800; ROOF-AL x 311 @ 12,500</t>
  </si>
  <si>
    <t xml:space="preserve">2026-10-27T10:36:15.109844+00:00</t>
  </si>
  <si>
    <t xml:space="preserve">2026-10-27T10:36:15.145787+00:00</t>
  </si>
  <si>
    <t xml:space="preserve">2026-10-27T10:36:15.146552+00:00</t>
  </si>
  <si>
    <t xml:space="preserve">ORD-4092</t>
  </si>
  <si>
    <t xml:space="preserve">2026-10-27T10:36:15.153935+00:00</t>
  </si>
  <si>
    <t xml:space="preserve">2026-10-27T10:36:15.170647+00:00</t>
  </si>
  <si>
    <t xml:space="preserve">2026-10-27T10:36:15.171424+00:00</t>
  </si>
  <si>
    <t xml:space="preserve">ORD-4093</t>
  </si>
  <si>
    <t xml:space="preserve">PNT-20C x 5 @ 38,000; ROOF-AL x 73 @ 12,500; TIL-6060 x 22 @ 14,500</t>
  </si>
  <si>
    <t xml:space="preserve">2026-10-27T10:36:15.179347+00:00</t>
  </si>
  <si>
    <t xml:space="preserve">2026-10-27T10:36:15.215972+00:00</t>
  </si>
  <si>
    <t xml:space="preserve">2026-10-27T10:36:15.216801+00:00</t>
  </si>
  <si>
    <t xml:space="preserve">ORD-4094</t>
  </si>
  <si>
    <t xml:space="preserve">PNT-20W x 27 @ 38,000; ROD-16 x 39 @ 11,800</t>
  </si>
  <si>
    <t xml:space="preserve">2026-10-27T10:36:15.224979+00:00</t>
  </si>
  <si>
    <t xml:space="preserve">2026-10-27T10:36:15.252218+00:00</t>
  </si>
  <si>
    <t xml:space="preserve">2026-10-27T10:36:15.253076+00:00</t>
  </si>
  <si>
    <t xml:space="preserve">ORD-4095</t>
  </si>
  <si>
    <t xml:space="preserve">CEM-50 x 157 @ 9,500; PNT-20W x 11 @ 38,000</t>
  </si>
  <si>
    <t xml:space="preserve">2026-10-27T10:36:15.261235+00:00</t>
  </si>
  <si>
    <t xml:space="preserve">2026-10-27T10:36:15.299471+00:00</t>
  </si>
  <si>
    <t xml:space="preserve">2026-10-27T10:36:15.300257+00:00</t>
  </si>
  <si>
    <t xml:space="preserve">ORD-4096</t>
  </si>
  <si>
    <t xml:space="preserve">PNT-20C x 8 @ 38,000; XX-308 x None (not in the catalogue)</t>
  </si>
  <si>
    <t xml:space="preserve">Row 3: XX-308 - not in the catalogue</t>
  </si>
  <si>
    <t xml:space="preserve">2026-10-27T10:36:15.308256+00:00</t>
  </si>
  <si>
    <t xml:space="preserve">2026-10-27T10:36:15.323635+00:00</t>
  </si>
  <si>
    <t xml:space="preserve">2026-10-27T10:36:15.324408+00:00</t>
  </si>
  <si>
    <t xml:space="preserve">ORD-4097</t>
  </si>
  <si>
    <t xml:space="preserve">PVC-2 x 2 @ 4,100; PVC-4 x 25 @ 8,600</t>
  </si>
  <si>
    <t xml:space="preserve">2026-10-27T10:36:15.33192+00:00</t>
  </si>
  <si>
    <t xml:space="preserve">2026-10-27T10:36:15.360631+00:00</t>
  </si>
  <si>
    <t xml:space="preserve">2026-10-27T10:36:15.361432+00:00</t>
  </si>
  <si>
    <t xml:space="preserve">ORD-4098</t>
  </si>
  <si>
    <t xml:space="preserve">ROD-16 x 9 @ 11,800</t>
  </si>
  <si>
    <t xml:space="preserve">2026-10-27T10:36:15.369644+00:00</t>
  </si>
  <si>
    <t xml:space="preserve">2026-10-27T10:36:15.387191+00:00</t>
  </si>
  <si>
    <t xml:space="preserve">2026-10-27T10:36:15.387996+00:00</t>
  </si>
  <si>
    <t xml:space="preserve">ORD-4099</t>
  </si>
  <si>
    <t xml:space="preserve">2026-10-27T10:36:15.396074+00:00</t>
  </si>
  <si>
    <t xml:space="preserve">2026-10-27T10:36:15.410619+00:00</t>
  </si>
  <si>
    <t xml:space="preserve">2026-10-27T10:36:15.411399+00:00</t>
  </si>
  <si>
    <t xml:space="preserve">ORD-4100</t>
  </si>
  <si>
    <t xml:space="preserve">PNT-20C x 9 @ 38,000; ROD-12 x 70 @ 7,200; WIRE-25 x 3 @ 52,000</t>
  </si>
  <si>
    <t xml:space="preserve">2026-10-27T10:36:15.419958+00:00</t>
  </si>
  <si>
    <t xml:space="preserve">2026-10-27T10:36:15.470786+00:00</t>
  </si>
  <si>
    <t xml:space="preserve">2026-10-27T10:36:15.471566+00:00</t>
  </si>
  <si>
    <t xml:space="preserve">ORD-4101</t>
  </si>
  <si>
    <t xml:space="preserve">2026-10-27T10:36:15.479114+00:00</t>
  </si>
  <si>
    <t xml:space="preserve">2026-10-27T10:36:15.494786+00:00</t>
  </si>
  <si>
    <t xml:space="preserve">2026-10-27T10:36:15.495623+00:00</t>
  </si>
  <si>
    <t xml:space="preserve">ORD-4102</t>
  </si>
  <si>
    <t xml:space="preserve">ROD-12 x 76 @ 7,200; WIRE-25 x 9 @ 52,000</t>
  </si>
  <si>
    <t xml:space="preserve">Choose a delivery address. | Iron rod, 12 mm: 76 is far above this customer's usual 24.</t>
  </si>
  <si>
    <t xml:space="preserve">2026-10-27T10:36:15.503699+00:00</t>
  </si>
  <si>
    <t xml:space="preserve">2026-10-27T10:36:15.544557+00:00</t>
  </si>
  <si>
    <t xml:space="preserve">2026-10-27T10:36:15.545338+00:00</t>
  </si>
  <si>
    <t xml:space="preserve">ORD-4103</t>
  </si>
  <si>
    <t xml:space="preserve">NAIL-3 x 3 @ 31,000; PVC-4 x 60 @ 8,600; TIL-6060 x 42 @ 14,500</t>
  </si>
  <si>
    <t xml:space="preserve">2026-10-27T10:36:15.552975+00:00</t>
  </si>
  <si>
    <t xml:space="preserve">2026-10-27T10:36:15.592097+00:00</t>
  </si>
  <si>
    <t xml:space="preserve">2026-10-27T10:36:15.592913+00:00</t>
  </si>
  <si>
    <t xml:space="preserve">ORD-4104</t>
  </si>
  <si>
    <t xml:space="preserve">PNT-20W x 28 @ 38,000</t>
  </si>
  <si>
    <t xml:space="preserve">2026-10-27T10:36:15.600486+00:00</t>
  </si>
  <si>
    <t xml:space="preserve">2026-10-27T10:36:15.616215+00:00</t>
  </si>
  <si>
    <t xml:space="preserve">2026-10-27T10:36:15.617002+00:00</t>
  </si>
  <si>
    <t xml:space="preserve">ORD-4105</t>
  </si>
  <si>
    <t xml:space="preserve">PNT-20C x 2 @ 38,000; TIL-6060 x 3 @ 14,500</t>
  </si>
  <si>
    <t xml:space="preserve">2026-10-27T10:36:15.624337+00:00</t>
  </si>
  <si>
    <t xml:space="preserve">2026-10-27T10:36:15.652652+00:00</t>
  </si>
  <si>
    <t xml:space="preserve">2026-10-27T10:36:15.653493+00:00</t>
  </si>
  <si>
    <t xml:space="preserve">ORD-4106</t>
  </si>
  <si>
    <t xml:space="preserve">This looks like a repeat of ORD-4105. Confirm it is a new order.</t>
  </si>
  <si>
    <t xml:space="preserve">2026-10-27T10:36:15.66201+00:00</t>
  </si>
  <si>
    <t xml:space="preserve">ORD-4107</t>
  </si>
  <si>
    <t xml:space="preserve">PNT-20W x 5 @ 38,000; ROOF-AL x 39 @ 12,500</t>
  </si>
  <si>
    <t xml:space="preserve">2026-10-27T10:36:15.697454+00:00</t>
  </si>
  <si>
    <t xml:space="preserve">2026-10-27T10:36:15.724007+00:00</t>
  </si>
  <si>
    <t xml:space="preserve">2026-10-27T10:36:15.724822+00:00</t>
  </si>
  <si>
    <t xml:space="preserve">ORD-4108</t>
  </si>
  <si>
    <t xml:space="preserve">2026-10-27T10:36:15.733+00:00</t>
  </si>
  <si>
    <t xml:space="preserve">2026-10-27T10:36:15.750086+00:00</t>
  </si>
  <si>
    <t xml:space="preserve">2026-10-27T10:36:15.750987+00:00</t>
  </si>
  <si>
    <t xml:space="preserve">ORD-4109</t>
  </si>
  <si>
    <t xml:space="preserve">PNT-20W x 16 @ 38,000; ROD-16 x 1013 @ 11,800; TIL-6060 x 5 @ 14,500</t>
  </si>
  <si>
    <t xml:space="preserve">2026-10-27T10:36:15.75979+00:00</t>
  </si>
  <si>
    <t xml:space="preserve">2026-10-27T10:36:15.802065+00:00</t>
  </si>
  <si>
    <t xml:space="preserve">2026-10-27T10:36:15.802898+00:00</t>
  </si>
  <si>
    <t xml:space="preserve">ORD-4110</t>
  </si>
  <si>
    <t xml:space="preserve">CEM-50 x 61 @ 9,500; PNT-20W x 28 @ 38,000; ROD-16 x 22 @ 11,800</t>
  </si>
  <si>
    <t xml:space="preserve">2026-10-27T10:36:15.810783+00:00</t>
  </si>
  <si>
    <t xml:space="preserve">2026-10-27T10:36:15.864109+00:00</t>
  </si>
  <si>
    <t xml:space="preserve">2026-10-27T10:36:15.864938+00:00</t>
  </si>
  <si>
    <t xml:space="preserve">ORD-4111</t>
  </si>
  <si>
    <t xml:space="preserve">2026-10-27T10:36:15.873439+00:00</t>
  </si>
  <si>
    <t xml:space="preserve">2026-10-27T10:36:15.891285+00:00</t>
  </si>
  <si>
    <t xml:space="preserve">2026-10-27T10:36:15.89207+00:00</t>
  </si>
  <si>
    <t xml:space="preserve">ORD-4112</t>
  </si>
  <si>
    <t xml:space="preserve">2026-10-27T10:36:15.900804+00:00</t>
  </si>
  <si>
    <t xml:space="preserve">2026-10-27T10:36:15.920461+00:00</t>
  </si>
  <si>
    <t xml:space="preserve">2026-10-27T10:36:15.921241+00:00</t>
  </si>
  <si>
    <t xml:space="preserve">ORD-4113</t>
  </si>
  <si>
    <t xml:space="preserve">ROD-16 x 41 @ 11,800</t>
  </si>
  <si>
    <t xml:space="preserve">2026-10-27T10:36:15.929028+00:00</t>
  </si>
  <si>
    <t xml:space="preserve">2026-10-27T10:36:15.947603+00:00</t>
  </si>
  <si>
    <t xml:space="preserve">2026-10-27T10:36:15.948403+00:00</t>
  </si>
  <si>
    <t xml:space="preserve">ORD-4114</t>
  </si>
  <si>
    <t xml:space="preserve">NAIL-3 x 5 @ 31,000</t>
  </si>
  <si>
    <t xml:space="preserve">2026-10-27T10:36:15.956655+00:00</t>
  </si>
  <si>
    <t xml:space="preserve">2026-10-27T10:36:15.972141+00:00</t>
  </si>
  <si>
    <t xml:space="preserve">2026-10-27T10:36:15.972934+00:00</t>
  </si>
  <si>
    <t xml:space="preserve">ORD-4115</t>
  </si>
  <si>
    <t xml:space="preserve">PNT-20C x 10 @ 38,000; TIL-6060 x 9 @ 14,500</t>
  </si>
  <si>
    <t xml:space="preserve">2026-10-27T10:36:15.981731+00:00</t>
  </si>
  <si>
    <t xml:space="preserve">2026-10-27T10:36:16.011946+00:00</t>
  </si>
  <si>
    <t xml:space="preserve">2026-10-27T10:36:16.017588+00:00</t>
  </si>
  <si>
    <t xml:space="preserve">ORD-4116</t>
  </si>
  <si>
    <t xml:space="preserve">This looks like a repeat of ORD-4115. Confirm it is a new order.</t>
  </si>
  <si>
    <t xml:space="preserve">2026-10-27T10:36:16.026495+00:00</t>
  </si>
  <si>
    <t xml:space="preserve">ORD-4117</t>
  </si>
  <si>
    <t xml:space="preserve">NAIL-3 x 7 @ 31,000; PVC-4 x 2 @ 8,600; ROOF-AL x 1018 @ 12,500; WIRE-25 x 12 @ 52,000</t>
  </si>
  <si>
    <t xml:space="preserve">2026-10-27T10:36:16.063966+00:00</t>
  </si>
  <si>
    <t xml:space="preserve">2026-10-27T10:36:16.115938+00:00</t>
  </si>
  <si>
    <t xml:space="preserve">2026-10-27T10:36:16.116726+00:00</t>
  </si>
  <si>
    <t xml:space="preserve">ORD-4118</t>
  </si>
  <si>
    <t xml:space="preserve">ROD-16 x 73 @ 11,800; TIL-6060 x 20 @ 14,500</t>
  </si>
  <si>
    <t xml:space="preserve">2026-10-27T10:36:16.124652+00:00</t>
  </si>
  <si>
    <t xml:space="preserve">2026-10-27T10:36:16.15669+00:00</t>
  </si>
  <si>
    <t xml:space="preserve">2026-10-27T10:36:16.157511+00:00</t>
  </si>
  <si>
    <t xml:space="preserve">ORD-4119</t>
  </si>
  <si>
    <t xml:space="preserve">NAIL-3 x 11 @ 31,000; ROOF-AL x 10.5 (Quantity must be a whole number)</t>
  </si>
  <si>
    <t xml:space="preserve">2026-10-27T10:36:16.16352+00:00</t>
  </si>
  <si>
    <t xml:space="preserve">2026-10-27T10:36:16.179836+00:00</t>
  </si>
  <si>
    <t xml:space="preserve">2026-10-27T10:36:16.180629+00:00</t>
  </si>
  <si>
    <t xml:space="preserve">ORD-4120</t>
  </si>
  <si>
    <t xml:space="preserve">ROD-16 x 21 @ 11,800</t>
  </si>
  <si>
    <t xml:space="preserve">2026-10-27T10:36:16.188357+00:00</t>
  </si>
  <si>
    <t xml:space="preserve">2026-10-27T10:36:16.207338+00:00</t>
  </si>
  <si>
    <t xml:space="preserve">2026-10-27T10:36:16.208172+00:00</t>
  </si>
  <si>
    <t xml:space="preserve">ORD-4121</t>
  </si>
  <si>
    <t xml:space="preserve">CEM-50 x 178 @ 9,500; PVC-2 x 2 @ 4,100; PVC-4 x 5 @ 8,600; ROD-16 x 5.5 (Quantity must be a whole number)</t>
  </si>
  <si>
    <t xml:space="preserve">ROD-16 - Quantity must be a whole number | Cement, 50 kg bag: 178 is far above this customer's usual 23.</t>
  </si>
  <si>
    <t xml:space="preserve">2026-10-27T10:36:16.217322+00:00</t>
  </si>
  <si>
    <t xml:space="preserve">2026-10-27T10:36:16.273242+00:00</t>
  </si>
  <si>
    <t xml:space="preserve">2026-10-27T10:36:16.274014+00:00</t>
  </si>
  <si>
    <t xml:space="preserve">ORD-4122</t>
  </si>
  <si>
    <t xml:space="preserve">PNT-20C x 10 @ 38,000; PVC-4 x 23 @ 8,600</t>
  </si>
  <si>
    <t xml:space="preserve">2026-10-27T10:36:16.283395+00:00</t>
  </si>
  <si>
    <t xml:space="preserve">2026-10-27T10:36:16.314699+00:00</t>
  </si>
  <si>
    <t xml:space="preserve">2026-10-27T10:36:16.315586+00:00</t>
  </si>
  <si>
    <t xml:space="preserve">ORD-4123</t>
  </si>
  <si>
    <t xml:space="preserve">CEM-50 x 150 @ 9,500; ROD-16 x 72 @ 11,800; ROOF-AL x 69 @ 12,500; WIRE-25 x 15 @ 52,000</t>
  </si>
  <si>
    <t xml:space="preserve">2026-10-27T10:36:16.324141+00:00</t>
  </si>
  <si>
    <t xml:space="preserve">2026-10-27T10:36:16.391959+00:00</t>
  </si>
  <si>
    <t xml:space="preserve">2026-10-27T10:36:16.392786+00:00</t>
  </si>
  <si>
    <t xml:space="preserve">ORD-4124</t>
  </si>
  <si>
    <t xml:space="preserve">PNT-20C x 8 @ 38,000; PNT-20W x 17 @ 38,000; ROD-12 x 111 @ 7,200</t>
  </si>
  <si>
    <t xml:space="preserve">Iron rod, 12 mm: 111 is far above this customer's usual 29.</t>
  </si>
  <si>
    <t xml:space="preserve">2026-10-27T10:36:16.401812+00:00</t>
  </si>
  <si>
    <t xml:space="preserve">2026-10-27T10:36:16.457801+00:00</t>
  </si>
  <si>
    <t xml:space="preserve">2026-10-27T10:36:16.458631+00:00</t>
  </si>
  <si>
    <t xml:space="preserve">ORD-4125</t>
  </si>
  <si>
    <t xml:space="preserve">This looks like a repeat of ORD-4124. Confirm it is a new order.</t>
  </si>
  <si>
    <t xml:space="preserve">2026-10-27T10:36:16.46777+00:00</t>
  </si>
  <si>
    <t xml:space="preserve">ORD-4126</t>
  </si>
  <si>
    <t xml:space="preserve">WIRE-25 x 14 @ 52,000</t>
  </si>
  <si>
    <t xml:space="preserve">2026-10-27T10:36:16.531705+00:00</t>
  </si>
  <si>
    <t xml:space="preserve">2026-10-27T10:36:16.550069+00:00</t>
  </si>
  <si>
    <t xml:space="preserve">2026-10-27T10:36:16.550857+00:00</t>
  </si>
  <si>
    <t xml:space="preserve">ORD-4127</t>
  </si>
  <si>
    <t xml:space="preserve">CEM-50 x 17 @ 9,500; ROOF-AL x 33 @ 12,500; SAND-T x 1 @ 185,000; WIRE-25 x 16 @ 52,000</t>
  </si>
  <si>
    <t xml:space="preserve">2026-10-27T10:36:16.559324+00:00</t>
  </si>
  <si>
    <t xml:space="preserve">2026-10-27T10:36:16.617356+00:00</t>
  </si>
  <si>
    <t xml:space="preserve">2026-10-27T10:36:16.618141+00:00</t>
  </si>
  <si>
    <t xml:space="preserve">ORD-4128</t>
  </si>
  <si>
    <t xml:space="preserve">NAIL-3 x 2 @ 31,000; WIRE-25 x 9 @ 52,000</t>
  </si>
  <si>
    <t xml:space="preserve">2026-10-27T10:36:16.626384+00:00</t>
  </si>
  <si>
    <t xml:space="preserve">2026-10-27T10:36:16.656431+00:00</t>
  </si>
  <si>
    <t xml:space="preserve">2026-10-27T10:36:16.657249+00:00</t>
  </si>
  <si>
    <t xml:space="preserve">ORD-4129</t>
  </si>
  <si>
    <t xml:space="preserve">PVC-4 x 37 @ 8,600; ROD-12 x 43 @ 7,200; WIRE-25 x 12 @ 52,000</t>
  </si>
  <si>
    <t xml:space="preserve">Iron rod, 12 mm: price changed from 7200.00 to 7600.00. Save the order again to update it.</t>
  </si>
  <si>
    <t xml:space="preserve">2026-10-27T10:36:16.665519+00:00</t>
  </si>
  <si>
    <t xml:space="preserve">2026-10-27T10:36:16.72431+00:00</t>
  </si>
  <si>
    <t xml:space="preserve">2026-10-27T10:36:16.725214+00:00</t>
  </si>
  <si>
    <t xml:space="preserve">ORD-4130</t>
  </si>
  <si>
    <t xml:space="preserve">CEM-50 x 70 @ 9,500; PVC-2 x 10 @ 4,100</t>
  </si>
  <si>
    <t xml:space="preserve">PVC pipe, 2 inch, 6 m: only 9 left. Reduce the quantity. | PVC pipe, 2 inch, 6 m: 10 is far above this customer's usual 2.</t>
  </si>
  <si>
    <t xml:space="preserve">2026-10-27T10:36:16.73341+00:00</t>
  </si>
  <si>
    <t xml:space="preserve">2026-10-27T10:36:16.779044+00:00</t>
  </si>
  <si>
    <t xml:space="preserve">2026-10-27T10:36:16.779933+00:00</t>
  </si>
  <si>
    <t xml:space="preserve">ORD-4131</t>
  </si>
  <si>
    <t xml:space="preserve">PNT-20C x 4 @ 38,000; XX-155 x None (not in the catalogue)</t>
  </si>
  <si>
    <t xml:space="preserve">Row 3: XX-155 - not in the catalogue</t>
  </si>
  <si>
    <t xml:space="preserve">2026-10-27T10:36:16.788306+00:00</t>
  </si>
  <si>
    <t xml:space="preserve">2026-10-27T10:36:16.807179+00:00</t>
  </si>
  <si>
    <t xml:space="preserve">2026-10-27T10:36:16.80803+00:00</t>
  </si>
  <si>
    <t xml:space="preserve">ORD-4132</t>
  </si>
  <si>
    <t xml:space="preserve">NAIL-3 x 10 @ 31,000; CEM-50 x 10.5 (Quantity must be a whole number)</t>
  </si>
  <si>
    <t xml:space="preserve">CEM-50 - Quantity must be a whole number | Nails, 3 inch, 25 kg: 10 is far above this customer's usual 3.</t>
  </si>
  <si>
    <t xml:space="preserve">2026-10-27T10:36:16.81644+00:00</t>
  </si>
  <si>
    <t xml:space="preserve">2026-10-27T10:36:16.833956+00:00</t>
  </si>
  <si>
    <t xml:space="preserve">2026-10-27T10:36:16.834762+00:00</t>
  </si>
  <si>
    <t xml:space="preserve">ORD-4133</t>
  </si>
  <si>
    <t xml:space="preserve">CEM-50 x 119 @ 9,500; NAIL-3 x 1 @ 31,000; SAND-T x 1 @ 185,000</t>
  </si>
  <si>
    <t xml:space="preserve">2026-10-27T10:36:16.843641+00:00</t>
  </si>
  <si>
    <t xml:space="preserve">2026-10-27T10:36:16.889477+00:00</t>
  </si>
  <si>
    <t xml:space="preserve">2026-10-27T10:36:16.890345+00:00</t>
  </si>
  <si>
    <t xml:space="preserve">ORD-4134</t>
  </si>
  <si>
    <t xml:space="preserve">CEM-50 x 210 @ 9,500; PVC-4 x 40 @ 8,600</t>
  </si>
  <si>
    <t xml:space="preserve">Cement, 50 kg bag: 210 is far above this customer's usual 23.</t>
  </si>
  <si>
    <t xml:space="preserve">2026-10-27T10:36:16.898737+00:00</t>
  </si>
  <si>
    <t xml:space="preserve">2026-10-27T10:36:16.945743+00:00</t>
  </si>
  <si>
    <t xml:space="preserve">2026-10-27T10:36:16.946566+00:00</t>
  </si>
  <si>
    <t xml:space="preserve">ORD-4135</t>
  </si>
  <si>
    <t xml:space="preserve">ROD-16 x 64 @ 11,800; ROOF-AL x 30 @ 12,500; ROD-12 x 5.5 (Quantity must be a whole number)</t>
  </si>
  <si>
    <t xml:space="preserve">2026-10-27T10:36:16.95558+00:00</t>
  </si>
  <si>
    <t xml:space="preserve">2026-10-27T10:36:16.987432+00:00</t>
  </si>
  <si>
    <t xml:space="preserve">2026-10-27T10:36:16.988245+00:00</t>
  </si>
  <si>
    <t xml:space="preserve">ORD-4136</t>
  </si>
  <si>
    <t xml:space="preserve">ROD-16 x 33 @ 11,800; WIRE-25 x 11 @ 52,000</t>
  </si>
  <si>
    <t xml:space="preserve">2026-10-27T10:36:16.99736+00:00</t>
  </si>
  <si>
    <t xml:space="preserve">2026-10-27T10:36:17.03138+00:00</t>
  </si>
  <si>
    <t xml:space="preserve">2026-10-27T10:36:17.032186+00:00</t>
  </si>
  <si>
    <t xml:space="preserve">ORD-4137</t>
  </si>
  <si>
    <t xml:space="preserve">PNT-20C x 5 @ 38,000; ROOF-AL x 27 @ 12,500</t>
  </si>
  <si>
    <t xml:space="preserve">2026-10-27T10:36:17.041139+00:00</t>
  </si>
  <si>
    <t xml:space="preserve">2026-10-27T10:36:17.072242+00:00</t>
  </si>
  <si>
    <t xml:space="preserve">2026-10-27T10:36:17.073054+00:00</t>
  </si>
  <si>
    <t xml:space="preserve">ORD-4138</t>
  </si>
  <si>
    <t xml:space="preserve">PVC-4 x 50 @ 8,600; ROD-12 x 7 @ 7,200; ROOF-AL x 26 @ 12,500; WIRE-25 x 2 @ 52,000</t>
  </si>
  <si>
    <t xml:space="preserve">2026-10-27T10:36:17.081345+00:00</t>
  </si>
  <si>
    <t xml:space="preserve">2026-10-27T10:36:17.154056+00:00</t>
  </si>
  <si>
    <t xml:space="preserve">2026-10-27T10:36:17.15488+00:00</t>
  </si>
  <si>
    <t xml:space="preserve">ORD-4139</t>
  </si>
  <si>
    <t xml:space="preserve">NAIL-3 x 13 @ 31,000; TIL-6060 x 54 @ 14,500</t>
  </si>
  <si>
    <t xml:space="preserve">2026-10-27T10:36:17.163826+00:00</t>
  </si>
  <si>
    <t xml:space="preserve">2026-10-27T10:36:17.196179+00:00</t>
  </si>
  <si>
    <t xml:space="preserve">2026-10-27T10:36:17.197026+00:00</t>
  </si>
  <si>
    <t xml:space="preserve">ORD-4140</t>
  </si>
  <si>
    <t xml:space="preserve">NAIL-3 x 13 @ 31,000; ROD-12 x 54 @ 7,200; ROD-16 x 301 @ 11,800; ROOF-AL x 33 @ 12,500</t>
  </si>
  <si>
    <t xml:space="preserve">Iron rod, 16 mm: not enough stock for this quantity. Reduce it. | Iron rod, 16 mm: 301 is far above this customer's usual 38.</t>
  </si>
  <si>
    <t xml:space="preserve">2026-10-27T10:36:17.205514+00:00</t>
  </si>
  <si>
    <t xml:space="preserve">2026-10-27T10:36:17.290798+00:00</t>
  </si>
  <si>
    <t xml:space="preserve">2026-10-27T10:36:17.291647+00:00</t>
  </si>
  <si>
    <t xml:space="preserve">ORD-4141</t>
  </si>
  <si>
    <t xml:space="preserve">PVC-2 x 2 @ 4,100; PVC-4 x 19 @ 8,600; ROD-12 x 23 @ 7,200</t>
  </si>
  <si>
    <t xml:space="preserve">2026-10-27T10:36:17.299978+00:00</t>
  </si>
  <si>
    <t xml:space="preserve">2026-10-27T10:36:17.360958+00:00</t>
  </si>
  <si>
    <t xml:space="preserve">2026-10-27T10:36:17.361793+00:00</t>
  </si>
  <si>
    <t xml:space="preserve">ORD-4142</t>
  </si>
  <si>
    <t xml:space="preserve">NAIL-3 x 2 @ 31,000; PVC-2 x 3 @ 4,100</t>
  </si>
  <si>
    <t xml:space="preserve">2026-10-27T10:36:17.371953+00:00</t>
  </si>
  <si>
    <t xml:space="preserve">2026-10-27T10:36:17.403944+00:00</t>
  </si>
  <si>
    <t xml:space="preserve">2026-10-27T10:36:17.404759+00:00</t>
  </si>
  <si>
    <t xml:space="preserve">ORD-4143</t>
  </si>
  <si>
    <t xml:space="preserve">CEM-50 x 190 @ 9,500; NAIL-3 x 2 @ 31,000; PVC-2 x 2 @ 4,100</t>
  </si>
  <si>
    <t xml:space="preserve">Cement, 50 kg bag: 190 is far above this customer's usual 55.</t>
  </si>
  <si>
    <t xml:space="preserve">2026-10-27T10:36:17.413923+00:00</t>
  </si>
  <si>
    <t xml:space="preserve">2026-10-27T10:36:17.473484+00:00</t>
  </si>
  <si>
    <t xml:space="preserve">2026-10-27T10:36:17.474327+00:00</t>
  </si>
  <si>
    <t xml:space="preserve">ORD-4144</t>
  </si>
  <si>
    <t xml:space="preserve">CEM-50 x 27 @ 9,500; PNT-20W x 15 @ 38,000; ROD-12 x 200 @ 7,200</t>
  </si>
  <si>
    <t xml:space="preserve">Iron rod, 12 mm: 200 is far above this customer's usual 12.</t>
  </si>
  <si>
    <t xml:space="preserve">2026-10-27T10:36:17.483487+00:00</t>
  </si>
  <si>
    <t xml:space="preserve">2026-10-27T10:36:17.558392+00:00</t>
  </si>
  <si>
    <t xml:space="preserve">2026-10-27T10:36:17.559258+00:00</t>
  </si>
  <si>
    <t xml:space="preserve">ORD-4145</t>
  </si>
  <si>
    <t xml:space="preserve">PNT-20W x 22 @ 38,000; PVC-2 x 3 @ 4,100; ROD-16 x 24 @ 11,800</t>
  </si>
  <si>
    <t xml:space="preserve">2026-10-27T10:36:17.568381+00:00</t>
  </si>
  <si>
    <t xml:space="preserve">2026-10-27T10:36:17.616884+00:00</t>
  </si>
  <si>
    <t xml:space="preserve">2026-10-27T10:36:17.617728+00:00</t>
  </si>
  <si>
    <t xml:space="preserve">ORD-4146</t>
  </si>
  <si>
    <t xml:space="preserve">CEM-50 x 79 @ 9,500; PNT-20C x 8 @ 38,000</t>
  </si>
  <si>
    <t xml:space="preserve">2026-10-27T10:36:17.627925+00:00</t>
  </si>
  <si>
    <t xml:space="preserve">2026-10-27T10:36:17.675891+00:00</t>
  </si>
  <si>
    <t xml:space="preserve">2026-10-27T10:36:17.676727+00:00</t>
  </si>
  <si>
    <t xml:space="preserve">ORD-4147</t>
  </si>
  <si>
    <t xml:space="preserve">CEM-50 x 61 @ 9,500</t>
  </si>
  <si>
    <t xml:space="preserve">2026-10-27T10:36:17.685407+00:00</t>
  </si>
  <si>
    <t xml:space="preserve">2026-10-27T10:36:17.719585+00:00</t>
  </si>
  <si>
    <t xml:space="preserve">2026-10-27T10:36:17.72043+00:00</t>
  </si>
  <si>
    <t xml:space="preserve">ORD-4148</t>
  </si>
  <si>
    <t xml:space="preserve">NAIL-3 x 14 @ 31,000; PNT-20C x 9 @ 38,000; TIL-6060 x 36 @ 14,500</t>
  </si>
  <si>
    <t xml:space="preserve">2026-10-27T10:36:17.729645+00:00</t>
  </si>
  <si>
    <t xml:space="preserve">2026-10-27T10:36:17.776697+00:00</t>
  </si>
  <si>
    <t xml:space="preserve">2026-10-27T10:36:17.777537+00:00</t>
  </si>
  <si>
    <t xml:space="preserve">ORD-4149</t>
  </si>
  <si>
    <t xml:space="preserve">This looks like a repeat of ORD-4147. Confirm it is a new order.</t>
  </si>
  <si>
    <t xml:space="preserve">2026-10-27T10:36:17.78702+00:00</t>
  </si>
  <si>
    <t xml:space="preserve">ORD-4150</t>
  </si>
  <si>
    <t xml:space="preserve">NAIL-3 x 8 @ 31,000; PNT-20C x 1 @ 38,000; WIRE-25 x 7 @ 52,000</t>
  </si>
  <si>
    <t xml:space="preserve">2026-10-27T10:36:17.829345+00:00</t>
  </si>
  <si>
    <t xml:space="preserve">2026-10-27T10:36:17.876474+00:00</t>
  </si>
  <si>
    <t xml:space="preserve">2026-10-27T10:36:17.877327+00:00</t>
  </si>
  <si>
    <t xml:space="preserve">ORD-4151</t>
  </si>
  <si>
    <t xml:space="preserve">PNT-20C x 10 @ 38,000; PVC-2 x 2 @ 4,100</t>
  </si>
  <si>
    <t xml:space="preserve">2026-10-27T10:36:17.886839+00:00</t>
  </si>
  <si>
    <t xml:space="preserve">2026-10-27T10:36:17.921842+00:00</t>
  </si>
  <si>
    <t xml:space="preserve">2026-10-27T10:36:17.922688+00:00</t>
  </si>
  <si>
    <t xml:space="preserve">ORD-4152</t>
  </si>
  <si>
    <t xml:space="preserve">PNT-20W x 26 @ 38,000; PVC-4 x 20 @ 8,600; ROD-12 x 13 @ 7,200</t>
  </si>
  <si>
    <t xml:space="preserve">2026-10-27T10:36:17.933291+00:00</t>
  </si>
  <si>
    <t xml:space="preserve">2026-10-27T10:36:17.99639+00:00</t>
  </si>
  <si>
    <t xml:space="preserve">2026-10-27T10:36:17.997315+00:00</t>
  </si>
  <si>
    <t xml:space="preserve">ORD-4153</t>
  </si>
  <si>
    <t xml:space="preserve">PNT-20C x 9 @ 38,000; PNT-20W x 11 @ 38,000; ROOF-AL x 38 @ 12,500</t>
  </si>
  <si>
    <t xml:space="preserve">2026-10-27T10:36:18.006625+00:00</t>
  </si>
  <si>
    <t xml:space="preserve">2026-10-27T10:36:18.053571+00:00</t>
  </si>
  <si>
    <t xml:space="preserve">2026-10-27T10:36:18.054449+00:00</t>
  </si>
  <si>
    <t xml:space="preserve">ORD-4154</t>
  </si>
  <si>
    <t xml:space="preserve">PNT-20C x 1 @ 38,000; PNT-20W x 4 @ 38,000</t>
  </si>
  <si>
    <t xml:space="preserve">2026-10-27T10:36:18.063344+00:00</t>
  </si>
  <si>
    <t xml:space="preserve">2026-10-27T10:36:18.097417+00:00</t>
  </si>
  <si>
    <t xml:space="preserve">2026-10-27T10:36:18.098228+00:00</t>
  </si>
  <si>
    <t xml:space="preserve">ORD-4155</t>
  </si>
  <si>
    <t xml:space="preserve">CEM-50 x 67 @ 9,500; PVC-2 x 2 @ 4,100; WIRE-25 x 11 @ 52,000</t>
  </si>
  <si>
    <t xml:space="preserve">2026-10-27T10:36:18.106882+00:00</t>
  </si>
  <si>
    <t xml:space="preserve">2026-10-27T10:36:18.171569+00:00</t>
  </si>
  <si>
    <t xml:space="preserve">2026-10-27T10:36:18.172492+00:00</t>
  </si>
  <si>
    <t xml:space="preserve">ORD-4156</t>
  </si>
  <si>
    <t xml:space="preserve">PNT-20C x 8 @ 38,000; PNT-20W x 3 @ 38,000; PVC-4 x 44 @ 8,600</t>
  </si>
  <si>
    <t xml:space="preserve">2026-10-27T10:36:18.181798+00:00</t>
  </si>
  <si>
    <t xml:space="preserve">2026-10-27T10:36:18.232417+00:00</t>
  </si>
  <si>
    <t xml:space="preserve">2026-10-27T10:36:18.233277+00:00</t>
  </si>
  <si>
    <t xml:space="preserve">ORD-4157</t>
  </si>
  <si>
    <t xml:space="preserve">NAIL-3 x 12 @ 31,000; PNT-20C x 1 @ 38,000</t>
  </si>
  <si>
    <t xml:space="preserve">2026-10-27T10:36:18.242228+00:00</t>
  </si>
  <si>
    <t xml:space="preserve">2026-10-27T10:36:18.277184+00:00</t>
  </si>
  <si>
    <t xml:space="preserve">2026-10-27T10:36:18.278038+00:00</t>
  </si>
  <si>
    <t xml:space="preserve">ORD-4158</t>
  </si>
  <si>
    <t xml:space="preserve">CEM-50 x 154 @ 9,500; PVC-4 x 44 @ 8,600; TIL-6060 x 83 @ 14,500</t>
  </si>
  <si>
    <t xml:space="preserve">2026-10-27T10:36:18.287636+00:00</t>
  </si>
  <si>
    <t xml:space="preserve">2026-10-27T10:36:18.35372+00:00</t>
  </si>
  <si>
    <t xml:space="preserve">2026-10-27T10:36:18.35456+00:00</t>
  </si>
  <si>
    <t xml:space="preserve">ORD-4159</t>
  </si>
  <si>
    <t xml:space="preserve">ROD-12 x 55 @ 7,200</t>
  </si>
  <si>
    <t xml:space="preserve">2026-10-27T10:36:18.363097+00:00</t>
  </si>
  <si>
    <t xml:space="preserve">2026-10-27T10:36:18.398126+00:00</t>
  </si>
  <si>
    <t xml:space="preserve">2026-10-27T10:36:18.398967+00:00</t>
  </si>
  <si>
    <t xml:space="preserve">ORD-4160</t>
  </si>
  <si>
    <t xml:space="preserve">CEM-50 x 95 @ 9,500; ROD-16 x 61 @ 11,800; WIRE-25 x 16 @ 52,000</t>
  </si>
  <si>
    <t xml:space="preserve">Cement, 50 kg bag: 95 is far above this customer's usual 23.</t>
  </si>
  <si>
    <t xml:space="preserve">2026-10-27T10:36:18.407294+00:00</t>
  </si>
  <si>
    <t xml:space="preserve">2026-10-27T10:36:18.47331+00:00</t>
  </si>
  <si>
    <t xml:space="preserve">2026-10-27T10:36:18.474163+00:00</t>
  </si>
  <si>
    <t xml:space="preserve">ORD-4161</t>
  </si>
  <si>
    <t xml:space="preserve">PVC-4 x 15 @ 8,600; TIL-6060 x 38 @ 14,500</t>
  </si>
  <si>
    <t xml:space="preserve">2026-10-27T10:36:18.484441+00:00</t>
  </si>
  <si>
    <t xml:space="preserve">2026-10-27T10:36:18.522053+00:00</t>
  </si>
  <si>
    <t xml:space="preserve">2026-10-27T10:36:18.522936+00:00</t>
  </si>
  <si>
    <t xml:space="preserve">ORD-4162</t>
  </si>
  <si>
    <t xml:space="preserve">PVC-2 x 2 @ 4,100; ROD-12 x 96 @ 7,200; SAND-T x 1 @ 185,000</t>
  </si>
  <si>
    <t xml:space="preserve">2026-10-27T10:36:18.532415+00:00</t>
  </si>
  <si>
    <t xml:space="preserve">2026-10-27T10:36:18.58646+00:00</t>
  </si>
  <si>
    <t xml:space="preserve">2026-10-27T10:36:18.587324+00:00</t>
  </si>
  <si>
    <t xml:space="preserve">ORD-4163</t>
  </si>
  <si>
    <t xml:space="preserve">PVC-4 x 58 @ 8,600; ROOF-AL x 64 @ 12,500; SAND-T x 1 @ 185,000; WIRE-25 x 12 @ 52,000</t>
  </si>
  <si>
    <t xml:space="preserve">2026-10-27T10:36:18.595987+00:00</t>
  </si>
  <si>
    <t xml:space="preserve">2026-10-27T10:36:18.6509+00:00</t>
  </si>
  <si>
    <t xml:space="preserve">2026-10-27T10:36:18.65175+00:00</t>
  </si>
  <si>
    <t xml:space="preserve">ORD-4164</t>
  </si>
  <si>
    <t xml:space="preserve">NAIL-3 x 2 @ 31,000</t>
  </si>
  <si>
    <t xml:space="preserve">2026-10-27T10:36:18.661053+00:00</t>
  </si>
  <si>
    <t xml:space="preserve">2026-10-27T10:36:18.681731+00:00</t>
  </si>
  <si>
    <t xml:space="preserve">2026-10-27T10:36:18.682599+00:00</t>
  </si>
  <si>
    <t xml:space="preserve">ORD-4165</t>
  </si>
  <si>
    <t xml:space="preserve">NAIL-3 x 7 @ 31,000; ROD-16 x 1010 @ 11,800</t>
  </si>
  <si>
    <t xml:space="preserve">2026-10-27T10:36:18.692434+00:00</t>
  </si>
  <si>
    <t xml:space="preserve">2026-10-27T10:36:18.729093+00:00</t>
  </si>
  <si>
    <t xml:space="preserve">2026-10-27T10:36:18.73004+00:00</t>
  </si>
  <si>
    <t xml:space="preserve">ORD-4166</t>
  </si>
  <si>
    <t xml:space="preserve">TIL-6060 x 75 @ 14,500</t>
  </si>
  <si>
    <t xml:space="preserve">2026-10-27T10:36:18.738706+00:00</t>
  </si>
  <si>
    <t xml:space="preserve">2026-10-27T10:36:18.760668+00:00</t>
  </si>
  <si>
    <t xml:space="preserve">2026-10-27T10:36:18.761538+00:00</t>
  </si>
  <si>
    <t xml:space="preserve">ORD-4167</t>
  </si>
  <si>
    <t xml:space="preserve">PVC-2 x 3 @ 4,100; ROOF-AL x 64 @ 12,500</t>
  </si>
  <si>
    <t xml:space="preserve">2026-10-27T10:36:18.771547+00:00</t>
  </si>
  <si>
    <t xml:space="preserve">2026-10-27T10:36:18.807917+00:00</t>
  </si>
  <si>
    <t xml:space="preserve">2026-10-27T10:36:18.80879+00:00</t>
  </si>
  <si>
    <t xml:space="preserve">ORD-4168</t>
  </si>
  <si>
    <t xml:space="preserve">CEM-50 x 150 @ 9,500</t>
  </si>
  <si>
    <t xml:space="preserve">The delivery date is in the past. | Cement, 50 kg bag: 150 is far above this customer's usual 25.</t>
  </si>
  <si>
    <t xml:space="preserve">2026-10-27T10:36:18.818353+00:00</t>
  </si>
  <si>
    <t xml:space="preserve">2026-10-27T10:36:18.854911+00:00</t>
  </si>
  <si>
    <t xml:space="preserve">2026-10-27T10:36:18.855727+00:00</t>
  </si>
  <si>
    <t xml:space="preserve">ORD-4169</t>
  </si>
  <si>
    <t xml:space="preserve">This looks like a repeat of ORD-4166. Confirm it is a new order.</t>
  </si>
  <si>
    <t xml:space="preserve">2026-10-27T10:36:18.864117+00:00</t>
  </si>
  <si>
    <t xml:space="preserve">ORD-4170</t>
  </si>
  <si>
    <t xml:space="preserve">PNT-20W x 22 @ 38,000; PVC-2 x 2 @ 4,100; XX-114 x None (not in the catalogue)</t>
  </si>
  <si>
    <t xml:space="preserve">Row 4: XX-114 - not in the catalogue</t>
  </si>
  <si>
    <t xml:space="preserve">2026-10-27T10:36:18.894698+00:00</t>
  </si>
  <si>
    <t xml:space="preserve">2026-10-27T10:36:18.931354+00:00</t>
  </si>
  <si>
    <t xml:space="preserve">2026-10-27T10:36:18.932191+00:00</t>
  </si>
  <si>
    <t xml:space="preserve">ORD-4171</t>
  </si>
  <si>
    <t xml:space="preserve">PVC-2 x 2 @ 4,100; XX-586 x None (not in the catalogue)</t>
  </si>
  <si>
    <t xml:space="preserve">Row 3: XX-586 - not in the catalogue</t>
  </si>
  <si>
    <t xml:space="preserve">2026-10-27T10:36:18.941046+00:00</t>
  </si>
  <si>
    <t xml:space="preserve">2026-10-27T10:36:18.963305+00:00</t>
  </si>
  <si>
    <t xml:space="preserve">2026-10-27T10:36:18.964127+00:00</t>
  </si>
  <si>
    <t xml:space="preserve">ORD-4172</t>
  </si>
  <si>
    <t xml:space="preserve">PNT-20C x 8 @ 38,000; PVC-2 x 2 @ 4,100; TIL-6060 x 10 @ 14,500</t>
  </si>
  <si>
    <t xml:space="preserve">2026-10-27T10:36:18.972751+00:00</t>
  </si>
  <si>
    <t xml:space="preserve">2026-10-27T10:36:19.028084+00:00</t>
  </si>
  <si>
    <t xml:space="preserve">2026-10-27T10:36:19.029006+00:00</t>
  </si>
  <si>
    <t xml:space="preserve">ORD-4173</t>
  </si>
  <si>
    <t xml:space="preserve">NAIL-3 x 7 @ 31,000</t>
  </si>
  <si>
    <t xml:space="preserve">2026-10-27T10:36:19.039085+00:00</t>
  </si>
  <si>
    <t xml:space="preserve">2026-10-27T10:36:19.059674+00:00</t>
  </si>
  <si>
    <t xml:space="preserve">2026-10-27T10:36:19.06054+00:00</t>
  </si>
  <si>
    <t xml:space="preserve">ORD-4174</t>
  </si>
  <si>
    <t xml:space="preserve">CEM-50 x 67 @ 9,500; ROOF-AL x 41 @ 12,500; SAND-T x 1 @ 185,000; TIL-6060 x 73 @ 14,500</t>
  </si>
  <si>
    <t xml:space="preserve">2026-10-27T10:36:19.070256+00:00</t>
  </si>
  <si>
    <t xml:space="preserve">2026-10-27T10:36:19.141007+00:00</t>
  </si>
  <si>
    <t xml:space="preserve">2026-10-27T10:36:19.141881+00:00</t>
  </si>
  <si>
    <t xml:space="preserve">ORD-4175</t>
  </si>
  <si>
    <t xml:space="preserve">CEM-50 x 95 @ 9,500; NAIL-3 x 6 @ 31,000; PVC-2 x 2 @ 4,100; PVC-4 x 537 @ 8,600</t>
  </si>
  <si>
    <t xml:space="preserve">2026-10-27T10:36:19.150989+00:00</t>
  </si>
  <si>
    <t xml:space="preserve">2026-10-27T10:36:19.236534+00:00</t>
  </si>
  <si>
    <t xml:space="preserve">2026-10-27T10:36:19.237405+00:00</t>
  </si>
  <si>
    <t xml:space="preserve">ORD-4176</t>
  </si>
  <si>
    <t xml:space="preserve">2026-10-27T10:36:19.246841+00:00</t>
  </si>
  <si>
    <t xml:space="preserve">2026-10-27T10:36:19.270175+00:00</t>
  </si>
  <si>
    <t xml:space="preserve">2026-10-27T10:36:19.270988+00:00</t>
  </si>
  <si>
    <t xml:space="preserve">ORD-4177</t>
  </si>
  <si>
    <t xml:space="preserve">PNT-20W x 22 @ 38,000</t>
  </si>
  <si>
    <t xml:space="preserve">2026-10-27T10:36:19.279981+00:00</t>
  </si>
  <si>
    <t xml:space="preserve">2026-10-27T10:36:19.301104+00:00</t>
  </si>
  <si>
    <t xml:space="preserve">2026-10-27T10:36:19.301976+00:00</t>
  </si>
  <si>
    <t xml:space="preserve">ORD-4178</t>
  </si>
  <si>
    <t xml:space="preserve">ROD-16 x 68 @ 11,800</t>
  </si>
  <si>
    <t xml:space="preserve">2026-10-27T10:36:19.31171+00:00</t>
  </si>
  <si>
    <t xml:space="preserve">2026-10-27T10:36:19.334683+00:00</t>
  </si>
  <si>
    <t xml:space="preserve">2026-10-27T10:36:19.335538+00:00</t>
  </si>
  <si>
    <t xml:space="preserve">ORD-4179</t>
  </si>
  <si>
    <t xml:space="preserve">2026-10-27T10:36:19.345731+00:00</t>
  </si>
  <si>
    <t xml:space="preserve">2026-10-27T10:36:19.367375+00:00</t>
  </si>
  <si>
    <t xml:space="preserve">2026-10-27T10:36:19.368237+00:00</t>
  </si>
  <si>
    <t xml:space="preserve">ORD-4180</t>
  </si>
  <si>
    <t xml:space="preserve">CEM-50 x 43 @ 9,500; NAIL-3 x 10 @ 31,000; PNT-20C x 3 @ 38,000</t>
  </si>
  <si>
    <t xml:space="preserve">2026-10-27T10:36:19.378269+00:00</t>
  </si>
  <si>
    <t xml:space="preserve">2026-10-27T10:36:19.447498+00:00</t>
  </si>
  <si>
    <t xml:space="preserve">2026-10-27T10:36:19.44839+00:00</t>
  </si>
  <si>
    <t xml:space="preserve">ORD-4181</t>
  </si>
  <si>
    <t xml:space="preserve">PVC-2 x 2 @ 4,100; WIRE-25 x 6 @ 52,000</t>
  </si>
  <si>
    <t xml:space="preserve">2026-10-27T10:36:19.458042+00:00</t>
  </si>
  <si>
    <t xml:space="preserve">2026-10-27T10:36:19.49902+00:00</t>
  </si>
  <si>
    <t xml:space="preserve">2026-10-27T10:36:19.499892+00:00</t>
  </si>
  <si>
    <t xml:space="preserve">ORD-4182</t>
  </si>
  <si>
    <t xml:space="preserve">CEM-50 x 25 @ 9,500; NAIL-3 x 11 @ 31,000; TIL-6060 x 57 @ 14,500</t>
  </si>
  <si>
    <t xml:space="preserve">2026-10-27T10:36:19.509812+00:00</t>
  </si>
  <si>
    <t xml:space="preserve">2026-10-27T10:36:19.58044+00:00</t>
  </si>
  <si>
    <t xml:space="preserve">2026-10-27T10:36:19.58133+00:00</t>
  </si>
  <si>
    <t xml:space="preserve">ORD-4183</t>
  </si>
  <si>
    <t xml:space="preserve">CEM-50 x 154 @ 9,500; WIRE-25 x 11 @ 52,000</t>
  </si>
  <si>
    <t xml:space="preserve">Cement, 50 kg bag: 154 is far above this customer's usual 23.</t>
  </si>
  <si>
    <t xml:space="preserve">2026-10-27T10:36:19.591363+00:00</t>
  </si>
  <si>
    <t xml:space="preserve">2026-10-27T10:36:19.646044+00:00</t>
  </si>
  <si>
    <t xml:space="preserve">2026-10-27T10:36:19.646915+00:00</t>
  </si>
  <si>
    <t xml:space="preserve">ORD-4184</t>
  </si>
  <si>
    <t xml:space="preserve">CEM-50 x 178 @ 9,500; PNT-20C x 6 @ 38,000</t>
  </si>
  <si>
    <t xml:space="preserve">2026-10-27T10:36:19.657265+00:00</t>
  </si>
  <si>
    <t xml:space="preserve">2026-10-27T10:36:19.713961+00:00</t>
  </si>
  <si>
    <t xml:space="preserve">2026-10-27T10:36:19.714854+00:00</t>
  </si>
  <si>
    <t xml:space="preserve">ORD-4185</t>
  </si>
  <si>
    <t xml:space="preserve">CEM-50 x 176 @ 9,500; XX-868 x None (not in the catalogue)</t>
  </si>
  <si>
    <t xml:space="preserve">Row 3: XX-868 - not in the catalogue | Cement, 50 kg bag: 176 is far above this customer's usual 46.</t>
  </si>
  <si>
    <t xml:space="preserve">2026-10-27T10:36:19.724022+00:00</t>
  </si>
  <si>
    <t xml:space="preserve">2026-10-27T10:36:19.763797+00:00</t>
  </si>
  <si>
    <t xml:space="preserve">2026-10-27T10:36:19.764662+00:00</t>
  </si>
  <si>
    <t xml:space="preserve">ORD-4186</t>
  </si>
  <si>
    <t xml:space="preserve">CEM-50 x 16 @ 9,500; NAIL-3 x 11 @ 31,000; TIL-6060 x 20 @ 14,500; XX-730 x None (not in the catalogue)</t>
  </si>
  <si>
    <t xml:space="preserve">Row 5: XX-730 - not in the catalogue</t>
  </si>
  <si>
    <t xml:space="preserve">2026-10-27T10:36:19.7739+00:00</t>
  </si>
  <si>
    <t xml:space="preserve">2026-10-27T10:36:19.846218+00:00</t>
  </si>
  <si>
    <t xml:space="preserve">2026-10-27T10:36:19.847079+00:00</t>
  </si>
  <si>
    <t xml:space="preserve">ORD-4187</t>
  </si>
  <si>
    <t xml:space="preserve">Cement, 50 kg bag: 154 is far above this customer's usual 49. | This looks like a repeat of ORD-4183. Confirm it is a new order.</t>
  </si>
  <si>
    <t xml:space="preserve">2026-10-27T10:36:19.856152+00:00</t>
  </si>
  <si>
    <t xml:space="preserve">ORD-4188</t>
  </si>
  <si>
    <t xml:space="preserve">NAIL-3 x 1 @ 31,000; ROD-12 x 87 @ 7,200; ROOF-AL x 23 @ 12,500</t>
  </si>
  <si>
    <t xml:space="preserve">2026-10-27T10:36:19.921037+00:00</t>
  </si>
  <si>
    <t xml:space="preserve">2026-10-27T10:36:19.989545+00:00</t>
  </si>
  <si>
    <t xml:space="preserve">2026-10-27T10:36:19.990438+00:00</t>
  </si>
  <si>
    <t xml:space="preserve">ORD-4189</t>
  </si>
  <si>
    <t xml:space="preserve">PNT-20C x 9 @ 38,000; WIRE-25 x 14 @ 52,000</t>
  </si>
  <si>
    <t xml:space="preserve">2026-10-27T10:36:20.000388+00:00</t>
  </si>
  <si>
    <t xml:space="preserve">2026-10-27T10:36:20.041082+00:00</t>
  </si>
  <si>
    <t xml:space="preserve">2026-10-27T10:36:20.041945+00:00</t>
  </si>
  <si>
    <t xml:space="preserve">ORD-4190</t>
  </si>
  <si>
    <t xml:space="preserve">ROD-12 x 25 @ 7,200</t>
  </si>
  <si>
    <t xml:space="preserve">2026-10-27T10:36:20.051187+00:00</t>
  </si>
  <si>
    <t xml:space="preserve">2026-10-27T10:36:20.088748+00:00</t>
  </si>
  <si>
    <t xml:space="preserve">2026-10-27T10:36:20.089672+00:00</t>
  </si>
  <si>
    <t xml:space="preserve">ORD-4191</t>
  </si>
  <si>
    <t xml:space="preserve">PVC-4 x 61 @ 8,600; ROD-12 x 66 @ 7,200</t>
  </si>
  <si>
    <t xml:space="preserve">2026-10-27T10:36:20.098722+00:00</t>
  </si>
  <si>
    <t xml:space="preserve">2026-10-27T10:36:20.156228+00:00</t>
  </si>
  <si>
    <t xml:space="preserve">2026-10-27T10:36:20.157088+00:00</t>
  </si>
  <si>
    <t xml:space="preserve">ORD-4192</t>
  </si>
  <si>
    <t xml:space="preserve">TIL-6060 x 64 @ 14,500</t>
  </si>
  <si>
    <t xml:space="preserve">2026-10-27T10:36:20.167406+00:00</t>
  </si>
  <si>
    <t xml:space="preserve">2026-10-27T10:36:20.191517+00:00</t>
  </si>
  <si>
    <t xml:space="preserve">2026-10-27T10:36:20.192414+00:00</t>
  </si>
  <si>
    <t xml:space="preserve">ORD-4193</t>
  </si>
  <si>
    <t xml:space="preserve">CEM-50 x 156 @ 9,500; PVC-2 x 2 @ 4,100; ROD-12 x 110 @ 7,200</t>
  </si>
  <si>
    <t xml:space="preserve">Cement, 50 kg bag: 156 is far above this customer's usual 24.</t>
  </si>
  <si>
    <t xml:space="preserve">2026-10-27T10:36:20.201813+00:00</t>
  </si>
  <si>
    <t xml:space="preserve">2026-10-27T10:36:20.292029+00:00</t>
  </si>
  <si>
    <t xml:space="preserve">2026-10-27T10:36:20.292934+00:00</t>
  </si>
  <si>
    <t xml:space="preserve">ORD-4194</t>
  </si>
  <si>
    <t xml:space="preserve">NAIL-3 x 6 @ 31,000; ROOF-AL x 9 @ 12,500</t>
  </si>
  <si>
    <t xml:space="preserve">2026-10-27T10:36:20.303314+00:00</t>
  </si>
  <si>
    <t xml:space="preserve">2026-10-27T10:36:20.340984+00:00</t>
  </si>
  <si>
    <t xml:space="preserve">2026-10-27T10:36:20.341962+00:00</t>
  </si>
  <si>
    <t xml:space="preserve">ORD-4195</t>
  </si>
  <si>
    <t xml:space="preserve">PVC-2 x 2 @ 4,100; ROD-12 x 140 @ 7,200</t>
  </si>
  <si>
    <t xml:space="preserve">Iron rod, 12 mm: 140 is far above this customer's usual 44.</t>
  </si>
  <si>
    <t xml:space="preserve">2026-10-27T10:36:20.351183+00:00</t>
  </si>
  <si>
    <t xml:space="preserve">2026-10-27T10:36:20.408404+00:00</t>
  </si>
  <si>
    <t xml:space="preserve">2026-10-27T10:36:20.409313+00:00</t>
  </si>
  <si>
    <t xml:space="preserve">ORD-4196</t>
  </si>
  <si>
    <t xml:space="preserve">PNT-20W x 29 @ 38,000; ROD-12 x 76 @ 7,200; ROD-16 x 301 @ 11,800</t>
  </si>
  <si>
    <t xml:space="preserve">2026-10-27T10:36:20.41977+00:00</t>
  </si>
  <si>
    <t xml:space="preserve">2026-10-27T10:36:20.492314+00:00</t>
  </si>
  <si>
    <t xml:space="preserve">2026-10-27T10:36:20.493269+00:00</t>
  </si>
  <si>
    <t xml:space="preserve">ORD-4197</t>
  </si>
  <si>
    <t xml:space="preserve">PVC-4 x 48 @ 8,600</t>
  </si>
  <si>
    <t xml:space="preserve">2026-10-27T10:36:20.502389+00:00</t>
  </si>
  <si>
    <t xml:space="preserve">2026-10-27T10:36:20.528401+00:00</t>
  </si>
  <si>
    <t xml:space="preserve">2026-10-27T10:36:20.529313+00:00</t>
  </si>
  <si>
    <t xml:space="preserve">ORD-4198</t>
  </si>
  <si>
    <t xml:space="preserve">NAIL-3 x 3 @ 31,000; ROD-12 x 60 @ 7,200</t>
  </si>
  <si>
    <t xml:space="preserve">The customer account is not active. | Iron rod, 12 mm: 60 is far above this customer's usual 12.</t>
  </si>
  <si>
    <t xml:space="preserve">2026-10-27T10:36:20.539548+00:00</t>
  </si>
  <si>
    <t xml:space="preserve">2026-10-27T10:36:20.59754+00:00</t>
  </si>
  <si>
    <t xml:space="preserve">2026-10-27T10:36:20.598417+00:00</t>
  </si>
  <si>
    <t xml:space="preserve">ORD-4199</t>
  </si>
  <si>
    <t xml:space="preserve">PVC-2 x 2 @ 4,100; ROD-16 x 17 @ 11,800; SAND-T x 1 @ 185,000</t>
  </si>
  <si>
    <t xml:space="preserve">2026-10-27T10:36:20.607798+00:00</t>
  </si>
  <si>
    <t xml:space="preserve">2026-10-27T10:36:20.655827+00:00</t>
  </si>
  <si>
    <t xml:space="preserve">2026-10-27T10:36:20.656736+00:00</t>
  </si>
  <si>
    <t xml:space="preserve">ORD-4200</t>
  </si>
  <si>
    <t xml:space="preserve">ROD-12 x 143 @ 7,200; ROD-16 x 37 @ 11,800</t>
  </si>
  <si>
    <t xml:space="preserve">Iron rod, 12 mm: 143 is far above this customer's usual 24.</t>
  </si>
  <si>
    <t xml:space="preserve">2026-10-27T10:36:20.666567+00:00</t>
  </si>
  <si>
    <t xml:space="preserve">2026-10-27T10:36:20.725287+00:00</t>
  </si>
  <si>
    <t xml:space="preserve">2026-10-27T10:36:20.726172+00:00</t>
  </si>
  <si>
    <t xml:space="preserve">ORD-4201</t>
  </si>
  <si>
    <t xml:space="preserve">NAIL-3 x 11 @ 31,000; PNT-20W x 28 @ 38,000; ROD-12 x 13 @ 7,200; SAND-T x 1 @ 185,000</t>
  </si>
  <si>
    <t xml:space="preserve">2026-10-27T10:36:20.736327+00:00</t>
  </si>
  <si>
    <t xml:space="preserve">2026-10-27T10:36:20.813003+00:00</t>
  </si>
  <si>
    <t xml:space="preserve">2026-10-27T10:36:20.813889+00:00</t>
  </si>
  <si>
    <t xml:space="preserve">ORD-4202</t>
  </si>
  <si>
    <t xml:space="preserve">CEM-50 x 2009 @ 9,500; PNT-20C x 5 @ 38,000</t>
  </si>
  <si>
    <t xml:space="preserve">Cement, 50 kg bag: quantity must be between 10 and 2000. | Cement, 50 kg bag: not enough stock for this quantity. Reduce it. | Cement, 50 kg bag: 2009 is far above this customer's usual 35.</t>
  </si>
  <si>
    <t xml:space="preserve">2026-10-27T10:36:20.823631+00:00</t>
  </si>
  <si>
    <t xml:space="preserve">2026-10-27T10:36:20.883671+00:00</t>
  </si>
  <si>
    <t xml:space="preserve">2026-10-27T10:36:20.884554+00:00</t>
  </si>
  <si>
    <t xml:space="preserve">ORD-4203</t>
  </si>
  <si>
    <t xml:space="preserve">2026-10-27T10:36:20.893994+00:00</t>
  </si>
  <si>
    <t xml:space="preserve">ORD-4204</t>
  </si>
  <si>
    <t xml:space="preserve">CEM-50 x 210 @ 9,500; PVC-4 x 2 @ 8,600; ROD-16 x 49 @ 11,800</t>
  </si>
  <si>
    <t xml:space="preserve">Cement, 50 kg bag: 210 is far above this customer's usual 49.</t>
  </si>
  <si>
    <t xml:space="preserve">2026-10-27T10:36:20.92696+00:00</t>
  </si>
  <si>
    <t xml:space="preserve">2026-10-27T10:36:21.005609+00:00</t>
  </si>
  <si>
    <t xml:space="preserve">2026-10-27T10:36:21.006527+00:00</t>
  </si>
  <si>
    <t xml:space="preserve">ORD-4205</t>
  </si>
  <si>
    <t xml:space="preserve">ROD-12 x 114 @ 7,200; ROOF-AL x 54 @ 12,500; TIL-6060 x 806 @ 14,500</t>
  </si>
  <si>
    <t xml:space="preserve">Floor tile 60x60, carton: quantity must be between 2 and 800. | Floor tile 60x60, carton: not enough stock for this quantity. Reduce it. | Floor tile 60x60, carton: 806 is far above this customer's usual 9.</t>
  </si>
  <si>
    <t xml:space="preserve">2026-10-27T10:36:21.016755+00:00</t>
  </si>
  <si>
    <t xml:space="preserve">2026-10-27T10:36:21.092016+00:00</t>
  </si>
  <si>
    <t xml:space="preserve">2026-10-27T10:36:21.092914+00:00</t>
  </si>
  <si>
    <t xml:space="preserve">ORD-4206</t>
  </si>
  <si>
    <t xml:space="preserve">NAIL-3 x 3 @ 31,000; ROD-16 x 6 @ 11,800; TIL-6060 x 60 @ 14,500</t>
  </si>
  <si>
    <t xml:space="preserve">2026-10-27T10:36:21.102525+00:00</t>
  </si>
  <si>
    <t xml:space="preserve">2026-10-27T10:36:21.163438+00:00</t>
  </si>
  <si>
    <t xml:space="preserve">2026-10-27T10:36:21.165309+00:00</t>
  </si>
  <si>
    <t xml:space="preserve">ORD-4207</t>
  </si>
  <si>
    <t xml:space="preserve">PVC-2 x 2 @ 4,100; TIL-6060 x 35 @ 14,500</t>
  </si>
  <si>
    <t xml:space="preserve">2026-10-27T10:36:21.175553+00:00</t>
  </si>
  <si>
    <t xml:space="preserve">2026-10-27T10:36:21.219874+00:00</t>
  </si>
  <si>
    <t xml:space="preserve">2026-10-27T10:36:21.220842+00:00</t>
  </si>
  <si>
    <t xml:space="preserve">ORD-4208</t>
  </si>
  <si>
    <t xml:space="preserve">PNT-20W x 28 @ 38,000; PVC-2 x 2 @ 4,100; WIRE-25 x 8 @ 52,000</t>
  </si>
  <si>
    <t xml:space="preserve">2026-10-27T10:36:21.23045+00:00</t>
  </si>
  <si>
    <t xml:space="preserve">2026-10-27T10:36:21.290737+00:00</t>
  </si>
  <si>
    <t xml:space="preserve">2026-10-27T10:36:21.291622+00:00</t>
  </si>
  <si>
    <t xml:space="preserve">ORD-4209</t>
  </si>
  <si>
    <t xml:space="preserve">PNT-20C x 1 @ 38,000; ROD-12 x 5.5 (Quantity must be a whole number)</t>
  </si>
  <si>
    <t xml:space="preserve">2026-10-27T10:36:21.301125+00:00</t>
  </si>
  <si>
    <t xml:space="preserve">2026-10-27T10:36:21.327092+00:00</t>
  </si>
  <si>
    <t xml:space="preserve">2026-10-27T10:36:21.327968+00:00</t>
  </si>
  <si>
    <t xml:space="preserve">ORD-4210</t>
  </si>
  <si>
    <t xml:space="preserve">NAIL-3 x 4 @ 31,000; ROD-12 x 11 @ 7,200; TIL-6060 x 41 @ 14,500</t>
  </si>
  <si>
    <t xml:space="preserve">2026-10-27T10:36:21.337778+00:00</t>
  </si>
  <si>
    <t xml:space="preserve">2026-10-27T10:36:21.416445+00:00</t>
  </si>
  <si>
    <t xml:space="preserve">2026-10-27T10:36:21.417359+00:00</t>
  </si>
  <si>
    <t xml:space="preserve">ORD-4211</t>
  </si>
  <si>
    <t xml:space="preserve">CEM-50 x 42 @ 9,500; PVC-2 x 2 @ 4,100; ROOF-AL x 53 @ 12,500</t>
  </si>
  <si>
    <t xml:space="preserve">2026-10-27T10:36:21.427692+00:00</t>
  </si>
  <si>
    <t xml:space="preserve">2026-10-27T10:36:21.506189+00:00</t>
  </si>
  <si>
    <t xml:space="preserve">2026-10-27T10:36:21.507119+00:00</t>
  </si>
  <si>
    <t xml:space="preserve">ORD-4212</t>
  </si>
  <si>
    <t xml:space="preserve">PNT-20C x 10 @ 38,000; PNT-20W x 5 @ 38,000</t>
  </si>
  <si>
    <t xml:space="preserve">2026-10-27T10:36:21.517718+00:00</t>
  </si>
  <si>
    <t xml:space="preserve">2026-10-27T10:36:21.560313+00:00</t>
  </si>
  <si>
    <t xml:space="preserve">2026-10-27T10:36:21.561243+00:00</t>
  </si>
  <si>
    <t xml:space="preserve">ORD-4213</t>
  </si>
  <si>
    <t xml:space="preserve">PNT-20W x 28 @ 38,000; WIRE-25 x 3 @ 52,000</t>
  </si>
  <si>
    <t xml:space="preserve">2026-10-27T10:36:21.571666+00:00</t>
  </si>
  <si>
    <t xml:space="preserve">2026-10-27T10:36:21.613468+00:00</t>
  </si>
  <si>
    <t xml:space="preserve">2026-10-27T10:36:21.614376+00:00</t>
  </si>
  <si>
    <t xml:space="preserve">ORD-4214</t>
  </si>
  <si>
    <t xml:space="preserve">PNT-20W x 7 @ 38,000</t>
  </si>
  <si>
    <t xml:space="preserve">2026-10-27T10:36:21.625092+00:00</t>
  </si>
  <si>
    <t xml:space="preserve">2026-10-27T10:36:21.649366+00:00</t>
  </si>
  <si>
    <t xml:space="preserve">2026-10-27T10:36:21.650258+00:00</t>
  </si>
  <si>
    <t xml:space="preserve">ORD-4215</t>
  </si>
  <si>
    <t xml:space="preserve">CEM-50 x 151 @ 9,500</t>
  </si>
  <si>
    <t xml:space="preserve">2026-10-27T10:36:21.660602+00:00</t>
  </si>
  <si>
    <t xml:space="preserve">2026-10-27T10:36:21.704654+00:00</t>
  </si>
  <si>
    <t xml:space="preserve">2026-10-27T10:36:21.705564+00:00</t>
  </si>
  <si>
    <t xml:space="preserve">ORD-4216</t>
  </si>
  <si>
    <t xml:space="preserve">PVC-2 x 2 @ 4,100; ROD-12 x 120 @ 7,200; ROOF-AL x 16 @ 12,500</t>
  </si>
  <si>
    <t xml:space="preserve">2026-10-27T10:36:21.716289+00:00</t>
  </si>
  <si>
    <t xml:space="preserve">2026-10-27T10:36:21.79433+00:00</t>
  </si>
  <si>
    <t xml:space="preserve">2026-10-27T10:36:21.795224+00:00</t>
  </si>
  <si>
    <t xml:space="preserve">ORD-4217</t>
  </si>
  <si>
    <t xml:space="preserve">CEM-50 x 106 @ 9,500</t>
  </si>
  <si>
    <t xml:space="preserve">2026-10-27T10:36:21.805744+00:00</t>
  </si>
  <si>
    <t xml:space="preserve">2026-10-27T10:36:21.848696+00:00</t>
  </si>
  <si>
    <t xml:space="preserve">2026-10-27T10:36:21.850356+00:00</t>
  </si>
  <si>
    <t xml:space="preserve">ORD-4218</t>
  </si>
  <si>
    <t xml:space="preserve">ROD-12 x 119 @ 7,200; TIL-6060 x 54 @ 14,500</t>
  </si>
  <si>
    <t xml:space="preserve">Iron rod, 12 mm: 119 is far above this customer's usual 12.</t>
  </si>
  <si>
    <t xml:space="preserve">2026-10-27T10:36:21.861065+00:00</t>
  </si>
  <si>
    <t xml:space="preserve">2026-10-27T10:36:21.927564+00:00</t>
  </si>
  <si>
    <t xml:space="preserve">2026-10-27T10:36:21.92855+00:00</t>
  </si>
  <si>
    <t xml:space="preserve">ORD-4219</t>
  </si>
  <si>
    <t xml:space="preserve">WIRE-25 x 7 @ 52,000</t>
  </si>
  <si>
    <t xml:space="preserve">2026-10-27T10:36:21.939477+00:00</t>
  </si>
  <si>
    <t xml:space="preserve">2026-10-27T10:36:21.964985+00:00</t>
  </si>
  <si>
    <t xml:space="preserve">2026-10-27T10:36:21.965878+00:00</t>
  </si>
  <si>
    <t xml:space="preserve">ORD-4220</t>
  </si>
  <si>
    <t xml:space="preserve">PVC-4 x 24 @ 8,600</t>
  </si>
  <si>
    <t xml:space="preserve">2026-10-27T10:36:21.976125+00:00</t>
  </si>
  <si>
    <t xml:space="preserve">2026-10-27T10:36:22.002996+00:00</t>
  </si>
  <si>
    <t xml:space="preserve">2026-10-27T10:36:22.00391+00:00</t>
  </si>
  <si>
    <t xml:space="preserve">ORD-4221</t>
  </si>
  <si>
    <t xml:space="preserve">PNT-20W x 11 @ 38,000; PVC-2 x 2 @ 4,100; ROD-16 x 4 @ 11,800</t>
  </si>
  <si>
    <t xml:space="preserve">2026-10-27T10:36:22.014007+00:00</t>
  </si>
  <si>
    <t xml:space="preserve">2026-10-27T10:36:22.078255+00:00</t>
  </si>
  <si>
    <t xml:space="preserve">2026-10-27T10:36:22.079136+00:00</t>
  </si>
  <si>
    <t xml:space="preserve">ORD-4222</t>
  </si>
  <si>
    <t xml:space="preserve">PNT-20W x 13 @ 38,000; SAND-T x 1 @ 185,000</t>
  </si>
  <si>
    <t xml:space="preserve">2026-10-27T10:36:22.088816+00:00</t>
  </si>
  <si>
    <t xml:space="preserve">2026-10-27T10:36:22.118133+00:00</t>
  </si>
  <si>
    <t xml:space="preserve">2026-10-27T10:36:22.119062+00:00</t>
  </si>
  <si>
    <t xml:space="preserve">ORD-4223</t>
  </si>
  <si>
    <t xml:space="preserve">PNT-20W x 9 @ 38,000; PVC-4 x 33 @ 8,600; XX-600 x None (not in the catalogue)</t>
  </si>
  <si>
    <t xml:space="preserve">Row 4: XX-600 - not in the catalogue</t>
  </si>
  <si>
    <t xml:space="preserve">2026-10-27T10:36:22.128707+00:00</t>
  </si>
  <si>
    <t xml:space="preserve">2026-10-27T10:36:22.173073+00:00</t>
  </si>
  <si>
    <t xml:space="preserve">2026-10-27T10:36:22.174043+00:00</t>
  </si>
  <si>
    <t xml:space="preserve">ORD-4224</t>
  </si>
  <si>
    <t xml:space="preserve">PNT-20W x 22 @ 38,000; TIL-6060 x 35 @ 14,500</t>
  </si>
  <si>
    <t xml:space="preserve">2026-10-27T10:36:22.183142+00:00</t>
  </si>
  <si>
    <t xml:space="preserve">2026-10-27T10:36:22.228451+00:00</t>
  </si>
  <si>
    <t xml:space="preserve">2026-10-27T10:36:22.229412+00:00</t>
  </si>
  <si>
    <t xml:space="preserve">ORD-4225</t>
  </si>
  <si>
    <t xml:space="preserve">NAIL-3 x 12 @ 31,000</t>
  </si>
  <si>
    <t xml:space="preserve">2026-10-27T10:36:22.23996+00:00</t>
  </si>
  <si>
    <t xml:space="preserve">2026-10-27T10:36:22.265309+00:00</t>
  </si>
  <si>
    <t xml:space="preserve">2026-10-27T10:36:22.266214+00:00</t>
  </si>
  <si>
    <t xml:space="preserve">ORD-4226</t>
  </si>
  <si>
    <t xml:space="preserve">2026-10-27T10:36:22.276604+00:00</t>
  </si>
  <si>
    <t xml:space="preserve">2026-10-27T10:36:22.304947+00:00</t>
  </si>
  <si>
    <t xml:space="preserve">2026-10-27T10:36:22.305867+00:00</t>
  </si>
  <si>
    <t xml:space="preserve">ORD-4227</t>
  </si>
  <si>
    <t xml:space="preserve">2026-10-27T10:36:22.315954+00:00</t>
  </si>
  <si>
    <t xml:space="preserve">2026-10-27T10:36:22.364036+00:00</t>
  </si>
  <si>
    <t xml:space="preserve">2026-10-27T10:36:22.365009+00:00</t>
  </si>
  <si>
    <t xml:space="preserve">ORD-4228</t>
  </si>
  <si>
    <t xml:space="preserve">ROD-16 x 59 @ 11,800; ROOF-AL x 20 @ 12,500</t>
  </si>
  <si>
    <t xml:space="preserve">2026-10-27T10:36:22.375824+00:00</t>
  </si>
  <si>
    <t xml:space="preserve">2026-10-27T10:36:22.420362+00:00</t>
  </si>
  <si>
    <t xml:space="preserve">2026-10-27T10:36:22.42129+00:00</t>
  </si>
  <si>
    <t xml:space="preserve">ORD-4229</t>
  </si>
  <si>
    <t xml:space="preserve">ROD-12 x 94 @ 7,200; TIL-6060 x 16 @ 14,500; WIRE-25 x 15 @ 52,000</t>
  </si>
  <si>
    <t xml:space="preserve">Iron rod, 12 mm: 94 is far above this customer's usual 28.</t>
  </si>
  <si>
    <t xml:space="preserve">2026-10-27T10:36:22.431805+00:00</t>
  </si>
  <si>
    <t xml:space="preserve">2026-10-27T10:36:22.514616+00:00</t>
  </si>
  <si>
    <t xml:space="preserve">2026-10-27T10:36:22.515679+00:00</t>
  </si>
  <si>
    <t xml:space="preserve">ORD-4230</t>
  </si>
  <si>
    <t xml:space="preserve">CEM-50 x 117 @ 9,500; ROOF-AL x 52 @ 12,500</t>
  </si>
  <si>
    <t xml:space="preserve">Cement, 50 kg bag: 117 is far above this customer's usual 38.</t>
  </si>
  <si>
    <t xml:space="preserve">2026-10-27T10:36:22.525935+00:00</t>
  </si>
  <si>
    <t xml:space="preserve">2026-10-27T10:36:22.587441+00:00</t>
  </si>
  <si>
    <t xml:space="preserve">2026-10-27T10:36:22.588367+00:00</t>
  </si>
  <si>
    <t xml:space="preserve">ORD-4231</t>
  </si>
  <si>
    <t xml:space="preserve">PNT-20W x 5 @ 38,000; PVC-4 x 7 @ 8,600; WIRE-25 x 4 @ 52,000</t>
  </si>
  <si>
    <t xml:space="preserve">2026-10-27T10:36:22.599085+00:00</t>
  </si>
  <si>
    <t xml:space="preserve">2026-10-27T10:36:22.664342+00:00</t>
  </si>
  <si>
    <t xml:space="preserve">2026-10-27T10:36:22.665282+00:00</t>
  </si>
  <si>
    <t xml:space="preserve">ORD-4232</t>
  </si>
  <si>
    <t xml:space="preserve">2026-10-27T10:36:22.675963+00:00</t>
  </si>
  <si>
    <t xml:space="preserve">2026-10-27T10:36:22.724531+00:00</t>
  </si>
  <si>
    <t xml:space="preserve">2026-10-27T10:36:22.725458+00:00</t>
  </si>
  <si>
    <t xml:space="preserve">ORD-4233</t>
  </si>
  <si>
    <t xml:space="preserve">ROD-12 x 128 @ 7,200</t>
  </si>
  <si>
    <t xml:space="preserve">2026-10-27T10:36:22.735745+00:00</t>
  </si>
  <si>
    <t xml:space="preserve">2026-10-27T10:36:22.779932+00:00</t>
  </si>
  <si>
    <t xml:space="preserve">2026-10-27T10:36:22.780884+00:00</t>
  </si>
  <si>
    <t xml:space="preserve">ORD-4234</t>
  </si>
  <si>
    <t xml:space="preserve">NAIL-3 x 7 @ 31,000; PNT-20W x 24 @ 38,000; ROD-12 x 118 @ 7,200</t>
  </si>
  <si>
    <t xml:space="preserve">Iron rod, 12 mm: 118 is far above this customer's usual 13.</t>
  </si>
  <si>
    <t xml:space="preserve">2026-10-27T10:36:22.790867+00:00</t>
  </si>
  <si>
    <t xml:space="preserve">2026-10-27T10:36:22.873426+00:00</t>
  </si>
  <si>
    <t xml:space="preserve">2026-10-27T10:36:22.874377+00:00</t>
  </si>
  <si>
    <t xml:space="preserve">ORD-4235</t>
  </si>
  <si>
    <t xml:space="preserve">CEM-50 x 128 @ 9,500; ROOF-AL x 40 @ 12,500</t>
  </si>
  <si>
    <t xml:space="preserve">Choose a delivery address. | Cement, 50 kg bag: 128 is far above this customer's usual 35.</t>
  </si>
  <si>
    <t xml:space="preserve">2026-10-27T10:36:22.885093+00:00</t>
  </si>
  <si>
    <t xml:space="preserve">2026-10-27T10:36:22.948658+00:00</t>
  </si>
  <si>
    <t xml:space="preserve">2026-10-27T10:36:22.949596+00:00</t>
  </si>
  <si>
    <t xml:space="preserve">ORD-4236</t>
  </si>
  <si>
    <t xml:space="preserve">2026-10-27T10:36:22.959011+00:00</t>
  </si>
  <si>
    <t xml:space="preserve">2026-10-27T10:36:23.007689+00:00</t>
  </si>
  <si>
    <t xml:space="preserve">2026-10-27T10:36:23.008724+00:00</t>
  </si>
  <si>
    <t xml:space="preserve">ORD-4237</t>
  </si>
  <si>
    <t xml:space="preserve">ROOF-AL x 43 @ 12,500; WIRE-25 x 12 @ 52,000</t>
  </si>
  <si>
    <t xml:space="preserve">2026-10-27T10:36:23.019839+00:00</t>
  </si>
  <si>
    <t xml:space="preserve">2026-10-27T10:36:23.064547+00:00</t>
  </si>
  <si>
    <t xml:space="preserve">2026-10-27T10:36:23.065486+00:00</t>
  </si>
  <si>
    <t xml:space="preserve">ORD-4238</t>
  </si>
  <si>
    <t xml:space="preserve">PVC-4 x 251 @ 8,600; WIRE-25 x 4 @ 52,000</t>
  </si>
  <si>
    <t xml:space="preserve">2026-10-27T10:36:23.076456+00:00</t>
  </si>
  <si>
    <t xml:space="preserve">2026-10-27T10:36:23.124251+00:00</t>
  </si>
  <si>
    <t xml:space="preserve">2026-10-27T10:36:23.125193+00:00</t>
  </si>
  <si>
    <t xml:space="preserve">ORD-4239</t>
  </si>
  <si>
    <t xml:space="preserve">CEM-50 x 124 @ 9,500</t>
  </si>
  <si>
    <t xml:space="preserve">2026-10-27T10:36:23.13473+00:00</t>
  </si>
  <si>
    <t xml:space="preserve">2026-10-27T10:36:23.180759+00:00</t>
  </si>
  <si>
    <t xml:space="preserve">2026-10-27T10:36:23.181711+00:00</t>
  </si>
  <si>
    <t xml:space="preserve">ORD-4240</t>
  </si>
  <si>
    <t xml:space="preserve">PNT-20W x 12 @ 38,000; PVC-4 x 1 @ 8,600; WIRE-25 x 7 @ 52,000</t>
  </si>
  <si>
    <t xml:space="preserve">2026-10-27T10:36:23.192685+00:00</t>
  </si>
  <si>
    <t xml:space="preserve">2026-10-27T10:36:23.261346+00:00</t>
  </si>
  <si>
    <t xml:space="preserve">2026-10-27T10:36:23.26226+00:00</t>
  </si>
  <si>
    <t xml:space="preserve">ORD-4241</t>
  </si>
  <si>
    <t xml:space="preserve">CEM-50 x 116 @ 9,500; PNT-20C x 9 @ 38,000; PVC-4 x 251 @ 8,600; ROD-12 x 132 @ 7,200</t>
  </si>
  <si>
    <t xml:space="preserve">2026-10-27T10:36:23.273992+00:00</t>
  </si>
  <si>
    <t xml:space="preserve">2026-10-27T10:36:23.399626+00:00</t>
  </si>
  <si>
    <t xml:space="preserve">2026-10-27T10:36:23.400591+00:00</t>
  </si>
  <si>
    <t xml:space="preserve">ORD-4242</t>
  </si>
  <si>
    <t xml:space="preserve">ROD-16 x 45 @ 11,800</t>
  </si>
  <si>
    <t xml:space="preserve">2026-10-27T10:36:23.410132+00:00</t>
  </si>
  <si>
    <t xml:space="preserve">2026-10-27T10:36:23.437884+00:00</t>
  </si>
  <si>
    <t xml:space="preserve">2026-10-27T10:36:23.438826+00:00</t>
  </si>
  <si>
    <t xml:space="preserve">ORD-4243</t>
  </si>
  <si>
    <t xml:space="preserve">CEM-50 x 125 @ 9,500; ROD-12 x 4 @ 7,200; ROD-16 x 47 @ 11,800</t>
  </si>
  <si>
    <t xml:space="preserve">Iron rod, 12 mm: quantity must be between 5 and 1500. | Cement, 50 kg bag: 125 is far above this customer's usual 23.</t>
  </si>
  <si>
    <t xml:space="preserve">2026-10-27T10:36:23.449942+00:00</t>
  </si>
  <si>
    <t xml:space="preserve">2026-10-27T10:36:23.556618+00:00</t>
  </si>
  <si>
    <t xml:space="preserve">2026-10-27T10:36:23.557627+00:00</t>
  </si>
  <si>
    <t xml:space="preserve">ORD-4244</t>
  </si>
  <si>
    <t xml:space="preserve">CEM-50 x 92 @ 9,500; PVC-2 x 2 @ 4,100; ROD-16 x 24 @ 11,800</t>
  </si>
  <si>
    <t xml:space="preserve">PVC pipe, 2 inch, 6 m: price changed from 4100.00 to 4300.00. Save the order again to update it.</t>
  </si>
  <si>
    <t xml:space="preserve">2026-10-27T10:36:23.567693+00:00</t>
  </si>
  <si>
    <t xml:space="preserve">2026-10-27T10:36:23.659644+00:00</t>
  </si>
  <si>
    <t xml:space="preserve">2026-10-27T10:36:23.660646+00:00</t>
  </si>
  <si>
    <t xml:space="preserve">ORD-4245</t>
  </si>
  <si>
    <t xml:space="preserve">PNT-20C x 10 @ 38,000; ROD-12 x 34 @ 7,200; TIL-6060 x 13 @ 14,500</t>
  </si>
  <si>
    <t xml:space="preserve">2026-10-27T10:36:23.671344+00:00</t>
  </si>
  <si>
    <t xml:space="preserve">2026-10-27T10:36:23.760176+00:00</t>
  </si>
  <si>
    <t xml:space="preserve">2026-10-27T10:36:23.76115+00:00</t>
  </si>
  <si>
    <t xml:space="preserve">ORD-4246</t>
  </si>
  <si>
    <t xml:space="preserve">CEM-50 x 120 @ 9,500; PNT-20C x 9 @ 38,000; PNT-20W x 17 @ 38,000; TIL-6060 x 376 @ 14,500</t>
  </si>
  <si>
    <t xml:space="preserve">Floor tile 60x60, carton: not enough stock for this quantity. Reduce it. | Cement, 50 kg bag: 120 is far above this customer's usual 35.</t>
  </si>
  <si>
    <t xml:space="preserve">2026-10-27T10:36:23.771526+00:00</t>
  </si>
  <si>
    <t xml:space="preserve">2026-10-27T10:36:23.881816+00:00</t>
  </si>
  <si>
    <t xml:space="preserve">2026-10-27T10:36:23.882874+00:00</t>
  </si>
  <si>
    <t xml:space="preserve">ORD-4247</t>
  </si>
  <si>
    <t xml:space="preserve">CEM-50 x 164 @ 9,500</t>
  </si>
  <si>
    <t xml:space="preserve">2026-10-27T10:36:23.893437+00:00</t>
  </si>
  <si>
    <t xml:space="preserve">2026-10-27T10:36:23.940719+00:00</t>
  </si>
  <si>
    <t xml:space="preserve">2026-10-27T10:36:23.941761+00:00</t>
  </si>
  <si>
    <t xml:space="preserve">ORD-4248</t>
  </si>
  <si>
    <t xml:space="preserve">ROD-12 x 54 @ 7,200; ROD-16 x 45 @ 11,800</t>
  </si>
  <si>
    <t xml:space="preserve">2026-10-27T10:36:23.952285+00:00</t>
  </si>
  <si>
    <t xml:space="preserve">2026-10-27T10:36:24.021044+00:00</t>
  </si>
  <si>
    <t xml:space="preserve">2026-10-27T10:36:24.021978+00:00</t>
  </si>
  <si>
    <t xml:space="preserve">ORD-4249</t>
  </si>
  <si>
    <t xml:space="preserve">PNT-20C x 7 @ 38,000; ROD-16 x 301 @ 11,800; ROOF-AL x 48 @ 12,500; WIRE-25 x 9 @ 52,000</t>
  </si>
  <si>
    <t xml:space="preserve">Iron rod, 16 mm: not enough stock for this quantity. Reduce it. | Iron rod, 16 mm: 301 is far above this customer's usual 31.</t>
  </si>
  <si>
    <t xml:space="preserve">2026-10-27T10:36:24.033348+00:00</t>
  </si>
  <si>
    <t xml:space="preserve">2026-10-27T10:36:24.125396+00:00</t>
  </si>
  <si>
    <t xml:space="preserve">2026-10-27T10:36:24.126438+00:00</t>
  </si>
  <si>
    <t xml:space="preserve">ORD-4250</t>
  </si>
  <si>
    <t xml:space="preserve">ROD-16 x 23 @ 11,800</t>
  </si>
  <si>
    <t xml:space="preserve">2026-10-27T10:36:24.136526+00:00</t>
  </si>
  <si>
    <t xml:space="preserve">2026-10-27T10:36:24.167218+00:00</t>
  </si>
  <si>
    <t xml:space="preserve">2026-10-27T10:36:24.168147+00:00</t>
  </si>
  <si>
    <t xml:space="preserve">ORD-4251</t>
  </si>
  <si>
    <t xml:space="preserve">PNT-20W x 1 @ 38,000; ROD-16 x 64 @ 11,800; WIRE-25 x 12 @ 52,000</t>
  </si>
  <si>
    <t xml:space="preserve">2026-10-27T10:36:24.177984+00:00</t>
  </si>
  <si>
    <t xml:space="preserve">2026-10-27T10:36:24.249477+00:00</t>
  </si>
  <si>
    <t xml:space="preserve">2026-10-27T10:36:24.250415+00:00</t>
  </si>
  <si>
    <t xml:space="preserve">ORD-4252</t>
  </si>
  <si>
    <t xml:space="preserve">CEM-50 x 119 @ 9,500; ROD-16 x 21 @ 11,800; ROOF-AL x 59 @ 12,500</t>
  </si>
  <si>
    <t xml:space="preserve">2026-10-27T10:36:24.261687+00:00</t>
  </si>
  <si>
    <t xml:space="preserve">2026-10-27T10:36:24.351946+00:00</t>
  </si>
  <si>
    <t xml:space="preserve">2026-10-27T10:36:24.353808+00:00</t>
  </si>
  <si>
    <t xml:space="preserve">ORD-4253</t>
  </si>
  <si>
    <t xml:space="preserve">ROD-12 x 13 @ 7,200; TIL-6060 x 16 @ 14,500</t>
  </si>
  <si>
    <t xml:space="preserve">2026-10-27T10:36:24.36462+00:00</t>
  </si>
  <si>
    <t xml:space="preserve">2026-10-27T10:36:24.435135+00:00</t>
  </si>
  <si>
    <t xml:space="preserve">2026-10-27T10:36:24.436069+00:00</t>
  </si>
  <si>
    <t xml:space="preserve">ORD-4254</t>
  </si>
  <si>
    <t xml:space="preserve">This looks like a repeat of ORD-4253. Confirm it is a new order.</t>
  </si>
  <si>
    <t xml:space="preserve">2026-10-27T10:36:24.446704+00:00</t>
  </si>
  <si>
    <t xml:space="preserve">ORD-4255</t>
  </si>
  <si>
    <t xml:space="preserve">CEM-50 x 188 @ 9,500; ROD-12 x 102 @ 7,200; ROD-16 x 54 @ 11,800</t>
  </si>
  <si>
    <t xml:space="preserve">Iron rod, 12 mm: 102 is far above this customer's usual 28.</t>
  </si>
  <si>
    <t xml:space="preserve">2026-10-27T10:36:24.527681+00:00</t>
  </si>
  <si>
    <t xml:space="preserve">2026-10-27T10:36:24.64213+00:00</t>
  </si>
  <si>
    <t xml:space="preserve">2026-10-27T10:36:24.643105+00:00</t>
  </si>
  <si>
    <t xml:space="preserve">ORD-4256</t>
  </si>
  <si>
    <t xml:space="preserve">NAIL-3 x 10 @ 31,000; ROOF-AL x 24 @ 12,500; TIL-6060 x 55 @ 14,500</t>
  </si>
  <si>
    <t xml:space="preserve">2026-10-27T10:36:24.65417+00:00</t>
  </si>
  <si>
    <t xml:space="preserve">2026-10-27T10:36:24.723718+00:00</t>
  </si>
  <si>
    <t xml:space="preserve">2026-10-27T10:36:24.724683+00:00</t>
  </si>
  <si>
    <t xml:space="preserve">ORD-4257</t>
  </si>
  <si>
    <t xml:space="preserve">PNT-20W x 12 @ 38,000; ROD-12 x 73 @ 7,200; ROOF-AL x 60 @ 12,500</t>
  </si>
  <si>
    <t xml:space="preserve">2026-10-27T10:36:24.734693+00:00</t>
  </si>
  <si>
    <t xml:space="preserve">2026-10-27T10:36:24.82392+00:00</t>
  </si>
  <si>
    <t xml:space="preserve">2026-10-27T10:36:24.824893+00:00</t>
  </si>
  <si>
    <t xml:space="preserve">ORD-4258</t>
  </si>
  <si>
    <t xml:space="preserve">NAIL-3 x 11 @ 31,000; ROD-16 x 49 @ 11,800; SAND-T x 1 @ 185,000; WIRE-25 x 4 @ 52,000</t>
  </si>
  <si>
    <t xml:space="preserve">2026-10-27T10:36:24.836226+00:00</t>
  </si>
  <si>
    <t xml:space="preserve">2026-10-27T10:36:24.914118+00:00</t>
  </si>
  <si>
    <t xml:space="preserve">2026-10-27T10:36:24.915059+00:00</t>
  </si>
  <si>
    <t xml:space="preserve">ORD-4259</t>
  </si>
  <si>
    <t xml:space="preserve">PVC-4 x 36 @ 8,600</t>
  </si>
  <si>
    <t xml:space="preserve">2026-10-27T10:36:24.925352+00:00</t>
  </si>
  <si>
    <t xml:space="preserve">2026-10-27T10:36:24.955468+00:00</t>
  </si>
  <si>
    <t xml:space="preserve">2026-10-27T10:36:24.956382+00:00</t>
  </si>
  <si>
    <t xml:space="preserve">ORD-4260</t>
  </si>
  <si>
    <t xml:space="preserve">PVC-4 x 18 @ 8,600</t>
  </si>
  <si>
    <t xml:space="preserve">2026-10-27T10:36:24.966395+00:00</t>
  </si>
  <si>
    <t xml:space="preserve">2026-10-27T10:36:24.996245+00:00</t>
  </si>
  <si>
    <t xml:space="preserve">2026-10-27T10:36:24.997188+00:00</t>
  </si>
  <si>
    <t xml:space="preserve">ORD-4261</t>
  </si>
  <si>
    <t xml:space="preserve">PNT-20C x 2 @ 38,000; WIRE-25 x 3 @ 52,000</t>
  </si>
  <si>
    <t xml:space="preserve">2026-10-27T10:36:25.008637+00:00</t>
  </si>
  <si>
    <t xml:space="preserve">2026-10-27T10:36:25.062387+00:00</t>
  </si>
  <si>
    <t xml:space="preserve">2026-10-27T10:36:25.06338+00:00</t>
  </si>
  <si>
    <t xml:space="preserve">ORD-4262</t>
  </si>
  <si>
    <t xml:space="preserve">ROD-12 x 100 @ 7,200; ROOF-AL x 75 @ 12,500; SAND-T x 1 @ 185,000</t>
  </si>
  <si>
    <t xml:space="preserve">2026-10-27T10:36:25.073974+00:00</t>
  </si>
  <si>
    <t xml:space="preserve">2026-10-27T10:36:25.150004+00:00</t>
  </si>
  <si>
    <t xml:space="preserve">2026-10-27T10:36:25.150946+00:00</t>
  </si>
  <si>
    <t xml:space="preserve">ORD-4263</t>
  </si>
  <si>
    <t xml:space="preserve">NAIL-3 x 4 @ 31,000; ROD-16 x 48 @ 11,800</t>
  </si>
  <si>
    <t xml:space="preserve">2026-10-27T10:36:25.161045+00:00</t>
  </si>
  <si>
    <t xml:space="preserve">2026-10-27T10:36:25.212282+00:00</t>
  </si>
  <si>
    <t xml:space="preserve">2026-10-27T10:36:25.213261+00:00</t>
  </si>
  <si>
    <t xml:space="preserve">ORD-4264</t>
  </si>
  <si>
    <t xml:space="preserve">This looks like a repeat of ORD-4263. Confirm it is a new order.</t>
  </si>
  <si>
    <t xml:space="preserve">2026-10-27T10:36:25.224935+00:00</t>
  </si>
  <si>
    <t xml:space="preserve">ORD-4265</t>
  </si>
  <si>
    <t xml:space="preserve">CEM-50 x 170 @ 9,500; PNT-20C x 4 @ 38,000</t>
  </si>
  <si>
    <t xml:space="preserve">2026-10-27T10:36:25.286452+00:00</t>
  </si>
  <si>
    <t xml:space="preserve">2026-10-27T10:36:25.358175+00:00</t>
  </si>
  <si>
    <t xml:space="preserve">2026-10-27T10:36:25.359127+00:00</t>
  </si>
  <si>
    <t xml:space="preserve">ORD-4266</t>
  </si>
  <si>
    <t xml:space="preserve">PNT-20W x 5 @ 38,000; ROOF-AL x 39 @ 12,500; WIRE-25 x 6 @ 52,000</t>
  </si>
  <si>
    <t xml:space="preserve">2026-10-27T10:36:25.36998+00:00</t>
  </si>
  <si>
    <t xml:space="preserve">2026-10-27T10:36:25.442306+00:00</t>
  </si>
  <si>
    <t xml:space="preserve">2026-10-27T10:36:25.443327+00:00</t>
  </si>
  <si>
    <t xml:space="preserve">ORD-4267</t>
  </si>
  <si>
    <t xml:space="preserve">CEM-50 x 113 @ 9,500; PVC-2 x 2 @ 4,100</t>
  </si>
  <si>
    <t xml:space="preserve">2026-10-27T10:36:25.457453+00:00</t>
  </si>
  <si>
    <t xml:space="preserve">2026-10-27T10:36:25.532279+00:00</t>
  </si>
  <si>
    <t xml:space="preserve">2026-10-27T10:36:25.533285+00:00</t>
  </si>
  <si>
    <t xml:space="preserve">ORD-4268</t>
  </si>
  <si>
    <t xml:space="preserve">PNT-20C x 2 @ 38,000; WIRE-25 x 13 @ 52,000</t>
  </si>
  <si>
    <t xml:space="preserve">2026-10-27T10:36:25.544678+00:00</t>
  </si>
  <si>
    <t xml:space="preserve">2026-10-27T10:36:25.598289+00:00</t>
  </si>
  <si>
    <t xml:space="preserve">2026-10-27T10:36:25.599251+00:00</t>
  </si>
  <si>
    <t xml:space="preserve">ORD-4269</t>
  </si>
  <si>
    <t xml:space="preserve">CEM-50 x 94 @ 9,500; NAIL-3 x 1 @ 31,000</t>
  </si>
  <si>
    <t xml:space="preserve">2026-10-27T10:36:25.610278+00:00</t>
  </si>
  <si>
    <t xml:space="preserve">2026-10-27T10:36:25.682293+00:00</t>
  </si>
  <si>
    <t xml:space="preserve">2026-10-27T10:36:25.683289+00:00</t>
  </si>
  <si>
    <t xml:space="preserve">ORD-4270</t>
  </si>
  <si>
    <t xml:space="preserve">NAIL-3 x 5 @ 31,000; ROD-16 x 4 @ 11,800</t>
  </si>
  <si>
    <t xml:space="preserve">2026-10-27T10:36:25.69512+00:00</t>
  </si>
  <si>
    <t xml:space="preserve">2026-10-27T10:36:25.749643+00:00</t>
  </si>
  <si>
    <t xml:space="preserve">2026-10-27T10:36:25.750606+00:00</t>
  </si>
  <si>
    <t xml:space="preserve">ORD-4271</t>
  </si>
  <si>
    <t xml:space="preserve">NAIL-3 x 10 @ 31,000; ROD-16 x 39 @ 11,800</t>
  </si>
  <si>
    <t xml:space="preserve">2026-10-27T10:36:25.761221+00:00</t>
  </si>
  <si>
    <t xml:space="preserve">2026-10-27T10:36:25.815841+00:00</t>
  </si>
  <si>
    <t xml:space="preserve">2026-10-27T10:36:25.816828+00:00</t>
  </si>
  <si>
    <t xml:space="preserve">ORD-4272</t>
  </si>
  <si>
    <t xml:space="preserve">PVC-2 x 2 @ 4,100; PVC-4 x 1 @ 8,600; ROD-12 x 43 @ 7,200; WIRE-25 x 4 @ 52,000</t>
  </si>
  <si>
    <t xml:space="preserve">2026-10-27T10:36:25.828226+00:00</t>
  </si>
  <si>
    <t xml:space="preserve">2026-10-27T10:36:25.949487+00:00</t>
  </si>
  <si>
    <t xml:space="preserve">2026-10-27T10:36:25.950448+00:00</t>
  </si>
  <si>
    <t xml:space="preserve">ORD-4273</t>
  </si>
  <si>
    <t xml:space="preserve">TIL-6060 x 6 @ 14,500</t>
  </si>
  <si>
    <t xml:space="preserve">2026-10-27T10:36:25.961315+00:00</t>
  </si>
  <si>
    <t xml:space="preserve">2026-10-27T10:36:25.993468+00:00</t>
  </si>
  <si>
    <t xml:space="preserve">2026-10-27T10:36:25.994452+00:00</t>
  </si>
  <si>
    <t xml:space="preserve">ORD-4274</t>
  </si>
  <si>
    <t xml:space="preserve">PNT-20W x 17 @ 38,000; PVC-4 x 54 @ 8,600</t>
  </si>
  <si>
    <t xml:space="preserve">PVC pipe, 4 inch, 6 m: price changed from 8600.00 to 9000.00. Save the order again to update it.</t>
  </si>
  <si>
    <t xml:space="preserve">2026-10-27T10:36:26.006014+00:00</t>
  </si>
  <si>
    <t xml:space="preserve">2026-10-27T10:36:26.059159+00:00</t>
  </si>
  <si>
    <t xml:space="preserve">2026-10-27T10:36:26.060133+00:00</t>
  </si>
  <si>
    <t xml:space="preserve">ORD-4275</t>
  </si>
  <si>
    <t xml:space="preserve">CEM-50 x 138 @ 9,500; PVC-4 x 511 @ 8,600; WIRE-25 x 1 @ 52,000</t>
  </si>
  <si>
    <t xml:space="preserve">PVC pipe, 4 inch, 6 m: quantity must be between 2 and 500. | PVC pipe, 4 inch, 6 m: not enough stock for this quantity. Reduce it. | PVC pipe, 4 inch, 6 m: 511 is far above this customer's usual 37.</t>
  </si>
  <si>
    <t xml:space="preserve">2026-10-27T10:36:26.07078+00:00</t>
  </si>
  <si>
    <t xml:space="preserve">2026-10-27T10:36:26.170666+00:00</t>
  </si>
  <si>
    <t xml:space="preserve">2026-10-27T10:36:26.171647+00:00</t>
  </si>
  <si>
    <t xml:space="preserve">ORD-4276</t>
  </si>
  <si>
    <t xml:space="preserve">NAIL-3 x 4 @ 31,000; PVC-4 x 52 @ 8,600</t>
  </si>
  <si>
    <t xml:space="preserve">2026-10-27T10:36:26.182537+00:00</t>
  </si>
  <si>
    <t xml:space="preserve">2026-10-27T10:36:26.23713+00:00</t>
  </si>
  <si>
    <t xml:space="preserve">2026-10-27T10:36:26.238085+00:00</t>
  </si>
  <si>
    <t xml:space="preserve">ORD-4277</t>
  </si>
  <si>
    <t xml:space="preserve">NAIL-3 x 12 @ 31,000; SAND-T x 1 @ 185,000</t>
  </si>
  <si>
    <t xml:space="preserve">2026-10-27T10:36:26.249607+00:00</t>
  </si>
  <si>
    <t xml:space="preserve">2026-10-27T10:36:26.287138+00:00</t>
  </si>
  <si>
    <t xml:space="preserve">2026-10-27T10:36:26.288103+00:00</t>
  </si>
  <si>
    <t xml:space="preserve">ORD-4278</t>
  </si>
  <si>
    <t xml:space="preserve">2026-10-27T10:36:26.2985+00:00</t>
  </si>
  <si>
    <t xml:space="preserve">2026-10-27T10:36:26.330562+00:00</t>
  </si>
  <si>
    <t xml:space="preserve">2026-10-27T10:36:26.331533+00:00</t>
  </si>
  <si>
    <t xml:space="preserve">ORD-4279</t>
  </si>
  <si>
    <t xml:space="preserve">PVC-2 x 2 @ 4,100; ROD-12 x 23 @ 7,200; ROOF-AL x 70 @ 12,500</t>
  </si>
  <si>
    <t xml:space="preserve">2026-10-27T10:36:26.343341+00:00</t>
  </si>
  <si>
    <t xml:space="preserve">2026-10-27T10:36:26.438321+00:00</t>
  </si>
  <si>
    <t xml:space="preserve">2026-10-27T10:36:26.439332+00:00</t>
  </si>
  <si>
    <t xml:space="preserve">ORD-4280</t>
  </si>
  <si>
    <t xml:space="preserve">PNT-20C x 4 @ 38,000; XX-298 x None (not in the catalogue)</t>
  </si>
  <si>
    <t xml:space="preserve">Row 3: XX-298 - not in the catalogue</t>
  </si>
  <si>
    <t xml:space="preserve">2026-10-27T10:36:26.450784+00:00</t>
  </si>
  <si>
    <t xml:space="preserve">2026-10-27T10:36:26.481379+00:00</t>
  </si>
  <si>
    <t xml:space="preserve">2026-10-27T10:36:26.482402+00:00</t>
  </si>
  <si>
    <t xml:space="preserve">ORD-4281</t>
  </si>
  <si>
    <t xml:space="preserve">PNT-20C x 2 @ 38,000; TIL-6060 x 26 @ 14,500</t>
  </si>
  <si>
    <t xml:space="preserve">2026-10-27T10:36:26.492833+00:00</t>
  </si>
  <si>
    <t xml:space="preserve">2026-10-27T10:36:26.5488+00:00</t>
  </si>
  <si>
    <t xml:space="preserve">2026-10-27T10:36:26.549815+00:00</t>
  </si>
  <si>
    <t xml:space="preserve">Replicate 1 (database run 5, seed 0.42). Every figure below is a formula over the R1 Orders sheet.</t>
  </si>
  <si>
    <t xml:space="preserve">A. Outcome of each group</t>
  </si>
  <si>
    <t xml:space="preserve">Group</t>
  </si>
  <si>
    <t xml:space="preserve">Clean orders</t>
  </si>
  <si>
    <t xml:space="preserve">Errors with a rule</t>
  </si>
  <si>
    <t xml:space="preserve">Errors without a rule</t>
  </si>
  <si>
    <t xml:space="preserve">B. Primary measure: all 300 erroneous orders against the 200 clean orders</t>
  </si>
  <si>
    <t xml:space="preserve">Measure</t>
  </si>
  <si>
    <t xml:space="preserve">Value</t>
  </si>
  <si>
    <t xml:space="preserve">95% CI low</t>
  </si>
  <si>
    <t xml:space="preserve">95% CI high</t>
  </si>
  <si>
    <t xml:space="preserve">Definition</t>
  </si>
  <si>
    <t xml:space="preserve">TP / (TP+FP)</t>
  </si>
  <si>
    <t xml:space="preserve">TP / (TP+FN)</t>
  </si>
  <si>
    <t xml:space="preserve">TN / (TN+FP)</t>
  </si>
  <si>
    <t xml:space="preserve">False-alarm rate</t>
  </si>
  <si>
    <t xml:space="preserve">FP / (FP+TN)</t>
  </si>
  <si>
    <t xml:space="preserve">Harmonic mean of precision and recall. No Wilson interval, F1 is not a single proportion.</t>
  </si>
  <si>
    <t xml:space="preserve">C. Secondary measure: the 240 rule-targeted erroneous orders against the 200 clean orders</t>
  </si>
  <si>
    <t xml:space="preserve">D. Detection by planted error type</t>
  </si>
  <si>
    <t xml:space="preserve">Caught by expected rule</t>
  </si>
  <si>
    <t xml:space="preserve">For the clean row the detection rate is the false-alarm rate.</t>
  </si>
  <si>
    <t xml:space="preserve">E. Rule activity and false alarms</t>
  </si>
  <si>
    <t xml:space="preserve">Rule</t>
  </si>
  <si>
    <t xml:space="preserve">False alarms per clean order</t>
  </si>
  <si>
    <t xml:space="preserve">SKU and product active</t>
  </si>
  <si>
    <t xml:space="preserve">Customer status</t>
  </si>
  <si>
    <t xml:space="preserve">Pricing</t>
  </si>
  <si>
    <t xml:space="preserve">Delivery date and address</t>
  </si>
  <si>
    <t xml:space="preserve">F. Validation time (ms), clock time of submit_order inside the database</t>
  </si>
  <si>
    <t xml:space="preserve">Sample SD (STDEV.S)</t>
  </si>
  <si>
    <t xml:space="preserve">95th percentile (PERCENTILE.INC)</t>
  </si>
  <si>
    <t xml:space="preserve">Mean of orders 1-100, 101-200, 201-300, 301-400, 401-500</t>
  </si>
  <si>
    <t xml:space="preserve">G. Mandatory-field completion among orders reaching approval (status pending_approval)</t>
  </si>
  <si>
    <t xml:space="preserve">Orders reaching approval</t>
  </si>
  <si>
    <t xml:space="preserve">With address, region, delivery date and at least one line</t>
  </si>
  <si>
    <t xml:space="preserve">Completion</t>
  </si>
  <si>
    <t xml:space="preserve">ORD-4362</t>
  </si>
  <si>
    <t xml:space="preserve">CEM-50 x 29 @ 9,500; PVC-2 x 2 @ 4,100; ROD-16 x 72 @ 11,800; SAND-T x 1 @ 185,000</t>
  </si>
  <si>
    <t xml:space="preserve">2026-10-27T10:39:46.855014+00:00</t>
  </si>
  <si>
    <t xml:space="preserve">2026-10-27T10:39:46.861263+00:00</t>
  </si>
  <si>
    <t xml:space="preserve">2026-10-27T10:39:46.861691+00:00</t>
  </si>
  <si>
    <t xml:space="preserve">ORD-4363</t>
  </si>
  <si>
    <t xml:space="preserve">PVC-2 x 2 @ 4,100; SAND-T x 1 @ 185,000; WIRE-25 x 4 @ 52,000</t>
  </si>
  <si>
    <t xml:space="preserve">2026-10-27T10:39:46.864959+00:00</t>
  </si>
  <si>
    <t xml:space="preserve">2026-10-27T10:39:46.867956+00:00</t>
  </si>
  <si>
    <t xml:space="preserve">2026-10-27T10:39:46.868382+00:00</t>
  </si>
  <si>
    <t xml:space="preserve">ORD-4364</t>
  </si>
  <si>
    <t xml:space="preserve">CEM-50 x 64 @ 9,500; PNT-20C x 9 @ 38,000; ROOF-AL x 72 @ 12,500; TIL-6060 x 1 @ 14,500</t>
  </si>
  <si>
    <t xml:space="preserve">2026-10-27T10:39:46.870922+00:00</t>
  </si>
  <si>
    <t xml:space="preserve">2026-10-27T10:39:46.876841+00:00</t>
  </si>
  <si>
    <t xml:space="preserve">2026-10-27T10:39:46.877283+00:00</t>
  </si>
  <si>
    <t xml:space="preserve">ORD-4365</t>
  </si>
  <si>
    <t xml:space="preserve">NAIL-3 x 10 @ 31,000; PNT-20C x 7 @ 38,000; PVC-4 x 30 @ 8,600</t>
  </si>
  <si>
    <t xml:space="preserve">2026-10-27T10:39:46.879487+00:00</t>
  </si>
  <si>
    <t xml:space="preserve">2026-10-27T10:39:46.882211+00:00</t>
  </si>
  <si>
    <t xml:space="preserve">2026-10-27T10:39:46.882706+00:00</t>
  </si>
  <si>
    <t xml:space="preserve">ORD-4366</t>
  </si>
  <si>
    <t xml:space="preserve">PNT-20C x 9 @ 38,000; PNT-20W x 1 @ 38,000; WIRE-25 x 4 @ 52,000</t>
  </si>
  <si>
    <t xml:space="preserve">2026-10-27T10:39:46.885077+00:00</t>
  </si>
  <si>
    <t xml:space="preserve">2026-10-27T10:39:46.887911+00:00</t>
  </si>
  <si>
    <t xml:space="preserve">2026-10-27T10:39:46.888333+00:00</t>
  </si>
  <si>
    <t xml:space="preserve">ORD-4367</t>
  </si>
  <si>
    <t xml:space="preserve">NAIL-3 x 2 @ 31,000; PNT-20C x 2 @ 38,000; PNT-20W x 11 @ 38,000</t>
  </si>
  <si>
    <t xml:space="preserve">2026-10-27T10:39:46.89063+00:00</t>
  </si>
  <si>
    <t xml:space="preserve">2026-10-27T10:39:46.893677+00:00</t>
  </si>
  <si>
    <t xml:space="preserve">2026-10-27T10:39:46.894086+00:00</t>
  </si>
  <si>
    <t xml:space="preserve">ORD-4368</t>
  </si>
  <si>
    <t xml:space="preserve">NAIL-3 x 12 @ 31,000; PVC-2 x 2 @ 4,100; PVC-4 x 23 @ 8,600</t>
  </si>
  <si>
    <t xml:space="preserve">2026-10-27T10:39:46.896334+00:00</t>
  </si>
  <si>
    <t xml:space="preserve">2026-10-27T10:39:46.899401+00:00</t>
  </si>
  <si>
    <t xml:space="preserve">2026-10-27T10:39:46.899808+00:00</t>
  </si>
  <si>
    <t xml:space="preserve">ORD-4369</t>
  </si>
  <si>
    <t xml:space="preserve">NAIL-3 x 7 @ 31,000; PNT-20W x 2 @ 38,000; TIL-6060 x 91 @ 14,500; WIRE-25 x 15 @ 52,000</t>
  </si>
  <si>
    <t xml:space="preserve">2026-10-27T10:39:46.901323+00:00</t>
  </si>
  <si>
    <t xml:space="preserve">2026-10-27T10:39:46.904665+00:00</t>
  </si>
  <si>
    <t xml:space="preserve">2026-10-27T10:39:46.905103+00:00</t>
  </si>
  <si>
    <t xml:space="preserve">ORD-4370</t>
  </si>
  <si>
    <t xml:space="preserve">NAIL-3 x 13 @ 31,000; ROOF-AL x 37 @ 12,500; TIL-6060 x 39 @ 14,500</t>
  </si>
  <si>
    <t xml:space="preserve">2026-10-27T10:39:46.906625+00:00</t>
  </si>
  <si>
    <t xml:space="preserve">2026-10-27T10:39:46.909777+00:00</t>
  </si>
  <si>
    <t xml:space="preserve">2026-10-27T10:39:46.910193+00:00</t>
  </si>
  <si>
    <t xml:space="preserve">ORD-4371</t>
  </si>
  <si>
    <t xml:space="preserve">CEM-50 x 160 @ 9,500; ROOF-AL x 33 @ 12,500; WIRE-25 x 9 @ 52,000</t>
  </si>
  <si>
    <t xml:space="preserve">Cement, 50 kg bag: 160 is far above this customer's usual 23.</t>
  </si>
  <si>
    <t xml:space="preserve">2026-10-27T10:39:46.912043+00:00</t>
  </si>
  <si>
    <t xml:space="preserve">2026-10-27T10:39:46.918709+00:00</t>
  </si>
  <si>
    <t xml:space="preserve">2026-10-27T10:39:46.91913+00:00</t>
  </si>
  <si>
    <t xml:space="preserve">ORD-4372</t>
  </si>
  <si>
    <t xml:space="preserve">PNT-20W x 20 @ 38,000; ROD-12 x 109 @ 7,200; TIL-6060 x 39 @ 14,500</t>
  </si>
  <si>
    <t xml:space="preserve">2026-10-27T10:39:46.920827+00:00</t>
  </si>
  <si>
    <t xml:space="preserve">2026-10-27T10:39:46.927248+00:00</t>
  </si>
  <si>
    <t xml:space="preserve">2026-10-27T10:39:46.927678+00:00</t>
  </si>
  <si>
    <t xml:space="preserve">ORD-4373</t>
  </si>
  <si>
    <t xml:space="preserve">This looks like a repeat of ORD-4370. Confirm it is a new order.</t>
  </si>
  <si>
    <t xml:space="preserve">2026-10-27T10:39:46.929455+00:00</t>
  </si>
  <si>
    <t xml:space="preserve">ORD-4374</t>
  </si>
  <si>
    <t xml:space="preserve">PVC-2 x 10 @ 4,100; PVC-4 x 43 @ 8,600</t>
  </si>
  <si>
    <t xml:space="preserve">2026-10-27T10:39:46.933686+00:00</t>
  </si>
  <si>
    <t xml:space="preserve">2026-10-27T10:39:46.936594+00:00</t>
  </si>
  <si>
    <t xml:space="preserve">2026-10-27T10:39:46.937009+00:00</t>
  </si>
  <si>
    <t xml:space="preserve">ORD-4375</t>
  </si>
  <si>
    <t xml:space="preserve">PNT-20W x 9 @ 38,000; ROD-16 x 50 @ 11,800; WIRE-25 x 2 @ 52,000</t>
  </si>
  <si>
    <t xml:space="preserve">2026-10-27T10:39:46.938239+00:00</t>
  </si>
  <si>
    <t xml:space="preserve">2026-10-27T10:39:46.94141+00:00</t>
  </si>
  <si>
    <t xml:space="preserve">2026-10-27T10:39:46.941795+00:00</t>
  </si>
  <si>
    <t xml:space="preserve">ORD-4376</t>
  </si>
  <si>
    <t xml:space="preserve">CEM-50 x 119 @ 9,500; PNT-20W x 16 @ 38,000; PVC-4 x 41 @ 8,600</t>
  </si>
  <si>
    <t xml:space="preserve">2026-10-27T10:39:46.942868+00:00</t>
  </si>
  <si>
    <t xml:space="preserve">2026-10-27T10:39:46.94963+00:00</t>
  </si>
  <si>
    <t xml:space="preserve">2026-10-27T10:39:46.950064+00:00</t>
  </si>
  <si>
    <t xml:space="preserve">ORD-4377</t>
  </si>
  <si>
    <t xml:space="preserve">PVC-4 x 17 @ 8,600; ROOF-AL x 62 @ 12,500; TIL-6060 x 53 @ 14,500</t>
  </si>
  <si>
    <t xml:space="preserve">2026-10-27T10:39:46.951816+00:00</t>
  </si>
  <si>
    <t xml:space="preserve">2026-10-27T10:39:46.955281+00:00</t>
  </si>
  <si>
    <t xml:space="preserve">2026-10-27T10:39:46.955686+00:00</t>
  </si>
  <si>
    <t xml:space="preserve">ORD-4378</t>
  </si>
  <si>
    <t xml:space="preserve">PNT-20C x 8 @ 38,000; PVC-4 x 57 @ 8,600; TIL-6060 x 9 @ 14,500</t>
  </si>
  <si>
    <t xml:space="preserve">2026-10-27T10:39:46.957438+00:00</t>
  </si>
  <si>
    <t xml:space="preserve">2026-10-27T10:39:46.960933+00:00</t>
  </si>
  <si>
    <t xml:space="preserve">2026-10-27T10:39:46.961401+00:00</t>
  </si>
  <si>
    <t xml:space="preserve">ORD-4379</t>
  </si>
  <si>
    <t xml:space="preserve">PNT-20W x 15 @ 38,000; PVC-4 x 57 @ 8,600; ROD-12 x 90 @ 7,200; ROOF-AL x 74 @ 12,500</t>
  </si>
  <si>
    <t xml:space="preserve">2026-10-27T10:39:46.963191+00:00</t>
  </si>
  <si>
    <t xml:space="preserve">2026-10-27T10:39:46.970684+00:00</t>
  </si>
  <si>
    <t xml:space="preserve">2026-10-27T10:39:46.971136+00:00</t>
  </si>
  <si>
    <t xml:space="preserve">ORD-4380</t>
  </si>
  <si>
    <t xml:space="preserve">PNT-20W x 15 @ 38,000; ROD-12 x 100 @ 7,200</t>
  </si>
  <si>
    <t xml:space="preserve">Iron rod, 12 mm: 100 is far above this customer's usual 13.</t>
  </si>
  <si>
    <t xml:space="preserve">2026-10-27T10:39:46.973108+00:00</t>
  </si>
  <si>
    <t xml:space="preserve">2026-10-27T10:39:46.979905+00:00</t>
  </si>
  <si>
    <t xml:space="preserve">2026-10-27T10:39:46.980361+00:00</t>
  </si>
  <si>
    <t xml:space="preserve">ORD-4381</t>
  </si>
  <si>
    <t xml:space="preserve">PVC-4 x 51 @ 8,600</t>
  </si>
  <si>
    <t xml:space="preserve">2026-10-27T10:39:46.982236+00:00</t>
  </si>
  <si>
    <t xml:space="preserve">2026-10-27T10:39:46.984942+00:00</t>
  </si>
  <si>
    <t xml:space="preserve">2026-10-27T10:39:46.985371+00:00</t>
  </si>
  <si>
    <t xml:space="preserve">ORD-4382</t>
  </si>
  <si>
    <t xml:space="preserve">CEM-50 x 71 @ 9,500; ROD-16 x 59 @ 11,800; ROOF-AL x 30 @ 12,500</t>
  </si>
  <si>
    <t xml:space="preserve">Cement, 50 kg bag: 71 is far above this customer's usual 23.</t>
  </si>
  <si>
    <t xml:space="preserve">2026-10-27T10:39:46.986676+00:00</t>
  </si>
  <si>
    <t xml:space="preserve">2026-10-27T10:39:46.993716+00:00</t>
  </si>
  <si>
    <t xml:space="preserve">2026-10-27T10:39:46.994151+00:00</t>
  </si>
  <si>
    <t xml:space="preserve">ORD-4383</t>
  </si>
  <si>
    <t xml:space="preserve">ROD-16 x 4 @ 11,800; TIL-6060 x 39 @ 14,500</t>
  </si>
  <si>
    <t xml:space="preserve">2026-10-27T10:39:46.996154+00:00</t>
  </si>
  <si>
    <t xml:space="preserve">2026-10-27T10:39:46.999367+00:00</t>
  </si>
  <si>
    <t xml:space="preserve">2026-10-27T10:39:46.999775+00:00</t>
  </si>
  <si>
    <t xml:space="preserve">ORD-4384</t>
  </si>
  <si>
    <t xml:space="preserve">PNT-20W x 14 @ 38,000</t>
  </si>
  <si>
    <t xml:space="preserve">2026-10-27T10:39:47.001269+00:00</t>
  </si>
  <si>
    <t xml:space="preserve">2026-10-27T10:39:47.004186+00:00</t>
  </si>
  <si>
    <t xml:space="preserve">2026-10-27T10:39:47.004628+00:00</t>
  </si>
  <si>
    <t xml:space="preserve">ORD-4385</t>
  </si>
  <si>
    <t xml:space="preserve">NAIL-3 x 10 @ 31,000; XX-113 x None (not in the catalogue)</t>
  </si>
  <si>
    <t xml:space="preserve">Row 3: XX-113 - not in the catalogue</t>
  </si>
  <si>
    <t xml:space="preserve">2026-10-27T10:39:47.006705+00:00</t>
  </si>
  <si>
    <t xml:space="preserve">2026-10-27T10:39:47.009727+00:00</t>
  </si>
  <si>
    <t xml:space="preserve">2026-10-27T10:39:47.010124+00:00</t>
  </si>
  <si>
    <t xml:space="preserve">ORD-4386</t>
  </si>
  <si>
    <t xml:space="preserve">NAIL-3 x 5 @ 31,000; PNT-20C x 1 @ 38,000; PVC-2 x 1 @ 4,100; TIL-6060 x 83 @ 14,500</t>
  </si>
  <si>
    <t xml:space="preserve">2026-10-27T10:39:47.011747+00:00</t>
  </si>
  <si>
    <t xml:space="preserve">2026-10-27T10:39:47.016021+00:00</t>
  </si>
  <si>
    <t xml:space="preserve">2026-10-27T10:39:47.016443+00:00</t>
  </si>
  <si>
    <t xml:space="preserve">ORD-4387</t>
  </si>
  <si>
    <t xml:space="preserve">NAIL-3 x 6 @ 31,000; PNT-20W x 23 @ 38,000; PVC-2 x 2 @ 4,100</t>
  </si>
  <si>
    <t xml:space="preserve">Nails, 3 inch, 25 kg: price changed from 31000.00 to 32600.00. Save the order again to update it.</t>
  </si>
  <si>
    <t xml:space="preserve">2026-10-27T10:39:47.01812+00:00</t>
  </si>
  <si>
    <t xml:space="preserve">2026-10-27T10:39:47.022569+00:00</t>
  </si>
  <si>
    <t xml:space="preserve">2026-10-27T10:39:47.022983+00:00</t>
  </si>
  <si>
    <t xml:space="preserve">ORD-4388</t>
  </si>
  <si>
    <t xml:space="preserve">CEM-50 x 46 @ 9,500; PNT-20W x 11 @ 38,000; ROD-16 x 17 @ 11,800</t>
  </si>
  <si>
    <t xml:space="preserve">2026-10-27T10:39:47.024768+00:00</t>
  </si>
  <si>
    <t xml:space="preserve">2026-10-27T10:39:47.032382+00:00</t>
  </si>
  <si>
    <t xml:space="preserve">2026-10-27T10:39:47.032825+00:00</t>
  </si>
  <si>
    <t xml:space="preserve">ORD-4389</t>
  </si>
  <si>
    <t xml:space="preserve">NAIL-3 x 11 @ 31,000; PNT-20W x 9 @ 38,000</t>
  </si>
  <si>
    <t xml:space="preserve">2026-10-27T10:39:47.035+00:00</t>
  </si>
  <si>
    <t xml:space="preserve">2026-10-27T10:39:47.038967+00:00</t>
  </si>
  <si>
    <t xml:space="preserve">2026-10-27T10:39:47.039397+00:00</t>
  </si>
  <si>
    <t xml:space="preserve">ORD-4390</t>
  </si>
  <si>
    <t xml:space="preserve">PVC-2 x 2 @ 4,100; ROD-16 x 74 @ 11,800</t>
  </si>
  <si>
    <t xml:space="preserve">2026-10-27T10:39:47.040942+00:00</t>
  </si>
  <si>
    <t xml:space="preserve">2026-10-27T10:39:47.044403+00:00</t>
  </si>
  <si>
    <t xml:space="preserve">2026-10-27T10:39:47.04486+00:00</t>
  </si>
  <si>
    <t xml:space="preserve">ORD-4391</t>
  </si>
  <si>
    <t xml:space="preserve">PNT-20C x 6 @ 38,000; ROD-16 x 19 @ 11,800</t>
  </si>
  <si>
    <t xml:space="preserve">2026-10-27T10:39:47.047135+00:00</t>
  </si>
  <si>
    <t xml:space="preserve">2026-10-27T10:39:47.050633+00:00</t>
  </si>
  <si>
    <t xml:space="preserve">2026-10-27T10:39:47.051091+00:00</t>
  </si>
  <si>
    <t xml:space="preserve">ORD-4392</t>
  </si>
  <si>
    <t xml:space="preserve">PNT-20C x 5 @ 38,000; PVC-4 x 24 @ 8,600; ROD-16 x 6 @ 11,800; ROOF-AL x 49 @ 12,500</t>
  </si>
  <si>
    <t xml:space="preserve">2026-10-27T10:39:47.053421+00:00</t>
  </si>
  <si>
    <t xml:space="preserve">2026-10-27T10:39:47.058307+00:00</t>
  </si>
  <si>
    <t xml:space="preserve">2026-10-27T10:39:47.058777+00:00</t>
  </si>
  <si>
    <t xml:space="preserve">ORD-4393</t>
  </si>
  <si>
    <t xml:space="preserve">ROD-12 x 190 @ 7,200; ROD-16 x 73 @ 11,800; ROOF-AL x 46 @ 12,500; TIL-6060 x 33 @ 14,500</t>
  </si>
  <si>
    <t xml:space="preserve">Iron rod, 12 mm: 190 is far above this customer's usual 13.</t>
  </si>
  <si>
    <t xml:space="preserve">2026-10-27T10:39:47.060947+00:00</t>
  </si>
  <si>
    <t xml:space="preserve">2026-10-27T10:39:47.069807+00:00</t>
  </si>
  <si>
    <t xml:space="preserve">2026-10-27T10:39:47.070267+00:00</t>
  </si>
  <si>
    <t xml:space="preserve">ORD-4394</t>
  </si>
  <si>
    <t xml:space="preserve">PVC-2 x 2 @ 4,100; PVC-4 x 24 @ 8,600; ROD-12 x 120 @ 7,200; SAND-T x 1 @ 185,000</t>
  </si>
  <si>
    <t xml:space="preserve">sku, stock, unusual_quantity</t>
  </si>
  <si>
    <t xml:space="preserve">SAND-T is no longer sold. Remove it. | Sharp sand, 20 tonne trip is out of stock. | Iron rod, 12 mm: 120 is far above this customer's usual 32.</t>
  </si>
  <si>
    <t xml:space="preserve">2026-10-27T10:39:47.072446+00:00</t>
  </si>
  <si>
    <t xml:space="preserve">2026-10-27T10:39:47.081128+00:00</t>
  </si>
  <si>
    <t xml:space="preserve">2026-10-27T10:39:47.081586+00:00</t>
  </si>
  <si>
    <t xml:space="preserve">ORD-4395</t>
  </si>
  <si>
    <t xml:space="preserve">CEM-50 x 167 @ 9,500; PVC-2 x 4 @ 4,100</t>
  </si>
  <si>
    <t xml:space="preserve">Cement, 50 kg bag: 167 is far above this customer's usual 42.</t>
  </si>
  <si>
    <t xml:space="preserve">2026-10-27T10:39:47.083451+00:00</t>
  </si>
  <si>
    <t xml:space="preserve">2026-10-27T10:39:47.090836+00:00</t>
  </si>
  <si>
    <t xml:space="preserve">2026-10-27T10:39:47.09131+00:00</t>
  </si>
  <si>
    <t xml:space="preserve">ORD-4396</t>
  </si>
  <si>
    <t xml:space="preserve">PVC-2 x 2 @ 4,100; ROD-16 x 51 @ 11,800; ROOF-AL x 13 @ 12,500</t>
  </si>
  <si>
    <t xml:space="preserve">2026-10-27T10:39:47.093627+00:00</t>
  </si>
  <si>
    <t xml:space="preserve">2026-10-27T10:39:47.098099+00:00</t>
  </si>
  <si>
    <t xml:space="preserve">2026-10-27T10:39:47.098564+00:00</t>
  </si>
  <si>
    <t xml:space="preserve">ORD-4397</t>
  </si>
  <si>
    <t xml:space="preserve">NAIL-3 x 4 @ 31,000</t>
  </si>
  <si>
    <t xml:space="preserve">2026-10-27T10:39:47.100777+00:00</t>
  </si>
  <si>
    <t xml:space="preserve">2026-10-27T10:39:47.104222+00:00</t>
  </si>
  <si>
    <t xml:space="preserve">2026-10-27T10:39:47.104682+00:00</t>
  </si>
  <si>
    <t xml:space="preserve">ORD-4398</t>
  </si>
  <si>
    <t xml:space="preserve">NAIL-3 x 2 @ 31,000; PVC-2 x 2 @ 4,100; ROOF-AL x 67 @ 12,500</t>
  </si>
  <si>
    <t xml:space="preserve">2026-10-27T10:39:47.106413+00:00</t>
  </si>
  <si>
    <t xml:space="preserve">2026-10-27T10:39:47.111099+00:00</t>
  </si>
  <si>
    <t xml:space="preserve">2026-10-27T10:39:47.111563+00:00</t>
  </si>
  <si>
    <t xml:space="preserve">ORD-4399</t>
  </si>
  <si>
    <t xml:space="preserve">PVC-4 x 31 @ 8,600; ROD-16 x 44 @ 11,800</t>
  </si>
  <si>
    <t xml:space="preserve">2026-10-27T10:39:47.114035+00:00</t>
  </si>
  <si>
    <t xml:space="preserve">2026-10-27T10:39:47.118283+00:00</t>
  </si>
  <si>
    <t xml:space="preserve">2026-10-27T10:39:47.118725+00:00</t>
  </si>
  <si>
    <t xml:space="preserve">ORD-4400</t>
  </si>
  <si>
    <t xml:space="preserve">NAIL-3 x 8 @ 31,000; PNT-20C x 4 @ 38,000; PVC-4 x 27 @ 8,600</t>
  </si>
  <si>
    <t xml:space="preserve">2026-10-27T10:39:47.120789+00:00</t>
  </si>
  <si>
    <t xml:space="preserve">2026-10-27T10:39:47.125585+00:00</t>
  </si>
  <si>
    <t xml:space="preserve">2026-10-27T10:39:47.126042+00:00</t>
  </si>
  <si>
    <t xml:space="preserve">ORD-4401</t>
  </si>
  <si>
    <t xml:space="preserve">NAIL-3 x 8 @ 31,000; PVC-4 x 60 @ 8,600; ROOF-AL x 1020 @ 12,500</t>
  </si>
  <si>
    <t xml:space="preserve">2026-10-27T10:39:47.128503+00:00</t>
  </si>
  <si>
    <t xml:space="preserve">2026-10-27T10:39:47.133855+00:00</t>
  </si>
  <si>
    <t xml:space="preserve">2026-10-27T10:39:47.134307+00:00</t>
  </si>
  <si>
    <t xml:space="preserve">ORD-4402</t>
  </si>
  <si>
    <t xml:space="preserve">CEM-50 x 38 @ 9,500; PNT-20W x 25 @ 38,000; PVC-4 x 5 @ 8,600</t>
  </si>
  <si>
    <t xml:space="preserve">2026-10-27T10:39:47.13618+00:00</t>
  </si>
  <si>
    <t xml:space="preserve">2026-10-27T10:39:47.145155+00:00</t>
  </si>
  <si>
    <t xml:space="preserve">2026-10-27T10:39:47.145686+00:00</t>
  </si>
  <si>
    <t xml:space="preserve">ORD-4403</t>
  </si>
  <si>
    <t xml:space="preserve">PVC-4 x 15 @ 8,600; ROD-16 x 44 @ 11,800; TIL-6060 x 1 @ 14,500; WIRE-25 x 8 @ 52,000</t>
  </si>
  <si>
    <t xml:space="preserve">2026-10-27T10:39:47.148375+00:00</t>
  </si>
  <si>
    <t xml:space="preserve">2026-10-27T10:39:47.154046+00:00</t>
  </si>
  <si>
    <t xml:space="preserve">2026-10-27T10:39:47.154505+00:00</t>
  </si>
  <si>
    <t xml:space="preserve">ORD-4404</t>
  </si>
  <si>
    <t xml:space="preserve">CEM-50 x 39 @ 9,500; PNT-20C x 7 @ 38,000; ROD-12 x 150 @ 7,200</t>
  </si>
  <si>
    <t xml:space="preserve">Iron rod, 12 mm: 150 is far above this customer's usual 13.</t>
  </si>
  <si>
    <t xml:space="preserve">2026-10-27T10:39:47.156405+00:00</t>
  </si>
  <si>
    <t xml:space="preserve">2026-10-27T10:39:47.169382+00:00</t>
  </si>
  <si>
    <t xml:space="preserve">2026-10-27T10:39:47.169879+00:00</t>
  </si>
  <si>
    <t xml:space="preserve">ORD-4405</t>
  </si>
  <si>
    <t xml:space="preserve">WIRE-25 x 1 @ 52,000</t>
  </si>
  <si>
    <t xml:space="preserve">2026-10-27T10:39:47.172451+00:00</t>
  </si>
  <si>
    <t xml:space="preserve">2026-10-27T10:39:47.175664+00:00</t>
  </si>
  <si>
    <t xml:space="preserve">2026-10-27T10:39:47.176119+00:00</t>
  </si>
  <si>
    <t xml:space="preserve">ORD-4406</t>
  </si>
  <si>
    <t xml:space="preserve">PVC-4 x 4 @ 8,600; WIRE-25 x 16 @ 52,000</t>
  </si>
  <si>
    <t xml:space="preserve">2026-10-27T10:39:47.178637+00:00</t>
  </si>
  <si>
    <t xml:space="preserve">2026-10-27T10:39:47.183272+00:00</t>
  </si>
  <si>
    <t xml:space="preserve">2026-10-27T10:39:47.183711+00:00</t>
  </si>
  <si>
    <t xml:space="preserve">ORD-4407</t>
  </si>
  <si>
    <t xml:space="preserve">PVC-4 x 42 @ 8,600; ROOF-AL x 22 @ 12,500; TIL-6060 x 37 @ 14,500</t>
  </si>
  <si>
    <t xml:space="preserve">2026-10-27T10:39:47.185841+00:00</t>
  </si>
  <si>
    <t xml:space="preserve">2026-10-27T10:39:47.191439+00:00</t>
  </si>
  <si>
    <t xml:space="preserve">2026-10-27T10:39:47.19189+00:00</t>
  </si>
  <si>
    <t xml:space="preserve">ORD-4408</t>
  </si>
  <si>
    <t xml:space="preserve">This looks like a repeat of ORD-4407. Confirm it is a new order.</t>
  </si>
  <si>
    <t xml:space="preserve">2026-10-27T10:39:47.19459+00:00</t>
  </si>
  <si>
    <t xml:space="preserve">ORD-4409</t>
  </si>
  <si>
    <t xml:space="preserve">2026-10-27T10:39:47.201778+00:00</t>
  </si>
  <si>
    <t xml:space="preserve">ORD-4410</t>
  </si>
  <si>
    <t xml:space="preserve">PNT-20C x 1 @ 38,000; PVC-4 x 26 @ 8,600</t>
  </si>
  <si>
    <t xml:space="preserve">2026-10-27T10:39:47.209149+00:00</t>
  </si>
  <si>
    <t xml:space="preserve">2026-10-27T10:39:47.213997+00:00</t>
  </si>
  <si>
    <t xml:space="preserve">2026-10-27T10:39:47.214505+00:00</t>
  </si>
  <si>
    <t xml:space="preserve">ORD-4411</t>
  </si>
  <si>
    <t xml:space="preserve">PVC-4 x 2 @ 8,600; ROOF-AL x 16 @ 12,500</t>
  </si>
  <si>
    <t xml:space="preserve">2026-10-27T10:39:47.217334+00:00</t>
  </si>
  <si>
    <t xml:space="preserve">2026-10-27T10:39:47.226246+00:00</t>
  </si>
  <si>
    <t xml:space="preserve">2026-10-27T10:39:47.226986+00:00</t>
  </si>
  <si>
    <t xml:space="preserve">ORD-4412</t>
  </si>
  <si>
    <t xml:space="preserve">ROD-12 x 97 @ 7,200</t>
  </si>
  <si>
    <t xml:space="preserve">2026-10-27T10:39:47.23094+00:00</t>
  </si>
  <si>
    <t xml:space="preserve">2026-10-27T10:39:47.244076+00:00</t>
  </si>
  <si>
    <t xml:space="preserve">2026-10-27T10:39:47.244608+00:00</t>
  </si>
  <si>
    <t xml:space="preserve">ORD-4413</t>
  </si>
  <si>
    <t xml:space="preserve">PNT-20C x 8 @ 38,000; ROD-16 x 8 @ 11,800; TIL-6060 x 55 @ 14,500</t>
  </si>
  <si>
    <t xml:space="preserve">2026-10-27T10:39:47.247363+00:00</t>
  </si>
  <si>
    <t xml:space="preserve">2026-10-27T10:39:47.252982+00:00</t>
  </si>
  <si>
    <t xml:space="preserve">2026-10-27T10:39:47.253492+00:00</t>
  </si>
  <si>
    <t xml:space="preserve">ORD-4414</t>
  </si>
  <si>
    <t xml:space="preserve">SAND-T x 1 @ 185,000; WIRE-25 x 1 @ 52,000</t>
  </si>
  <si>
    <t xml:space="preserve">2026-10-27T10:39:47.256083+00:00</t>
  </si>
  <si>
    <t xml:space="preserve">2026-10-27T10:39:47.260149+00:00</t>
  </si>
  <si>
    <t xml:space="preserve">2026-10-27T10:39:47.260615+00:00</t>
  </si>
  <si>
    <t xml:space="preserve">ORD-4415</t>
  </si>
  <si>
    <t xml:space="preserve">CEM-50 x 11 @ 9,500; NAIL-3 x 10 @ 31,000</t>
  </si>
  <si>
    <t xml:space="preserve">2026-10-27T10:39:47.262645+00:00</t>
  </si>
  <si>
    <t xml:space="preserve">2026-10-27T10:39:47.27146+00:00</t>
  </si>
  <si>
    <t xml:space="preserve">2026-10-27T10:39:47.27193+00:00</t>
  </si>
  <si>
    <t xml:space="preserve">ORD-4416</t>
  </si>
  <si>
    <t xml:space="preserve">2026-10-27T10:39:47.274641+00:00</t>
  </si>
  <si>
    <t xml:space="preserve">2026-10-27T10:39:47.278439+00:00</t>
  </si>
  <si>
    <t xml:space="preserve">2026-10-27T10:39:47.278925+00:00</t>
  </si>
  <si>
    <t xml:space="preserve">ORD-4417</t>
  </si>
  <si>
    <t xml:space="preserve">PNT-20W x 20 @ 38,000; ROOF-AL x 35 @ 12,500; WIRE-25 x 1 @ 52,000</t>
  </si>
  <si>
    <t xml:space="preserve">2026-10-27T10:39:47.280986+00:00</t>
  </si>
  <si>
    <t xml:space="preserve">2026-10-27T10:39:47.286608+00:00</t>
  </si>
  <si>
    <t xml:space="preserve">2026-10-27T10:39:47.287079+00:00</t>
  </si>
  <si>
    <t xml:space="preserve">ORD-4418</t>
  </si>
  <si>
    <t xml:space="preserve">PNT-20C x 9 @ 38,000; TIL-6060 x 1 @ 14,500</t>
  </si>
  <si>
    <t xml:space="preserve">2026-10-27T10:39:47.289792+00:00</t>
  </si>
  <si>
    <t xml:space="preserve">2026-10-27T10:39:47.294582+00:00</t>
  </si>
  <si>
    <t xml:space="preserve">2026-10-27T10:39:47.29503+00:00</t>
  </si>
  <si>
    <t xml:space="preserve">ORD-4419</t>
  </si>
  <si>
    <t xml:space="preserve">PVC-4 x 32 @ 8,600; ROD-16 x 58 @ 11,800; WIRE-25 x 3 @ 52,000</t>
  </si>
  <si>
    <t xml:space="preserve">2026-10-27T10:39:47.297297+00:00</t>
  </si>
  <si>
    <t xml:space="preserve">2026-10-27T10:39:47.303512+00:00</t>
  </si>
  <si>
    <t xml:space="preserve">2026-10-27T10:39:47.30399+00:00</t>
  </si>
  <si>
    <t xml:space="preserve">ORD-4420</t>
  </si>
  <si>
    <t xml:space="preserve">2026-10-27T10:39:47.306807+00:00</t>
  </si>
  <si>
    <t xml:space="preserve">2026-10-27T10:39:47.310375+00:00</t>
  </si>
  <si>
    <t xml:space="preserve">2026-10-27T10:39:47.310849+00:00</t>
  </si>
  <si>
    <t xml:space="preserve">ORD-4421</t>
  </si>
  <si>
    <t xml:space="preserve">PNT-20C x 19 @ 38,000; PVC-4 x 42 @ 8,600; ROD-16 x 42 @ 11,800</t>
  </si>
  <si>
    <t xml:space="preserve">2026-10-27T10:39:47.313658+00:00</t>
  </si>
  <si>
    <t xml:space="preserve">2026-10-27T10:39:47.319977+00:00</t>
  </si>
  <si>
    <t xml:space="preserve">2026-10-27T10:39:47.32052+00:00</t>
  </si>
  <si>
    <t xml:space="preserve">ORD-4422</t>
  </si>
  <si>
    <t xml:space="preserve">CEM-50 x 260 @ 9,500; WIRE-25 x 5 @ 52,000</t>
  </si>
  <si>
    <t xml:space="preserve">Cement, 50 kg bag: 260 is far above this customer's usual 23.</t>
  </si>
  <si>
    <t xml:space="preserve">2026-10-27T10:39:47.323429+00:00</t>
  </si>
  <si>
    <t xml:space="preserve">2026-10-27T10:39:47.332688+00:00</t>
  </si>
  <si>
    <t xml:space="preserve">2026-10-27T10:39:47.333189+00:00</t>
  </si>
  <si>
    <t xml:space="preserve">ORD-4423</t>
  </si>
  <si>
    <t xml:space="preserve">PVC-2 x 2 @ 4,100; ROD-16 x 39 @ 11,800; ROOF-AL x 56 @ 12,500</t>
  </si>
  <si>
    <t xml:space="preserve">2026-10-27T10:39:47.336009+00:00</t>
  </si>
  <si>
    <t xml:space="preserve">2026-10-27T10:39:47.342217+00:00</t>
  </si>
  <si>
    <t xml:space="preserve">2026-10-27T10:39:47.3427+00:00</t>
  </si>
  <si>
    <t xml:space="preserve">ORD-4424</t>
  </si>
  <si>
    <t xml:space="preserve">2026-10-27T10:39:47.345499+00:00</t>
  </si>
  <si>
    <t xml:space="preserve">2026-10-27T10:39:47.349428+00:00</t>
  </si>
  <si>
    <t xml:space="preserve">2026-10-27T10:39:47.349988+00:00</t>
  </si>
  <si>
    <t xml:space="preserve">ORD-4425</t>
  </si>
  <si>
    <t xml:space="preserve">CEM-50 x 176 @ 9,500; ROD-12 x 112 @ 7,200; ROD-16 x 42 @ 11,800</t>
  </si>
  <si>
    <t xml:space="preserve">Iron rod, 12 mm: 112 is far above this customer's usual 13. | Cement, 50 kg bag: 176 is far above this customer's usual 23.</t>
  </si>
  <si>
    <t xml:space="preserve">2026-10-27T10:39:47.352794+00:00</t>
  </si>
  <si>
    <t xml:space="preserve">2026-10-27T10:39:47.36828+00:00</t>
  </si>
  <si>
    <t xml:space="preserve">2026-10-27T10:39:47.368798+00:00</t>
  </si>
  <si>
    <t xml:space="preserve">ORD-4426</t>
  </si>
  <si>
    <t xml:space="preserve">2026-10-27T10:39:47.371883+00:00</t>
  </si>
  <si>
    <t xml:space="preserve">2026-10-27T10:39:47.376032+00:00</t>
  </si>
  <si>
    <t xml:space="preserve">2026-10-27T10:39:47.376537+00:00</t>
  </si>
  <si>
    <t xml:space="preserve">ORD-4427</t>
  </si>
  <si>
    <t xml:space="preserve">CEM-50 x 119 @ 9,500; PVC-2 x 2 @ 4,100</t>
  </si>
  <si>
    <t xml:space="preserve">2026-10-27T10:39:47.379339+00:00</t>
  </si>
  <si>
    <t xml:space="preserve">2026-10-27T10:39:47.388932+00:00</t>
  </si>
  <si>
    <t xml:space="preserve">2026-10-27T10:39:47.389527+00:00</t>
  </si>
  <si>
    <t xml:space="preserve">ORD-4428</t>
  </si>
  <si>
    <t xml:space="preserve">NAIL-3 x 11 @ 31,000; PNT-20W x 27 @ 38,000; WIRE-25 x 5 @ 52,000</t>
  </si>
  <si>
    <t xml:space="preserve">2026-10-27T10:39:47.39258+00:00</t>
  </si>
  <si>
    <t xml:space="preserve">2026-10-27T10:39:47.398812+00:00</t>
  </si>
  <si>
    <t xml:space="preserve">2026-10-27T10:39:47.399276+00:00</t>
  </si>
  <si>
    <t xml:space="preserve">ORD-4429</t>
  </si>
  <si>
    <t xml:space="preserve">ROD-16 x 47 @ 11,800</t>
  </si>
  <si>
    <t xml:space="preserve">Iron rod, 16 mm: price changed from 11800.00 to 12400.00. Save the order again to update it.</t>
  </si>
  <si>
    <t xml:space="preserve">2026-10-27T10:39:47.401775+00:00</t>
  </si>
  <si>
    <t xml:space="preserve">2026-10-27T10:39:47.406175+00:00</t>
  </si>
  <si>
    <t xml:space="preserve">2026-10-27T10:39:47.406648+00:00</t>
  </si>
  <si>
    <t xml:space="preserve">ORD-4430</t>
  </si>
  <si>
    <t xml:space="preserve">CEM-50 x 137 @ 9,500</t>
  </si>
  <si>
    <t xml:space="preserve">Cement, 50 kg bag: price changed from 9500.00 to 10000.00. Save the order again to update it. | Cement, 50 kg bag: 137 is far above this customer's usual 28.</t>
  </si>
  <si>
    <t xml:space="preserve">2026-10-27T10:39:47.409422+00:00</t>
  </si>
  <si>
    <t xml:space="preserve">2026-10-27T10:39:47.418943+00:00</t>
  </si>
  <si>
    <t xml:space="preserve">2026-10-27T10:39:47.419433+00:00</t>
  </si>
  <si>
    <t xml:space="preserve">ORD-4431</t>
  </si>
  <si>
    <t xml:space="preserve">PVC-2 x 2 @ 4,100; ROD-12 x 200 @ 7,200</t>
  </si>
  <si>
    <t xml:space="preserve">Iron rod, 12 mm: 200 is far above this customer's usual 13.</t>
  </si>
  <si>
    <t xml:space="preserve">2026-10-27T10:39:47.422122+00:00</t>
  </si>
  <si>
    <t xml:space="preserve">2026-10-27T10:39:47.432484+00:00</t>
  </si>
  <si>
    <t xml:space="preserve">2026-10-27T10:39:47.433007+00:00</t>
  </si>
  <si>
    <t xml:space="preserve">ORD-4432</t>
  </si>
  <si>
    <t xml:space="preserve">CEM-50 x 191 @ 9,500; ROD-16 x 41 @ 11,800; TIL-6060 x 35 @ 14,500</t>
  </si>
  <si>
    <t xml:space="preserve">Cement, 50 kg bag: 191 is far above this customer's usual 23.</t>
  </si>
  <si>
    <t xml:space="preserve">2026-10-27T10:39:47.436308+00:00</t>
  </si>
  <si>
    <t xml:space="preserve">2026-10-27T10:39:47.448383+00:00</t>
  </si>
  <si>
    <t xml:space="preserve">2026-10-27T10:39:47.44891+00:00</t>
  </si>
  <si>
    <t xml:space="preserve">ORD-4433</t>
  </si>
  <si>
    <t xml:space="preserve">2026-10-27T10:39:47.452055+00:00</t>
  </si>
  <si>
    <t xml:space="preserve">2026-10-27T10:39:47.456266+00:00</t>
  </si>
  <si>
    <t xml:space="preserve">2026-10-27T10:39:47.456755+00:00</t>
  </si>
  <si>
    <t xml:space="preserve">ORD-4434</t>
  </si>
  <si>
    <t xml:space="preserve">NAIL-3 x 6 @ 31,000; ROD-16 x 62 @ 11,800; TIL-6060 x 72 @ 14,500</t>
  </si>
  <si>
    <t xml:space="preserve">2026-10-27T10:39:47.459719+00:00</t>
  </si>
  <si>
    <t xml:space="preserve">2026-10-27T10:39:47.466888+00:00</t>
  </si>
  <si>
    <t xml:space="preserve">2026-10-27T10:39:47.46739+00:00</t>
  </si>
  <si>
    <t xml:space="preserve">ORD-4435</t>
  </si>
  <si>
    <t xml:space="preserve">PNT-20C x 4 @ 38,000; PVC-2 x 2 @ 4,100; WIRE-25 x 13 @ 52,000</t>
  </si>
  <si>
    <t xml:space="preserve">2026-10-27T10:39:47.47042+00:00</t>
  </si>
  <si>
    <t xml:space="preserve">2026-10-27T10:39:47.476973+00:00</t>
  </si>
  <si>
    <t xml:space="preserve">2026-10-27T10:39:47.47749+00:00</t>
  </si>
  <si>
    <t xml:space="preserve">ORD-4436</t>
  </si>
  <si>
    <t xml:space="preserve">2026-10-27T10:39:47.480642+00:00</t>
  </si>
  <si>
    <t xml:space="preserve">2026-10-27T10:39:47.485016+00:00</t>
  </si>
  <si>
    <t xml:space="preserve">2026-10-27T10:39:47.485511+00:00</t>
  </si>
  <si>
    <t xml:space="preserve">ORD-4437</t>
  </si>
  <si>
    <t xml:space="preserve">ROD-16 x 26 @ 11,800</t>
  </si>
  <si>
    <t xml:space="preserve">2026-10-27T10:39:47.488282+00:00</t>
  </si>
  <si>
    <t xml:space="preserve">2026-10-27T10:39:47.492832+00:00</t>
  </si>
  <si>
    <t xml:space="preserve">2026-10-27T10:39:47.493369+00:00</t>
  </si>
  <si>
    <t xml:space="preserve">ORD-4438</t>
  </si>
  <si>
    <t xml:space="preserve">CEM-50 x 161 @ 9,500; ROD-12 x 43 @ 7,200; WIRE-25 x 10 @ 52,000</t>
  </si>
  <si>
    <t xml:space="preserve">Iron rod, 12 mm: 43 is far above this customer's usual 13. | Cement, 50 kg bag: 161 is far above this customer's usual 23.</t>
  </si>
  <si>
    <t xml:space="preserve">2026-10-27T10:39:47.495932+00:00</t>
  </si>
  <si>
    <t xml:space="preserve">2026-10-27T10:39:47.513282+00:00</t>
  </si>
  <si>
    <t xml:space="preserve">2026-10-27T10:39:47.51405+00:00</t>
  </si>
  <si>
    <t xml:space="preserve">ORD-4439</t>
  </si>
  <si>
    <t xml:space="preserve">NAIL-3 x 1 @ 31,000; PVC-4 x 48 @ 8,600; ROD-12 x 4 @ 7,200; ROOF-AL x 66 @ 12,500</t>
  </si>
  <si>
    <t xml:space="preserve">2026-10-27T10:39:47.517547+00:00</t>
  </si>
  <si>
    <t xml:space="preserve">2026-10-27T10:39:47.531758+00:00</t>
  </si>
  <si>
    <t xml:space="preserve">2026-10-27T10:39:47.532263+00:00</t>
  </si>
  <si>
    <t xml:space="preserve">ORD-4440</t>
  </si>
  <si>
    <t xml:space="preserve">ROOF-AL x 54 @ 12,500</t>
  </si>
  <si>
    <t xml:space="preserve">2026-10-27T10:39:47.534945+00:00</t>
  </si>
  <si>
    <t xml:space="preserve">2026-10-27T10:39:47.539556+00:00</t>
  </si>
  <si>
    <t xml:space="preserve">2026-10-27T10:39:47.540049+00:00</t>
  </si>
  <si>
    <t xml:space="preserve">ORD-4441</t>
  </si>
  <si>
    <t xml:space="preserve">PNT-20C x 8 @ 38,000; ROD-16 x 71 @ 11,800; TIL-6060 x 19 @ 14,500</t>
  </si>
  <si>
    <t xml:space="preserve">2026-10-27T10:39:47.542699+00:00</t>
  </si>
  <si>
    <t xml:space="preserve">2026-10-27T10:39:47.550382+00:00</t>
  </si>
  <si>
    <t xml:space="preserve">2026-10-27T10:39:47.550874+00:00</t>
  </si>
  <si>
    <t xml:space="preserve">ORD-4442</t>
  </si>
  <si>
    <t xml:space="preserve">ROOF-AL x 24 @ 12,500; WIRE-25 x 3 @ 52,000</t>
  </si>
  <si>
    <t xml:space="preserve">2026-10-27T10:39:47.553893+00:00</t>
  </si>
  <si>
    <t xml:space="preserve">2026-10-27T10:39:47.559866+00:00</t>
  </si>
  <si>
    <t xml:space="preserve">2026-10-27T10:39:47.560371+00:00</t>
  </si>
  <si>
    <t xml:space="preserve">ORD-4443</t>
  </si>
  <si>
    <t xml:space="preserve">PNT-20W x 19 @ 38,000; PVC-2 x 2 @ 4,100; ROD-16 x 47 @ 11,800</t>
  </si>
  <si>
    <t xml:space="preserve">2026-10-27T10:39:47.563052+00:00</t>
  </si>
  <si>
    <t xml:space="preserve">2026-10-27T10:39:47.570579+00:00</t>
  </si>
  <si>
    <t xml:space="preserve">2026-10-27T10:39:47.571061+00:00</t>
  </si>
  <si>
    <t xml:space="preserve">ORD-4444</t>
  </si>
  <si>
    <t xml:space="preserve">TIL-6060 x 35 @ 14,500</t>
  </si>
  <si>
    <t xml:space="preserve">2026-10-27T10:39:47.573779+00:00</t>
  </si>
  <si>
    <t xml:space="preserve">2026-10-27T10:39:47.578468+00:00</t>
  </si>
  <si>
    <t xml:space="preserve">2026-10-27T10:39:47.578961+00:00</t>
  </si>
  <si>
    <t xml:space="preserve">ORD-4445</t>
  </si>
  <si>
    <t xml:space="preserve">PNT-20C x 4 @ 38,000; PVC-2 x 2 @ 4,100; TIL-6060 x 71 @ 14,500</t>
  </si>
  <si>
    <t xml:space="preserve">2026-10-27T10:39:47.582126+00:00</t>
  </si>
  <si>
    <t xml:space="preserve">2026-10-27T10:39:47.589887+00:00</t>
  </si>
  <si>
    <t xml:space="preserve">2026-10-27T10:39:47.590469+00:00</t>
  </si>
  <si>
    <t xml:space="preserve">ORD-4446</t>
  </si>
  <si>
    <t xml:space="preserve">PNT-20C x 5 @ 38,000; TIL-6060 x 3 @ 14,500</t>
  </si>
  <si>
    <t xml:space="preserve">2026-10-27T10:39:47.593886+00:00</t>
  </si>
  <si>
    <t xml:space="preserve">2026-10-27T10:39:47.600339+00:00</t>
  </si>
  <si>
    <t xml:space="preserve">2026-10-27T10:39:47.600844+00:00</t>
  </si>
  <si>
    <t xml:space="preserve">ORD-4447</t>
  </si>
  <si>
    <t xml:space="preserve">PNT-20C x 7 @ 38,000; PNT-20W x 15 @ 38,000; ROOF-AL x 69 @ 12,500; TIL-6060 x 1 @ 14,500</t>
  </si>
  <si>
    <t xml:space="preserve">2026-10-27T10:39:47.604429+00:00</t>
  </si>
  <si>
    <t xml:space="preserve">2026-10-27T10:39:47.614095+00:00</t>
  </si>
  <si>
    <t xml:space="preserve">2026-10-27T10:39:47.614624+00:00</t>
  </si>
  <si>
    <t xml:space="preserve">ORD-4448</t>
  </si>
  <si>
    <t xml:space="preserve">PVC-4 x 37 @ 8,600</t>
  </si>
  <si>
    <t xml:space="preserve">2026-10-27T10:39:47.617609+00:00</t>
  </si>
  <si>
    <t xml:space="preserve">2026-10-27T10:39:47.62271+00:00</t>
  </si>
  <si>
    <t xml:space="preserve">2026-10-27T10:39:47.623235+00:00</t>
  </si>
  <si>
    <t xml:space="preserve">ORD-4449</t>
  </si>
  <si>
    <t xml:space="preserve">CEM-50 x 133 @ 9,500; ROD-12 x 140 @ 7,200</t>
  </si>
  <si>
    <t xml:space="preserve">Choose a delivery date. | Iron rod, 12 mm: 140 is far above this customer's usual 13.</t>
  </si>
  <si>
    <t xml:space="preserve">2026-10-27T10:39:47.62614+00:00</t>
  </si>
  <si>
    <t xml:space="preserve">2026-10-27T10:39:47.643138+00:00</t>
  </si>
  <si>
    <t xml:space="preserve">2026-10-27T10:39:47.643707+00:00</t>
  </si>
  <si>
    <t xml:space="preserve">ORD-4450</t>
  </si>
  <si>
    <t xml:space="preserve">PNT-20W x 17 @ 38,000; PVC-4 x 35 @ 8,600; ROD-12 x 120 @ 7,200; ROD-16 x 42 @ 11,800</t>
  </si>
  <si>
    <t xml:space="preserve">Iron rod, 12 mm: 120 is far above this customer's usual 30.</t>
  </si>
  <si>
    <t xml:space="preserve">2026-10-27T10:39:47.646806+00:00</t>
  </si>
  <si>
    <t xml:space="preserve">2026-10-27T10:39:47.662236+00:00</t>
  </si>
  <si>
    <t xml:space="preserve">2026-10-27T10:39:47.662788+00:00</t>
  </si>
  <si>
    <t xml:space="preserve">ORD-4451</t>
  </si>
  <si>
    <t xml:space="preserve">PVC-2 x 2 @ 4,100; ROD-16 x 4 @ 11,800</t>
  </si>
  <si>
    <t xml:space="preserve">2026-10-27T10:39:47.666444+00:00</t>
  </si>
  <si>
    <t xml:space="preserve">2026-10-27T10:39:47.673386+00:00</t>
  </si>
  <si>
    <t xml:space="preserve">2026-10-27T10:39:47.673877+00:00</t>
  </si>
  <si>
    <t xml:space="preserve">ORD-4452</t>
  </si>
  <si>
    <t xml:space="preserve">2026-10-27T10:39:47.676887+00:00</t>
  </si>
  <si>
    <t xml:space="preserve">2026-10-27T10:39:47.681693+00:00</t>
  </si>
  <si>
    <t xml:space="preserve">2026-10-27T10:39:47.682225+00:00</t>
  </si>
  <si>
    <t xml:space="preserve">ORD-4453</t>
  </si>
  <si>
    <t xml:space="preserve">WIRE-25 x 3 @ 52,000</t>
  </si>
  <si>
    <t xml:space="preserve">2026-10-27T10:39:47.685812+00:00</t>
  </si>
  <si>
    <t xml:space="preserve">2026-10-27T10:39:47.690928+00:00</t>
  </si>
  <si>
    <t xml:space="preserve">2026-10-27T10:39:47.691442+00:00</t>
  </si>
  <si>
    <t xml:space="preserve">ORD-4454</t>
  </si>
  <si>
    <t xml:space="preserve">PNT-20W x 21 @ 38,000</t>
  </si>
  <si>
    <t xml:space="preserve">2026-10-27T10:39:47.694653+00:00</t>
  </si>
  <si>
    <t xml:space="preserve">2026-10-27T10:39:47.699488+00:00</t>
  </si>
  <si>
    <t xml:space="preserve">2026-10-27T10:39:47.699986+00:00</t>
  </si>
  <si>
    <t xml:space="preserve">ORD-4455</t>
  </si>
  <si>
    <t xml:space="preserve">CEM-50 x 162 @ 9,500; PNT-20C x 2 @ 38,000; WIRE-25 x 11 @ 52,000</t>
  </si>
  <si>
    <t xml:space="preserve">Cement, 50 kg bag: 162 is far above this customer's usual 23.</t>
  </si>
  <si>
    <t xml:space="preserve">2026-10-27T10:39:47.70313+00:00</t>
  </si>
  <si>
    <t xml:space="preserve">2026-10-27T10:39:47.716954+00:00</t>
  </si>
  <si>
    <t xml:space="preserve">2026-10-27T10:39:47.717544+00:00</t>
  </si>
  <si>
    <t xml:space="preserve">ORD-4456</t>
  </si>
  <si>
    <t xml:space="preserve">Cement, 50 kg bag: 162 is far above this customer's usual 50. | This looks like a repeat of ORD-4455. Confirm it is a new order.</t>
  </si>
  <si>
    <t xml:space="preserve">2026-10-27T10:39:47.721217+00:00</t>
  </si>
  <si>
    <t xml:space="preserve">ORD-4457</t>
  </si>
  <si>
    <t xml:space="preserve">ROOF-AL x 20 @ 12,500; WIRE-25 x 1 @ 52,000</t>
  </si>
  <si>
    <t xml:space="preserve">2026-10-27T10:39:47.738005+00:00</t>
  </si>
  <si>
    <t xml:space="preserve">2026-10-27T10:39:47.745229+00:00</t>
  </si>
  <si>
    <t xml:space="preserve">2026-10-27T10:39:47.745757+00:00</t>
  </si>
  <si>
    <t xml:space="preserve">ORD-4458</t>
  </si>
  <si>
    <t xml:space="preserve">2026-10-27T10:39:47.748863+00:00</t>
  </si>
  <si>
    <t xml:space="preserve">2026-10-27T10:39:47.753755+00:00</t>
  </si>
  <si>
    <t xml:space="preserve">2026-10-27T10:39:47.754314+00:00</t>
  </si>
  <si>
    <t xml:space="preserve">ORD-4459</t>
  </si>
  <si>
    <t xml:space="preserve">PNT-20W x 26 @ 38,000</t>
  </si>
  <si>
    <t xml:space="preserve">2026-10-27T10:39:47.757932+00:00</t>
  </si>
  <si>
    <t xml:space="preserve">2026-10-27T10:39:47.762788+00:00</t>
  </si>
  <si>
    <t xml:space="preserve">2026-10-27T10:39:47.763351+00:00</t>
  </si>
  <si>
    <t xml:space="preserve">ORD-4460</t>
  </si>
  <si>
    <t xml:space="preserve">NAIL-3 x 7 @ 31,000; ROD-12 x 73 @ 7,200; ROOF-AL x 30 @ 12,500; TIL-6060 x 1 @ 14,500</t>
  </si>
  <si>
    <t xml:space="preserve">Floor tile 60x60, carton: quantity must be between 2 and 800. | Iron rod, 12 mm: 73 is far above this customer's usual 13.</t>
  </si>
  <si>
    <t xml:space="preserve">2026-10-27T10:39:47.767066+00:00</t>
  </si>
  <si>
    <t xml:space="preserve">2026-10-27T10:39:47.783509+00:00</t>
  </si>
  <si>
    <t xml:space="preserve">2026-10-27T10:39:47.784041+00:00</t>
  </si>
  <si>
    <t xml:space="preserve">ORD-4461</t>
  </si>
  <si>
    <t xml:space="preserve">PNT-20W x 16 @ 38,000; PVC-2 x 2 @ 4,100; ROOF-AL x 34 @ 12,500; XX-128 x None (not in the catalogue)</t>
  </si>
  <si>
    <t xml:space="preserve">Row 5: XX-128 - not in the catalogue</t>
  </si>
  <si>
    <t xml:space="preserve">2026-10-27T10:39:47.7873+00:00</t>
  </si>
  <si>
    <t xml:space="preserve">2026-10-27T10:39:47.796245+00:00</t>
  </si>
  <si>
    <t xml:space="preserve">2026-10-27T10:39:47.796766+00:00</t>
  </si>
  <si>
    <t xml:space="preserve">ORD-4462</t>
  </si>
  <si>
    <t xml:space="preserve">PNT-20C x 10 @ 38,000; TIL-6060 x 88 @ 14,500</t>
  </si>
  <si>
    <t xml:space="preserve">2026-10-27T10:39:47.800059+00:00</t>
  </si>
  <si>
    <t xml:space="preserve">2026-10-27T10:39:47.807664+00:00</t>
  </si>
  <si>
    <t xml:space="preserve">2026-10-27T10:39:47.808268+00:00</t>
  </si>
  <si>
    <t xml:space="preserve">ORD-4463</t>
  </si>
  <si>
    <t xml:space="preserve">CEM-50 x 15 @ 9,500; SAND-T x 1 @ 185,000</t>
  </si>
  <si>
    <t xml:space="preserve">2026-10-27T10:39:47.812057+00:00</t>
  </si>
  <si>
    <t xml:space="preserve">2026-10-27T10:39:47.823959+00:00</t>
  </si>
  <si>
    <t xml:space="preserve">2026-10-27T10:39:47.824504+00:00</t>
  </si>
  <si>
    <t xml:space="preserve">ORD-4464</t>
  </si>
  <si>
    <t xml:space="preserve">ROOF-AL x 12 @ 12,500; TIL-6060 x 34 @ 14,500; WIRE-25 x 5 @ 52,000; XX-748 x None (not in the catalogue)</t>
  </si>
  <si>
    <t xml:space="preserve">Row 5: XX-748 - not in the catalogue</t>
  </si>
  <si>
    <t xml:space="preserve">2026-10-27T10:39:47.827927+00:00</t>
  </si>
  <si>
    <t xml:space="preserve">2026-10-27T10:39:47.837853+00:00</t>
  </si>
  <si>
    <t xml:space="preserve">2026-10-27T10:39:47.838412+00:00</t>
  </si>
  <si>
    <t xml:space="preserve">ORD-4465</t>
  </si>
  <si>
    <t xml:space="preserve">WIRE-25 x 4 @ 52,000</t>
  </si>
  <si>
    <t xml:space="preserve">2026-10-27T10:39:47.841636+00:00</t>
  </si>
  <si>
    <t xml:space="preserve">2026-10-27T10:39:47.846888+00:00</t>
  </si>
  <si>
    <t xml:space="preserve">2026-10-27T10:39:47.847425+00:00</t>
  </si>
  <si>
    <t xml:space="preserve">ORD-4466</t>
  </si>
  <si>
    <t xml:space="preserve">SAND-T x 1 @ 185,000; TIL-6060 x 69 @ 14,500</t>
  </si>
  <si>
    <t xml:space="preserve">2026-10-27T10:39:47.851278+00:00</t>
  </si>
  <si>
    <t xml:space="preserve">2026-10-27T10:39:47.857741+00:00</t>
  </si>
  <si>
    <t xml:space="preserve">2026-10-27T10:39:47.858262+00:00</t>
  </si>
  <si>
    <t xml:space="preserve">ORD-4467</t>
  </si>
  <si>
    <t xml:space="preserve">ROD-12 x 111 @ 7,200</t>
  </si>
  <si>
    <t xml:space="preserve">Choose a delivery address. | Iron rod, 12 mm: 111 is far above this customer's usual 13.</t>
  </si>
  <si>
    <t xml:space="preserve">2026-10-27T10:39:47.861534+00:00</t>
  </si>
  <si>
    <t xml:space="preserve">2026-10-27T10:39:47.872575+00:00</t>
  </si>
  <si>
    <t xml:space="preserve">2026-10-27T10:39:47.873111+00:00</t>
  </si>
  <si>
    <t xml:space="preserve">ORD-4468</t>
  </si>
  <si>
    <t xml:space="preserve">CEM-50 x 19 @ 9,500; PNT-20W x 4 @ 38,000; PVC-2 x 7 @ 4,100; ROD-12 x 70 @ 7,200</t>
  </si>
  <si>
    <t xml:space="preserve">Iron rod, 12 mm: 70 is far above this customer's usual 13.</t>
  </si>
  <si>
    <t xml:space="preserve">2026-10-27T10:39:47.876803+00:00</t>
  </si>
  <si>
    <t xml:space="preserve">2026-10-27T10:39:47.89951+00:00</t>
  </si>
  <si>
    <t xml:space="preserve">2026-10-27T10:39:47.900089+00:00</t>
  </si>
  <si>
    <t xml:space="preserve">ORD-4469</t>
  </si>
  <si>
    <t xml:space="preserve">ROOF-AL x 63 @ 12,500; WIRE-25 x 5 @ 52,000</t>
  </si>
  <si>
    <t xml:space="preserve">2026-10-27T10:39:47.904026+00:00</t>
  </si>
  <si>
    <t xml:space="preserve">2026-10-27T10:39:47.911843+00:00</t>
  </si>
  <si>
    <t xml:space="preserve">2026-10-27T10:39:47.912406+00:00</t>
  </si>
  <si>
    <t xml:space="preserve">ORD-4470</t>
  </si>
  <si>
    <t xml:space="preserve">2026-10-27T10:39:47.916293+00:00</t>
  </si>
  <si>
    <t xml:space="preserve">2026-10-27T10:39:47.92152+00:00</t>
  </si>
  <si>
    <t xml:space="preserve">2026-10-27T10:39:47.922038+00:00</t>
  </si>
  <si>
    <t xml:space="preserve">ORD-4471</t>
  </si>
  <si>
    <t xml:space="preserve">ROOF-AL x 70 @ 12,500</t>
  </si>
  <si>
    <t xml:space="preserve">2026-10-27T10:39:47.925813+00:00</t>
  </si>
  <si>
    <t xml:space="preserve">2026-10-27T10:39:47.931954+00:00</t>
  </si>
  <si>
    <t xml:space="preserve">2026-10-27T10:39:47.932548+00:00</t>
  </si>
  <si>
    <t xml:space="preserve">ORD-4472</t>
  </si>
  <si>
    <t xml:space="preserve">PVC-4 x 5 @ 8,600</t>
  </si>
  <si>
    <t xml:space="preserve">2026-10-27T10:39:47.936471+00:00</t>
  </si>
  <si>
    <t xml:space="preserve">2026-10-27T10:39:47.942314+00:00</t>
  </si>
  <si>
    <t xml:space="preserve">2026-10-27T10:39:47.942881+00:00</t>
  </si>
  <si>
    <t xml:space="preserve">ORD-4473</t>
  </si>
  <si>
    <t xml:space="preserve">NAIL-3 x 12 @ 31,000; PNT-20W x 26 @ 38,000</t>
  </si>
  <si>
    <t xml:space="preserve">2026-10-27T10:39:47.946157+00:00</t>
  </si>
  <si>
    <t xml:space="preserve">2026-10-27T10:39:47.953747+00:00</t>
  </si>
  <si>
    <t xml:space="preserve">2026-10-27T10:39:47.954297+00:00</t>
  </si>
  <si>
    <t xml:space="preserve">ORD-4474</t>
  </si>
  <si>
    <t xml:space="preserve">PNT-20W x 6 @ 38,000; PVC-4 x 17 @ 8,600</t>
  </si>
  <si>
    <t xml:space="preserve">2026-10-27T10:39:47.958187+00:00</t>
  </si>
  <si>
    <t xml:space="preserve">2026-10-27T10:39:47.966219+00:00</t>
  </si>
  <si>
    <t xml:space="preserve">2026-10-27T10:39:47.966748+00:00</t>
  </si>
  <si>
    <t xml:space="preserve">ORD-4475</t>
  </si>
  <si>
    <t xml:space="preserve">PNT-20C x 4 @ 38,000</t>
  </si>
  <si>
    <t xml:space="preserve">2026-10-27T10:39:47.970104+00:00</t>
  </si>
  <si>
    <t xml:space="preserve">2026-10-27T10:39:47.975751+00:00</t>
  </si>
  <si>
    <t xml:space="preserve">2026-10-27T10:39:47.97628+00:00</t>
  </si>
  <si>
    <t xml:space="preserve">ORD-4476</t>
  </si>
  <si>
    <t xml:space="preserve">CEM-50 x 9 @ 9,500; ROD-12 x 70 @ 7,200</t>
  </si>
  <si>
    <t xml:space="preserve">Cement, 50 kg bag: quantity must be between 10 and 2000. | Iron rod, 12 mm: 70 is far above this customer's usual 13.</t>
  </si>
  <si>
    <t xml:space="preserve">2026-10-27T10:39:47.980283+00:00</t>
  </si>
  <si>
    <t xml:space="preserve">2026-10-27T10:39:48.000414+00:00</t>
  </si>
  <si>
    <t xml:space="preserve">2026-10-27T10:39:48.000952+00:00</t>
  </si>
  <si>
    <t xml:space="preserve">ORD-4477</t>
  </si>
  <si>
    <t xml:space="preserve">ROD-12 x 90 @ 7,200; ROD-16 x 11 @ 11,800; TIL-6060 x 50 @ 14,500</t>
  </si>
  <si>
    <t xml:space="preserve">2026-10-27T10:39:48.004701+00:00</t>
  </si>
  <si>
    <t xml:space="preserve">2026-10-27T10:39:48.021464+00:00</t>
  </si>
  <si>
    <t xml:space="preserve">2026-10-27T10:39:48.022002+00:00</t>
  </si>
  <si>
    <t xml:space="preserve">ORD-4478</t>
  </si>
  <si>
    <t xml:space="preserve">PVC-4 x 57 @ 8,600; ROOF-AL x 56 @ 12,500</t>
  </si>
  <si>
    <t xml:space="preserve">2026-10-27T10:39:48.025757+00:00</t>
  </si>
  <si>
    <t xml:space="preserve">2026-10-27T10:39:48.034361+00:00</t>
  </si>
  <si>
    <t xml:space="preserve">2026-10-27T10:39:48.0349+00:00</t>
  </si>
  <si>
    <t xml:space="preserve">ORD-4479</t>
  </si>
  <si>
    <t xml:space="preserve">PVC-2 x 2 @ 4,100; WIRE-25 x 6 @ 52,000; ROD-16 x 5.5 (Quantity must be a whole number)</t>
  </si>
  <si>
    <t xml:space="preserve">2026-10-27T10:39:48.03862+00:00</t>
  </si>
  <si>
    <t xml:space="preserve">2026-10-27T10:39:48.046712+00:00</t>
  </si>
  <si>
    <t xml:space="preserve">2026-10-27T10:39:48.047248+00:00</t>
  </si>
  <si>
    <t xml:space="preserve">ORD-4480</t>
  </si>
  <si>
    <t xml:space="preserve">PNT-20W x 28 @ 38,000; PVC-4 x 3 @ 8,600</t>
  </si>
  <si>
    <t xml:space="preserve">2026-10-27T10:39:48.050836+00:00</t>
  </si>
  <si>
    <t xml:space="preserve">2026-10-27T10:39:48.059098+00:00</t>
  </si>
  <si>
    <t xml:space="preserve">2026-10-27T10:39:48.059675+00:00</t>
  </si>
  <si>
    <t xml:space="preserve">ORD-4481</t>
  </si>
  <si>
    <t xml:space="preserve">PNT-20W x 1 @ 38,000; PVC-2 x 2 @ 4,100; TIL-6060 x 2.5 (Quantity must be a whole number)</t>
  </si>
  <si>
    <t xml:space="preserve">2026-10-27T10:39:48.063866+00:00</t>
  </si>
  <si>
    <t xml:space="preserve">2026-10-27T10:39:48.072116+00:00</t>
  </si>
  <si>
    <t xml:space="preserve">2026-10-27T10:39:48.072691+00:00</t>
  </si>
  <si>
    <t xml:space="preserve">ORD-4482</t>
  </si>
  <si>
    <t xml:space="preserve">PNT-20C x 1 @ 38,000; PVC-2 x 2 @ 4,100; ROD-12 x 74 @ 7,200</t>
  </si>
  <si>
    <t xml:space="preserve">2026-10-27T10:39:48.076191+00:00</t>
  </si>
  <si>
    <t xml:space="preserve">2026-10-27T10:39:48.093289+00:00</t>
  </si>
  <si>
    <t xml:space="preserve">2026-10-27T10:39:48.093874+00:00</t>
  </si>
  <si>
    <t xml:space="preserve">ORD-4483</t>
  </si>
  <si>
    <t xml:space="preserve">NAIL-3 x 7 @ 31,000; TIL-6060 x 26 @ 14,500; WIRE-25 x 14 @ 52,000</t>
  </si>
  <si>
    <t xml:space="preserve">2026-10-27T10:39:48.098086+00:00</t>
  </si>
  <si>
    <t xml:space="preserve">2026-10-27T10:39:48.109054+00:00</t>
  </si>
  <si>
    <t xml:space="preserve">2026-10-27T10:39:48.109615+00:00</t>
  </si>
  <si>
    <t xml:space="preserve">ORD-4484</t>
  </si>
  <si>
    <t xml:space="preserve">ROD-12 x 113 @ 7,200; ROOF-AL x 12 @ 12,500; TIL-6060 x 66 @ 14,500</t>
  </si>
  <si>
    <t xml:space="preserve">Iron rod, 12 mm: 113 is far above this customer's usual 32.</t>
  </si>
  <si>
    <t xml:space="preserve">2026-10-27T10:39:48.113349+00:00</t>
  </si>
  <si>
    <t xml:space="preserve">2026-10-27T10:39:48.131262+00:00</t>
  </si>
  <si>
    <t xml:space="preserve">2026-10-27T10:39:48.131823+00:00</t>
  </si>
  <si>
    <t xml:space="preserve">ORD-4485</t>
  </si>
  <si>
    <t xml:space="preserve">CEM-50 x 39 @ 9,500; NAIL-3 x 3 @ 31,000; PVC-2 x 2 @ 4,100</t>
  </si>
  <si>
    <t xml:space="preserve">2026-10-27T10:39:48.136172+00:00</t>
  </si>
  <si>
    <t xml:space="preserve">2026-10-27T10:39:48.153312+00:00</t>
  </si>
  <si>
    <t xml:space="preserve">2026-10-27T10:39:48.153854+00:00</t>
  </si>
  <si>
    <t xml:space="preserve">ORD-4486</t>
  </si>
  <si>
    <t xml:space="preserve">PVC-4 x 14 @ 8,600; ROOF-AL x 46 @ 12,500; WIRE-25 x 14 @ 52,000</t>
  </si>
  <si>
    <t xml:space="preserve">2026-10-27T10:39:48.157499+00:00</t>
  </si>
  <si>
    <t xml:space="preserve">2026-10-27T10:39:48.169388+00:00</t>
  </si>
  <si>
    <t xml:space="preserve">2026-10-27T10:39:48.169942+00:00</t>
  </si>
  <si>
    <t xml:space="preserve">ORD-4487</t>
  </si>
  <si>
    <t xml:space="preserve">ROD-16 x 22 @ 11,800; WIRE-25 x 1 @ 52,000</t>
  </si>
  <si>
    <t xml:space="preserve">2026-10-27T10:39:48.174312+00:00</t>
  </si>
  <si>
    <t xml:space="preserve">2026-10-27T10:39:48.183022+00:00</t>
  </si>
  <si>
    <t xml:space="preserve">2026-10-27T10:39:48.183601+00:00</t>
  </si>
  <si>
    <t xml:space="preserve">ORD-4488</t>
  </si>
  <si>
    <t xml:space="preserve">CEM-50 x 25 @ 9,500; PNT-20C x 2 @ 38,000; WIRE-25 x 16 @ 52,000; ROD-12 x 5.5 (Quantity must be a whole number)</t>
  </si>
  <si>
    <t xml:space="preserve">2026-10-27T10:39:48.18795+00:00</t>
  </si>
  <si>
    <t xml:space="preserve">2026-10-27T10:39:48.206105+00:00</t>
  </si>
  <si>
    <t xml:space="preserve">2026-10-27T10:39:48.206712+00:00</t>
  </si>
  <si>
    <t xml:space="preserve">ORD-4489</t>
  </si>
  <si>
    <t xml:space="preserve">CEM-50 x 190 @ 9,500; PNT-20C x 8 @ 38,000; PNT-20W x 4 @ 38,000</t>
  </si>
  <si>
    <t xml:space="preserve">2026-10-27T10:39:48.210415+00:00</t>
  </si>
  <si>
    <t xml:space="preserve">2026-10-27T10:39:48.228119+00:00</t>
  </si>
  <si>
    <t xml:space="preserve">2026-10-27T10:39:48.228737+00:00</t>
  </si>
  <si>
    <t xml:space="preserve">ORD-4490</t>
  </si>
  <si>
    <t xml:space="preserve">NAIL-3 x 4 @ 31,000; PVC-4 x 39 @ 8,600; ROD-16 x 8 @ 11,800</t>
  </si>
  <si>
    <t xml:space="preserve">2026-10-27T10:39:48.233126+00:00</t>
  </si>
  <si>
    <t xml:space="preserve">2026-10-27T10:39:48.24479+00:00</t>
  </si>
  <si>
    <t xml:space="preserve">2026-10-27T10:39:48.245388+00:00</t>
  </si>
  <si>
    <t xml:space="preserve">ORD-4491</t>
  </si>
  <si>
    <t xml:space="preserve">PNT-20W x 29 @ 38,000</t>
  </si>
  <si>
    <t xml:space="preserve">2026-10-27T10:39:48.249827+00:00</t>
  </si>
  <si>
    <t xml:space="preserve">2026-10-27T10:39:48.256029+00:00</t>
  </si>
  <si>
    <t xml:space="preserve">2026-10-27T10:39:48.256666+00:00</t>
  </si>
  <si>
    <t xml:space="preserve">ORD-4492</t>
  </si>
  <si>
    <t xml:space="preserve">PNT-20W x 26 @ 38,000; ROD-16 x 18 @ 11,800; ROOF-AL x 11 @ 12,500</t>
  </si>
  <si>
    <t xml:space="preserve">2026-10-27T10:39:48.26091+00:00</t>
  </si>
  <si>
    <t xml:space="preserve">2026-10-27T10:39:48.273005+00:00</t>
  </si>
  <si>
    <t xml:space="preserve">2026-10-27T10:39:48.273605+00:00</t>
  </si>
  <si>
    <t xml:space="preserve">ORD-4493</t>
  </si>
  <si>
    <t xml:space="preserve">CEM-50 x 16 @ 9,500; PNT-20C x 10 @ 38,000; ROD-12 x 4 @ 7,200; TIL-6060 x 54 @ 14,500</t>
  </si>
  <si>
    <t xml:space="preserve">2026-10-27T10:39:48.278169+00:00</t>
  </si>
  <si>
    <t xml:space="preserve">2026-10-27T10:39:48.305811+00:00</t>
  </si>
  <si>
    <t xml:space="preserve">2026-10-27T10:39:48.306415+00:00</t>
  </si>
  <si>
    <t xml:space="preserve">ORD-4494</t>
  </si>
  <si>
    <t xml:space="preserve">TIL-6060 x 77 @ 14,500; WIRE-25 x 1 @ 52,000</t>
  </si>
  <si>
    <t xml:space="preserve">2026-10-27T10:39:48.310296+00:00</t>
  </si>
  <si>
    <t xml:space="preserve">2026-10-27T10:39:48.320154+00:00</t>
  </si>
  <si>
    <t xml:space="preserve">2026-10-27T10:39:48.320738+00:00</t>
  </si>
  <si>
    <t xml:space="preserve">ORD-4495</t>
  </si>
  <si>
    <t xml:space="preserve">2026-10-27T10:39:48.324636+00:00</t>
  </si>
  <si>
    <t xml:space="preserve">2026-10-27T10:39:48.333895+00:00</t>
  </si>
  <si>
    <t xml:space="preserve">2026-10-27T10:39:48.334468+00:00</t>
  </si>
  <si>
    <t xml:space="preserve">ORD-4496</t>
  </si>
  <si>
    <t xml:space="preserve">ROOF-AL x 25 @ 12,500</t>
  </si>
  <si>
    <t xml:space="preserve">2026-10-27T10:39:48.338885+00:00</t>
  </si>
  <si>
    <t xml:space="preserve">2026-10-27T10:39:48.345871+00:00</t>
  </si>
  <si>
    <t xml:space="preserve">2026-10-27T10:39:48.346449+00:00</t>
  </si>
  <si>
    <t xml:space="preserve">ORD-4497</t>
  </si>
  <si>
    <t xml:space="preserve">PVC-4 x 9 @ 8,600; ROD-16 x 41 @ 11,800; ROOF-AL x 21 @ 12,500</t>
  </si>
  <si>
    <t xml:space="preserve">2026-10-27T10:39:48.350804+00:00</t>
  </si>
  <si>
    <t xml:space="preserve">2026-10-27T10:39:48.364047+00:00</t>
  </si>
  <si>
    <t xml:space="preserve">2026-10-27T10:39:48.364628+00:00</t>
  </si>
  <si>
    <t xml:space="preserve">ORD-4498</t>
  </si>
  <si>
    <t xml:space="preserve">NAIL-3 x 6 @ 31,000; ROD-12 x 8 @ 7,200; ROD-16 x 1030 @ 11,800</t>
  </si>
  <si>
    <t xml:space="preserve">2026-10-27T10:39:48.368714+00:00</t>
  </si>
  <si>
    <t xml:space="preserve">2026-10-27T10:39:48.387584+00:00</t>
  </si>
  <si>
    <t xml:space="preserve">2026-10-27T10:39:48.388132+00:00</t>
  </si>
  <si>
    <t xml:space="preserve">ORD-4499</t>
  </si>
  <si>
    <t xml:space="preserve">WIRE-25 x 12 @ 52,000; XX-815 x None (not in the catalogue)</t>
  </si>
  <si>
    <t xml:space="preserve">Row 3: XX-815 - not in the catalogue</t>
  </si>
  <si>
    <t xml:space="preserve">2026-10-27T10:39:48.392288+00:00</t>
  </si>
  <si>
    <t xml:space="preserve">2026-10-27T10:39:48.398811+00:00</t>
  </si>
  <si>
    <t xml:space="preserve">2026-10-27T10:39:48.399361+00:00</t>
  </si>
  <si>
    <t xml:space="preserve">ORD-4500</t>
  </si>
  <si>
    <t xml:space="preserve">PNT-20C x 5 @ 38,000; PNT-20W x 13 @ 38,000</t>
  </si>
  <si>
    <t xml:space="preserve">2026-10-27T10:39:48.403248+00:00</t>
  </si>
  <si>
    <t xml:space="preserve">2026-10-27T10:39:48.412858+00:00</t>
  </si>
  <si>
    <t xml:space="preserve">2026-10-27T10:39:48.413426+00:00</t>
  </si>
  <si>
    <t xml:space="preserve">ORD-4501</t>
  </si>
  <si>
    <t xml:space="preserve">CEM-50 x 2012 @ 9,500; PVC-4 x 58 @ 8,600; ROD-16 x 6 @ 11,800</t>
  </si>
  <si>
    <t xml:space="preserve">Cement, 50 kg bag: quantity must be between 10 and 2000. | Cement, 50 kg bag: not enough stock for this quantity. Reduce it. | Cement, 50 kg bag: 2012 is far above this customer's usual 23.</t>
  </si>
  <si>
    <t xml:space="preserve">2026-10-27T10:39:48.417373+00:00</t>
  </si>
  <si>
    <t xml:space="preserve">2026-10-27T10:39:48.438058+00:00</t>
  </si>
  <si>
    <t xml:space="preserve">2026-10-27T10:39:48.438708+00:00</t>
  </si>
  <si>
    <t xml:space="preserve">ORD-4502</t>
  </si>
  <si>
    <t xml:space="preserve">PNT-20W x 8 @ 38,000; PVC-4 x 3 @ 8,600; ROD-12 x 61 @ 7,200</t>
  </si>
  <si>
    <t xml:space="preserve">2026-10-27T10:39:48.442795+00:00</t>
  </si>
  <si>
    <t xml:space="preserve">2026-10-27T10:39:48.462788+00:00</t>
  </si>
  <si>
    <t xml:space="preserve">2026-10-27T10:39:48.463396+00:00</t>
  </si>
  <si>
    <t xml:space="preserve">ORD-4503</t>
  </si>
  <si>
    <t xml:space="preserve">2026-10-27T10:39:48.467509+00:00</t>
  </si>
  <si>
    <t xml:space="preserve">2026-10-27T10:39:48.474151+00:00</t>
  </si>
  <si>
    <t xml:space="preserve">2026-10-27T10:39:48.474727+00:00</t>
  </si>
  <si>
    <t xml:space="preserve">ORD-4504</t>
  </si>
  <si>
    <t xml:space="preserve">CEM-50 x 170 @ 9,500; PVC-2 x 2 @ 4,100; ROOF-AL x 33 @ 12,500</t>
  </si>
  <si>
    <t xml:space="preserve">Cement, 50 kg bag: 170 is far above this customer's usual 22.</t>
  </si>
  <si>
    <t xml:space="preserve">2026-10-27T10:39:48.479142+00:00</t>
  </si>
  <si>
    <t xml:space="preserve">2026-10-27T10:39:48.499413+00:00</t>
  </si>
  <si>
    <t xml:space="preserve">2026-10-27T10:39:48.500021+00:00</t>
  </si>
  <si>
    <t xml:space="preserve">ORD-4505</t>
  </si>
  <si>
    <t xml:space="preserve">PVC-4 x 251 @ 8,600; ROD-12 x 139 @ 7,200; WIRE-25 x 2 @ 52,000</t>
  </si>
  <si>
    <t xml:space="preserve">2026-10-27T10:39:48.504825+00:00</t>
  </si>
  <si>
    <t xml:space="preserve">2026-10-27T10:39:48.525379+00:00</t>
  </si>
  <si>
    <t xml:space="preserve">2026-10-27T10:39:48.525956+00:00</t>
  </si>
  <si>
    <t xml:space="preserve">ORD-4506</t>
  </si>
  <si>
    <t xml:space="preserve">NAIL-3 x 4 @ 31,000; PNT-20W x 19 @ 38,000</t>
  </si>
  <si>
    <t xml:space="preserve">2026-10-27T10:39:48.529996+00:00</t>
  </si>
  <si>
    <t xml:space="preserve">2026-10-27T10:39:48.539951+00:00</t>
  </si>
  <si>
    <t xml:space="preserve">2026-10-27T10:39:48.540537+00:00</t>
  </si>
  <si>
    <t xml:space="preserve">ORD-4507</t>
  </si>
  <si>
    <t xml:space="preserve">CEM-50 x 80 @ 9,500; NAIL-3 x 10 @ 31,000; PVC-2 x 2 @ 4,100</t>
  </si>
  <si>
    <t xml:space="preserve">2026-10-27T10:39:48.54462+00:00</t>
  </si>
  <si>
    <t xml:space="preserve">2026-10-27T10:39:48.5646+00:00</t>
  </si>
  <si>
    <t xml:space="preserve">2026-10-27T10:39:48.565188+00:00</t>
  </si>
  <si>
    <t xml:space="preserve">ORD-4508</t>
  </si>
  <si>
    <t xml:space="preserve">PVC-4 x 5 @ 8,600; ROOF-AL x 57 @ 12,500</t>
  </si>
  <si>
    <t xml:space="preserve">2026-10-27T10:39:48.569357+00:00</t>
  </si>
  <si>
    <t xml:space="preserve">2026-10-27T10:39:48.58057+00:00</t>
  </si>
  <si>
    <t xml:space="preserve">2026-10-27T10:39:48.581139+00:00</t>
  </si>
  <si>
    <t xml:space="preserve">ORD-4509</t>
  </si>
  <si>
    <t xml:space="preserve">PNT-20W x 28 @ 38,000; ROOF-AL x 58 @ 12,500</t>
  </si>
  <si>
    <t xml:space="preserve">2026-10-27T10:39:48.585449+00:00</t>
  </si>
  <si>
    <t xml:space="preserve">2026-10-27T10:39:48.596386+00:00</t>
  </si>
  <si>
    <t xml:space="preserve">2026-10-27T10:39:48.596957+00:00</t>
  </si>
  <si>
    <t xml:space="preserve">ORD-4510</t>
  </si>
  <si>
    <t xml:space="preserve">PNT-20W x 24 @ 38,000; PVC-4 x 52 @ 8,600; ROD-16 x 301 @ 11,800; TIL-6060 x 81 @ 14,500</t>
  </si>
  <si>
    <t xml:space="preserve">2026-10-27T10:39:48.601271+00:00</t>
  </si>
  <si>
    <t xml:space="preserve">2026-10-27T10:39:48.619169+00:00</t>
  </si>
  <si>
    <t xml:space="preserve">2026-10-27T10:39:48.61976+00:00</t>
  </si>
  <si>
    <t xml:space="preserve">ORD-4511</t>
  </si>
  <si>
    <t xml:space="preserve">PNT-20W x 3 @ 38,000; ROD-12 x 16 @ 7,200; ROOF-AL x 75 @ 12,500; TIL-6060 x 73 @ 14,500</t>
  </si>
  <si>
    <t xml:space="preserve">2026-10-27T10:39:48.624168+00:00</t>
  </si>
  <si>
    <t xml:space="preserve">2026-10-27T10:39:48.649142+00:00</t>
  </si>
  <si>
    <t xml:space="preserve">2026-10-27T10:39:48.649784+00:00</t>
  </si>
  <si>
    <t xml:space="preserve">ORD-4512</t>
  </si>
  <si>
    <t xml:space="preserve">PNT-20C x 2 @ 38,000; ROOF-AL x 70 @ 12,500</t>
  </si>
  <si>
    <t xml:space="preserve">2026-10-27T10:39:48.654635+00:00</t>
  </si>
  <si>
    <t xml:space="preserve">2026-10-27T10:39:48.666109+00:00</t>
  </si>
  <si>
    <t xml:space="preserve">2026-10-27T10:39:48.666715+00:00</t>
  </si>
  <si>
    <t xml:space="preserve">ORD-4513</t>
  </si>
  <si>
    <t xml:space="preserve">NAIL-3 x 4 @ 31,000; ROD-12 x 160 @ 7,200</t>
  </si>
  <si>
    <t xml:space="preserve">Iron rod, 12 mm: 160 is far above this customer's usual 13.</t>
  </si>
  <si>
    <t xml:space="preserve">2026-10-27T10:39:48.67099+00:00</t>
  </si>
  <si>
    <t xml:space="preserve">2026-10-27T10:39:48.688172+00:00</t>
  </si>
  <si>
    <t xml:space="preserve">2026-10-27T10:39:48.688797+00:00</t>
  </si>
  <si>
    <t xml:space="preserve">ORD-4514</t>
  </si>
  <si>
    <t xml:space="preserve">2026-10-27T10:39:48.693514+00:00</t>
  </si>
  <si>
    <t xml:space="preserve">2026-10-27T10:39:48.700747+00:00</t>
  </si>
  <si>
    <t xml:space="preserve">2026-10-27T10:39:48.701405+00:00</t>
  </si>
  <si>
    <t xml:space="preserve">ORD-4515</t>
  </si>
  <si>
    <t xml:space="preserve">PVC-4 x 47 @ 8,600</t>
  </si>
  <si>
    <t xml:space="preserve">2026-10-27T10:39:48.706092+00:00</t>
  </si>
  <si>
    <t xml:space="preserve">2026-10-27T10:39:48.71372+00:00</t>
  </si>
  <si>
    <t xml:space="preserve">2026-10-27T10:39:48.714321+00:00</t>
  </si>
  <si>
    <t xml:space="preserve">ORD-4516</t>
  </si>
  <si>
    <t xml:space="preserve">PNT-20W x 27 @ 38,000; ROD-12 x 97 @ 7,200</t>
  </si>
  <si>
    <t xml:space="preserve">2026-10-27T10:39:48.719256+00:00</t>
  </si>
  <si>
    <t xml:space="preserve">2026-10-27T10:39:48.737508+00:00</t>
  </si>
  <si>
    <t xml:space="preserve">2026-10-27T10:39:48.738126+00:00</t>
  </si>
  <si>
    <t xml:space="preserve">ORD-4517</t>
  </si>
  <si>
    <t xml:space="preserve">PVC-2 x 511 @ 4,100; WIRE-25 x 3 @ 52,000</t>
  </si>
  <si>
    <t xml:space="preserve">2026-10-27T10:39:48.743073+00:00</t>
  </si>
  <si>
    <t xml:space="preserve">2026-10-27T10:39:48.754304+00:00</t>
  </si>
  <si>
    <t xml:space="preserve">2026-10-27T10:39:48.754924+00:00</t>
  </si>
  <si>
    <t xml:space="preserve">ORD-4518</t>
  </si>
  <si>
    <t xml:space="preserve">ROD-12 x 115 @ 7,200</t>
  </si>
  <si>
    <t xml:space="preserve">Iron rod, 12 mm: 115 is far above this customer's usual 13.</t>
  </si>
  <si>
    <t xml:space="preserve">2026-10-27T10:39:48.759128+00:00</t>
  </si>
  <si>
    <t xml:space="preserve">2026-10-27T10:39:48.773841+00:00</t>
  </si>
  <si>
    <t xml:space="preserve">2026-10-27T10:39:48.774541+00:00</t>
  </si>
  <si>
    <t xml:space="preserve">ORD-4519</t>
  </si>
  <si>
    <t xml:space="preserve">CEM-50 x 123 @ 9,500; NAIL-3 x 6 @ 31,000; PVC-2 x 2 @ 4,100; XX-997 x None (not in the catalogue)</t>
  </si>
  <si>
    <t xml:space="preserve">Row 5: XX-997 - not in the catalogue</t>
  </si>
  <si>
    <t xml:space="preserve">2026-10-27T10:39:48.779511+00:00</t>
  </si>
  <si>
    <t xml:space="preserve">2026-10-27T10:39:48.800874+00:00</t>
  </si>
  <si>
    <t xml:space="preserve">2026-10-27T10:39:48.801503+00:00</t>
  </si>
  <si>
    <t xml:space="preserve">ORD-4520</t>
  </si>
  <si>
    <t xml:space="preserve">2026-10-27T10:39:48.805755+00:00</t>
  </si>
  <si>
    <t xml:space="preserve">2026-10-27T10:39:48.813273+00:00</t>
  </si>
  <si>
    <t xml:space="preserve">2026-10-27T10:39:48.813872+00:00</t>
  </si>
  <si>
    <t xml:space="preserve">ORD-4521</t>
  </si>
  <si>
    <t xml:space="preserve">PNT-20W x 27 @ 38,000; PVC-2 x 2 @ 4,100; ROOF-AL x 19 @ 12,500</t>
  </si>
  <si>
    <t xml:space="preserve">2026-10-27T10:39:48.818655+00:00</t>
  </si>
  <si>
    <t xml:space="preserve">2026-10-27T10:39:48.834431+00:00</t>
  </si>
  <si>
    <t xml:space="preserve">2026-10-27T10:39:48.835102+00:00</t>
  </si>
  <si>
    <t xml:space="preserve">ORD-4522</t>
  </si>
  <si>
    <t xml:space="preserve">NAIL-3 x 1 @ 31,000</t>
  </si>
  <si>
    <t xml:space="preserve">2026-10-27T10:39:48.840124+00:00</t>
  </si>
  <si>
    <t xml:space="preserve">2026-10-27T10:39:48.847435+00:00</t>
  </si>
  <si>
    <t xml:space="preserve">2026-10-27T10:39:48.848044+00:00</t>
  </si>
  <si>
    <t xml:space="preserve">ORD-4523</t>
  </si>
  <si>
    <t xml:space="preserve">PNT-20W x 8 @ 38,000; PVC-4 x 34 @ 8,600; ROD-16 x 69 @ 11,800</t>
  </si>
  <si>
    <t xml:space="preserve">2026-10-27T10:39:48.852875+00:00</t>
  </si>
  <si>
    <t xml:space="preserve">2026-10-27T10:39:48.868793+00:00</t>
  </si>
  <si>
    <t xml:space="preserve">2026-10-27T10:39:48.869463+00:00</t>
  </si>
  <si>
    <t xml:space="preserve">ORD-4524</t>
  </si>
  <si>
    <t xml:space="preserve">NAIL-3 x 7 @ 31,000; PVC-4 x 15 @ 8,600; ROD-12 x 79 @ 7,200; ROOF-AL x 10.5 (Quantity must be a whole number)</t>
  </si>
  <si>
    <t xml:space="preserve">2026-10-27T10:39:48.874769+00:00</t>
  </si>
  <si>
    <t xml:space="preserve">2026-10-27T10:39:48.897801+00:00</t>
  </si>
  <si>
    <t xml:space="preserve">2026-10-27T10:39:48.898433+00:00</t>
  </si>
  <si>
    <t xml:space="preserve">ORD-4525</t>
  </si>
  <si>
    <t xml:space="preserve">CEM-50 x 9 @ 9,500; ROOF-AL x 26 @ 12,500</t>
  </si>
  <si>
    <t xml:space="preserve">2026-10-27T10:39:48.902879+00:00</t>
  </si>
  <si>
    <t xml:space="preserve">2026-10-27T10:39:48.923302+00:00</t>
  </si>
  <si>
    <t xml:space="preserve">2026-10-27T10:39:48.923967+00:00</t>
  </si>
  <si>
    <t xml:space="preserve">ORD-4526</t>
  </si>
  <si>
    <t xml:space="preserve">ROD-16 x 34 @ 11,800</t>
  </si>
  <si>
    <t xml:space="preserve">2026-10-27T10:39:48.927516+00:00</t>
  </si>
  <si>
    <t xml:space="preserve">2026-10-27T10:39:48.93498+00:00</t>
  </si>
  <si>
    <t xml:space="preserve">2026-10-27T10:39:48.935601+00:00</t>
  </si>
  <si>
    <t xml:space="preserve">ORD-4527</t>
  </si>
  <si>
    <t xml:space="preserve">ROOF-AL x 12 @ 12,500; WIRE-25 x 15 @ 52,000</t>
  </si>
  <si>
    <t xml:space="preserve">2026-10-27T10:39:48.940761+00:00</t>
  </si>
  <si>
    <t xml:space="preserve">2026-10-27T10:39:48.953511+00:00</t>
  </si>
  <si>
    <t xml:space="preserve">2026-10-27T10:39:48.954094+00:00</t>
  </si>
  <si>
    <t xml:space="preserve">ORD-4528</t>
  </si>
  <si>
    <t xml:space="preserve">This looks like a repeat of ORD-4526. Confirm it is a new order.</t>
  </si>
  <si>
    <t xml:space="preserve">2026-10-27T10:39:48.958592+00:00</t>
  </si>
  <si>
    <t xml:space="preserve">ORD-4529</t>
  </si>
  <si>
    <t xml:space="preserve">PVC-4 x 43 @ 8,600</t>
  </si>
  <si>
    <t xml:space="preserve">2026-10-27T10:39:48.969852+00:00</t>
  </si>
  <si>
    <t xml:space="preserve">2026-10-27T10:39:48.978271+00:00</t>
  </si>
  <si>
    <t xml:space="preserve">2026-10-27T10:39:48.978897+00:00</t>
  </si>
  <si>
    <t xml:space="preserve">ORD-4530</t>
  </si>
  <si>
    <t xml:space="preserve">PNT-20W x 25 @ 38,000; ROD-12 x 30 @ 7,200</t>
  </si>
  <si>
    <t xml:space="preserve">2026-10-27T10:39:48.984121+00:00</t>
  </si>
  <si>
    <t xml:space="preserve">2026-10-27T10:39:49.003942+00:00</t>
  </si>
  <si>
    <t xml:space="preserve">2026-10-27T10:39:49.004584+00:00</t>
  </si>
  <si>
    <t xml:space="preserve">ORD-4531</t>
  </si>
  <si>
    <t xml:space="preserve">CEM-50 x 123 @ 9,500; NAIL-3 x 10 @ 31,000; ROOF-AL x 311 @ 12,500</t>
  </si>
  <si>
    <t xml:space="preserve">2026-10-27T10:39:49.009946+00:00</t>
  </si>
  <si>
    <t xml:space="preserve">2026-10-27T10:39:49.034256+00:00</t>
  </si>
  <si>
    <t xml:space="preserve">2026-10-27T10:39:49.034885+00:00</t>
  </si>
  <si>
    <t xml:space="preserve">ORD-4532</t>
  </si>
  <si>
    <t xml:space="preserve">PNT-20C x 2 @ 38,000; ROD-12 x 115 @ 7,200; ROOF-AL x 311 @ 12,500; TIL-6060 x 80 @ 14,500</t>
  </si>
  <si>
    <t xml:space="preserve">2026-10-27T10:39:49.039709+00:00</t>
  </si>
  <si>
    <t xml:space="preserve">2026-10-27T10:39:49.068341+00:00</t>
  </si>
  <si>
    <t xml:space="preserve">2026-10-27T10:39:49.068962+00:00</t>
  </si>
  <si>
    <t xml:space="preserve">ORD-4533</t>
  </si>
  <si>
    <t xml:space="preserve">NAIL-3 x 5 @ 31,000; TIL-6060 x 36 @ 14,500</t>
  </si>
  <si>
    <t xml:space="preserve">2026-10-27T10:39:49.073786+00:00</t>
  </si>
  <si>
    <t xml:space="preserve">2026-10-27T10:39:49.085792+00:00</t>
  </si>
  <si>
    <t xml:space="preserve">2026-10-27T10:39:49.086432+00:00</t>
  </si>
  <si>
    <t xml:space="preserve">ORD-4534</t>
  </si>
  <si>
    <t xml:space="preserve">PVC-4 x 46 @ 8,600; ROD-12 x 144 @ 7,200; TIL-6060 x 44 @ 14,500</t>
  </si>
  <si>
    <t xml:space="preserve">Iron rod, 12 mm: 144 is far above this customer's usual 13.</t>
  </si>
  <si>
    <t xml:space="preserve">2026-10-27T10:39:49.091746+00:00</t>
  </si>
  <si>
    <t xml:space="preserve">2026-10-27T10:39:49.116847+00:00</t>
  </si>
  <si>
    <t xml:space="preserve">2026-10-27T10:39:49.117534+00:00</t>
  </si>
  <si>
    <t xml:space="preserve">ORD-4535</t>
  </si>
  <si>
    <t xml:space="preserve">PNT-20W x 15 @ 38,000; ROOF-AL x 42 @ 12,500; WIRE-25 x 5 @ 52,000</t>
  </si>
  <si>
    <t xml:space="preserve">2026-10-27T10:39:49.12292+00:00</t>
  </si>
  <si>
    <t xml:space="preserve">2026-10-27T10:39:49.140745+00:00</t>
  </si>
  <si>
    <t xml:space="preserve">2026-10-27T10:39:49.141426+00:00</t>
  </si>
  <si>
    <t xml:space="preserve">ORD-4536</t>
  </si>
  <si>
    <t xml:space="preserve">NAIL-3 x 4 @ 31,000; PNT-20C x 7 @ 38,000</t>
  </si>
  <si>
    <t xml:space="preserve">2026-10-27T10:39:49.146808+00:00</t>
  </si>
  <si>
    <t xml:space="preserve">2026-10-27T10:39:49.158862+00:00</t>
  </si>
  <si>
    <t xml:space="preserve">2026-10-27T10:39:49.159562+00:00</t>
  </si>
  <si>
    <t xml:space="preserve">ORD-4537</t>
  </si>
  <si>
    <t xml:space="preserve">ROD-12 x 124 @ 7,200; SAND-T x 1 @ 185,000</t>
  </si>
  <si>
    <t xml:space="preserve">SAND-T is no longer sold. Remove it. | Sharp sand, 20 tonne trip is out of stock. | Iron rod, 12 mm: 124 is far above this customer's usual 13.</t>
  </si>
  <si>
    <t xml:space="preserve">2026-10-27T10:39:49.164859+00:00</t>
  </si>
  <si>
    <t xml:space="preserve">2026-10-27T10:39:49.182657+00:00</t>
  </si>
  <si>
    <t xml:space="preserve">2026-10-27T10:39:49.183284+00:00</t>
  </si>
  <si>
    <t xml:space="preserve">ORD-4538</t>
  </si>
  <si>
    <t xml:space="preserve">PNT-20W x 21 @ 38,000; ROD-12 x 95 @ 7,200; WIRE-25 x 2 @ 52,000</t>
  </si>
  <si>
    <t xml:space="preserve">2026-10-27T10:39:49.187918+00:00</t>
  </si>
  <si>
    <t xml:space="preserve">2026-10-27T10:39:49.213034+00:00</t>
  </si>
  <si>
    <t xml:space="preserve">2026-10-27T10:39:49.21372+00:00</t>
  </si>
  <si>
    <t xml:space="preserve">ORD-4539</t>
  </si>
  <si>
    <t xml:space="preserve">CEM-50 x 9 @ 9,500; PVC-2 x 2 @ 4,100</t>
  </si>
  <si>
    <t xml:space="preserve">2026-10-27T10:39:49.219361+00:00</t>
  </si>
  <si>
    <t xml:space="preserve">2026-10-27T10:39:49.239474+00:00</t>
  </si>
  <si>
    <t xml:space="preserve">2026-10-27T10:39:49.240134+00:00</t>
  </si>
  <si>
    <t xml:space="preserve">ORD-4540</t>
  </si>
  <si>
    <t xml:space="preserve">NAIL-3 x 11 @ 31,000; XX-385 x None (not in the catalogue)</t>
  </si>
  <si>
    <t xml:space="preserve">Row 3: XX-385 - not in the catalogue</t>
  </si>
  <si>
    <t xml:space="preserve">2026-10-27T10:39:49.244946+00:00</t>
  </si>
  <si>
    <t xml:space="preserve">2026-10-27T10:39:49.252878+00:00</t>
  </si>
  <si>
    <t xml:space="preserve">2026-10-27T10:39:49.253512+00:00</t>
  </si>
  <si>
    <t xml:space="preserve">ORD-4541</t>
  </si>
  <si>
    <t xml:space="preserve">PNT-20C x 7 @ 38,000; ROD-16 x 58 @ 11,800; WIRE-25 x 15 @ 52,000</t>
  </si>
  <si>
    <t xml:space="preserve">2026-10-27T10:39:49.258168+00:00</t>
  </si>
  <si>
    <t xml:space="preserve">2026-10-27T10:39:49.274863+00:00</t>
  </si>
  <si>
    <t xml:space="preserve">2026-10-27T10:39:49.275508+00:00</t>
  </si>
  <si>
    <t xml:space="preserve">ORD-4542</t>
  </si>
  <si>
    <t xml:space="preserve">PNT-20C x 8 @ 38,000; PNT-20W x 6 @ 38,000; ROD-16 x 19 @ 11,800</t>
  </si>
  <si>
    <t xml:space="preserve">2026-10-27T10:39:49.281058+00:00</t>
  </si>
  <si>
    <t xml:space="preserve">2026-10-27T10:39:49.29883+00:00</t>
  </si>
  <si>
    <t xml:space="preserve">2026-10-27T10:39:49.299501+00:00</t>
  </si>
  <si>
    <t xml:space="preserve">ORD-4543</t>
  </si>
  <si>
    <t xml:space="preserve">PVC-4 x 54 @ 8,600; PVC-2 x 2.5 (Quantity must be a whole number)</t>
  </si>
  <si>
    <t xml:space="preserve">2026-10-27T10:39:49.305138+00:00</t>
  </si>
  <si>
    <t xml:space="preserve">2026-10-27T10:39:49.31443+00:00</t>
  </si>
  <si>
    <t xml:space="preserve">2026-10-27T10:39:49.315023+00:00</t>
  </si>
  <si>
    <t xml:space="preserve">ORD-4544</t>
  </si>
  <si>
    <t xml:space="preserve">NAIL-3 x 4 @ 31,000; ROD-16 x 55 @ 11,800</t>
  </si>
  <si>
    <t xml:space="preserve">2026-10-27T10:39:49.31988+00:00</t>
  </si>
  <si>
    <t xml:space="preserve">2026-10-27T10:39:49.33275+00:00</t>
  </si>
  <si>
    <t xml:space="preserve">2026-10-27T10:39:49.333385+00:00</t>
  </si>
  <si>
    <t xml:space="preserve">ORD-4545</t>
  </si>
  <si>
    <t xml:space="preserve">NAIL-3 x 11 @ 31,000; ROOF-AL x 37 @ 12,500</t>
  </si>
  <si>
    <t xml:space="preserve">2026-10-27T10:39:49.338331+00:00</t>
  </si>
  <si>
    <t xml:space="preserve">2026-10-27T10:39:49.352188+00:00</t>
  </si>
  <si>
    <t xml:space="preserve">2026-10-27T10:39:49.352831+00:00</t>
  </si>
  <si>
    <t xml:space="preserve">ORD-4546</t>
  </si>
  <si>
    <t xml:space="preserve">CEM-50 x 126 @ 9,500; ROD-16 x 5 @ 11,800</t>
  </si>
  <si>
    <t xml:space="preserve">2026-10-27T10:39:49.358641+00:00</t>
  </si>
  <si>
    <t xml:space="preserve">2026-10-27T10:39:49.380321+00:00</t>
  </si>
  <si>
    <t xml:space="preserve">2026-10-27T10:39:49.380968+00:00</t>
  </si>
  <si>
    <t xml:space="preserve">ORD-4547</t>
  </si>
  <si>
    <t xml:space="preserve">PNT-20C x 4 @ 38,000; ROD-16 x 48 @ 11,800</t>
  </si>
  <si>
    <t xml:space="preserve">2026-10-27T10:39:49.386465+00:00</t>
  </si>
  <si>
    <t xml:space="preserve">2026-10-27T10:39:49.400134+00:00</t>
  </si>
  <si>
    <t xml:space="preserve">2026-10-27T10:39:49.400783+00:00</t>
  </si>
  <si>
    <t xml:space="preserve">ORD-4548</t>
  </si>
  <si>
    <t xml:space="preserve">NAIL-3 x 3 @ 31,000; ROD-16 x 15 @ 11,800; WIRE-25 x 11 @ 52,000</t>
  </si>
  <si>
    <t xml:space="preserve">2026-10-27T10:39:49.405875+00:00</t>
  </si>
  <si>
    <t xml:space="preserve">2026-10-27T10:39:49.424488+00:00</t>
  </si>
  <si>
    <t xml:space="preserve">2026-10-27T10:39:49.425192+00:00</t>
  </si>
  <si>
    <t xml:space="preserve">ORD-4549</t>
  </si>
  <si>
    <t xml:space="preserve">CEM-50 x 771 @ 9,500; NAIL-3 x 5 @ 31,000; PNT-20C x 8 @ 38,000; PNT-20W x 22 @ 38,000</t>
  </si>
  <si>
    <t xml:space="preserve">Cement, 50 kg bag: not enough stock for this quantity. Reduce it. | Cement, 50 kg bag: 771 is far above this customer's usual 53.</t>
  </si>
  <si>
    <t xml:space="preserve">2026-10-27T10:39:49.430945+00:00</t>
  </si>
  <si>
    <t xml:space="preserve">2026-10-27T10:39:49.462706+00:00</t>
  </si>
  <si>
    <t xml:space="preserve">2026-10-27T10:39:49.46342+00:00</t>
  </si>
  <si>
    <t xml:space="preserve">ORD-4550</t>
  </si>
  <si>
    <t xml:space="preserve">NAIL-3 x 13 @ 31,000; PVC-2 x 2 @ 4,100; ROD-16 x 74 @ 11,800</t>
  </si>
  <si>
    <t xml:space="preserve">2026-10-27T10:39:49.468288+00:00</t>
  </si>
  <si>
    <t xml:space="preserve">2026-10-27T10:39:49.486357+00:00</t>
  </si>
  <si>
    <t xml:space="preserve">2026-10-27T10:39:49.487049+00:00</t>
  </si>
  <si>
    <t xml:space="preserve">ORD-4551</t>
  </si>
  <si>
    <t xml:space="preserve">PVC-2 x 2 @ 4,100; ROD-12 x 55 @ 7,200; ROOF-AL x 45 @ 12,500</t>
  </si>
  <si>
    <t xml:space="preserve">2026-10-27T10:39:49.492748+00:00</t>
  </si>
  <si>
    <t xml:space="preserve">2026-10-27T10:39:49.519878+00:00</t>
  </si>
  <si>
    <t xml:space="preserve">2026-10-27T10:39:49.520539+00:00</t>
  </si>
  <si>
    <t xml:space="preserve">ORD-4552</t>
  </si>
  <si>
    <t xml:space="preserve">CEM-50 x 29 @ 9,500; ROD-12 x 13 @ 7,200</t>
  </si>
  <si>
    <t xml:space="preserve">2026-10-27T10:39:49.526288+00:00</t>
  </si>
  <si>
    <t xml:space="preserve">2026-10-27T10:39:49.556602+00:00</t>
  </si>
  <si>
    <t xml:space="preserve">2026-10-27T10:39:49.557275+00:00</t>
  </si>
  <si>
    <t xml:space="preserve">ORD-4553</t>
  </si>
  <si>
    <t xml:space="preserve">TIL-6060 x 23 @ 14,500; PVC-2 x 2.5 (Quantity must be a whole number)</t>
  </si>
  <si>
    <t xml:space="preserve">2026-10-27T10:39:49.562906+00:00</t>
  </si>
  <si>
    <t xml:space="preserve">2026-10-27T10:39:49.57218+00:00</t>
  </si>
  <si>
    <t xml:space="preserve">2026-10-27T10:39:49.572824+00:00</t>
  </si>
  <si>
    <t xml:space="preserve">ORD-4554</t>
  </si>
  <si>
    <t xml:space="preserve">This looks like a repeat of ORD-4552. Confirm it is a new order.</t>
  </si>
  <si>
    <t xml:space="preserve">2026-10-27T10:39:49.577846+00:00</t>
  </si>
  <si>
    <t xml:space="preserve">ORD-4555</t>
  </si>
  <si>
    <t xml:space="preserve">TIL-6060 x 60 @ 14,500</t>
  </si>
  <si>
    <t xml:space="preserve">2026-10-27T10:39:49.612848+00:00</t>
  </si>
  <si>
    <t xml:space="preserve">2026-10-27T10:39:49.622+00:00</t>
  </si>
  <si>
    <t xml:space="preserve">2026-10-27T10:39:49.622677+00:00</t>
  </si>
  <si>
    <t xml:space="preserve">ORD-4556</t>
  </si>
  <si>
    <t xml:space="preserve">PNT-20C x 4 @ 38,000; PVC-2 x 2 @ 4,100; PVC-4 x 15 @ 8,600; TIL-6060 x 843 @ 14,500</t>
  </si>
  <si>
    <t xml:space="preserve">2026-10-27T10:39:49.628319+00:00</t>
  </si>
  <si>
    <t xml:space="preserve">2026-10-27T10:39:49.652476+00:00</t>
  </si>
  <si>
    <t xml:space="preserve">2026-10-27T10:39:49.653192+00:00</t>
  </si>
  <si>
    <t xml:space="preserve">ORD-4557</t>
  </si>
  <si>
    <t xml:space="preserve">CEM-50 x 188 @ 9,500; TIL-6060 x 2.5 (Quantity must be a whole number)</t>
  </si>
  <si>
    <t xml:space="preserve">TIL-6060 - Quantity must be a whole number | Cement, 50 kg bag: 188 is far above this customer's usual 23.</t>
  </si>
  <si>
    <t xml:space="preserve">2026-10-27T10:39:49.658604+00:00</t>
  </si>
  <si>
    <t xml:space="preserve">2026-10-27T10:39:49.676794+00:00</t>
  </si>
  <si>
    <t xml:space="preserve">2026-10-27T10:39:49.677488+00:00</t>
  </si>
  <si>
    <t xml:space="preserve">ORD-4558</t>
  </si>
  <si>
    <t xml:space="preserve">PNT-20W x 13 @ 38,000; PVC-2 x 2 @ 4,100; ROD-16 x 301 @ 11,800</t>
  </si>
  <si>
    <t xml:space="preserve">2026-10-27T10:39:49.682747+00:00</t>
  </si>
  <si>
    <t xml:space="preserve">2026-10-27T10:39:49.702559+00:00</t>
  </si>
  <si>
    <t xml:space="preserve">2026-10-27T10:39:49.703232+00:00</t>
  </si>
  <si>
    <t xml:space="preserve">ORD-4559</t>
  </si>
  <si>
    <t xml:space="preserve">NAIL-3 x 9 @ 31,000; PVC-4 x 47 @ 8,600; ROOF-AL x 42 @ 12,500</t>
  </si>
  <si>
    <t xml:space="preserve">2026-10-27T10:39:49.708374+00:00</t>
  </si>
  <si>
    <t xml:space="preserve">2026-10-27T10:39:49.729464+00:00</t>
  </si>
  <si>
    <t xml:space="preserve">2026-10-27T10:39:49.730115+00:00</t>
  </si>
  <si>
    <t xml:space="preserve">ORD-4560</t>
  </si>
  <si>
    <t xml:space="preserve">PVC-4 x 50 @ 8,600</t>
  </si>
  <si>
    <t xml:space="preserve">2026-10-27T10:39:49.736098+00:00</t>
  </si>
  <si>
    <t xml:space="preserve">2026-10-27T10:39:49.745921+00:00</t>
  </si>
  <si>
    <t xml:space="preserve">2026-10-27T10:39:49.746546+00:00</t>
  </si>
  <si>
    <t xml:space="preserve">ORD-4561</t>
  </si>
  <si>
    <t xml:space="preserve">PNT-20W x 25 @ 38,000; ROOF-AL x 16 @ 12,500</t>
  </si>
  <si>
    <t xml:space="preserve">2026-10-27T10:39:49.751675+00:00</t>
  </si>
  <si>
    <t xml:space="preserve">2026-10-27T10:39:49.767495+00:00</t>
  </si>
  <si>
    <t xml:space="preserve">2026-10-27T10:39:49.768134+00:00</t>
  </si>
  <si>
    <t xml:space="preserve">ORD-4562</t>
  </si>
  <si>
    <t xml:space="preserve">PNT-20W x 17 @ 38,000; TIL-6060 x 81 @ 14,500; WIRE-25 x 7 @ 52,000</t>
  </si>
  <si>
    <t xml:space="preserve">2026-10-27T10:39:49.773925+00:00</t>
  </si>
  <si>
    <t xml:space="preserve">2026-10-27T10:39:49.794072+00:00</t>
  </si>
  <si>
    <t xml:space="preserve">2026-10-27T10:39:49.794738+00:00</t>
  </si>
  <si>
    <t xml:space="preserve">ORD-4563</t>
  </si>
  <si>
    <t xml:space="preserve">PNT-20W x 26 @ 38,000; WIRE-25 x 13 @ 52,000; XX-975 x None (not in the catalogue)</t>
  </si>
  <si>
    <t xml:space="preserve">Row 4: XX-975 - not in the catalogue</t>
  </si>
  <si>
    <t xml:space="preserve">2026-10-27T10:39:49.800769+00:00</t>
  </si>
  <si>
    <t xml:space="preserve">2026-10-27T10:39:49.816076+00:00</t>
  </si>
  <si>
    <t xml:space="preserve">2026-10-27T10:39:49.816734+00:00</t>
  </si>
  <si>
    <t xml:space="preserve">ORD-4564</t>
  </si>
  <si>
    <t xml:space="preserve">PNT-20C x 1 @ 38,000; PNT-20W x 7 @ 38,000; ROD-12 x 5.5 (Quantity must be a whole number)</t>
  </si>
  <si>
    <t xml:space="preserve">2026-10-27T10:39:49.822138+00:00</t>
  </si>
  <si>
    <t xml:space="preserve">2026-10-27T10:39:49.837731+00:00</t>
  </si>
  <si>
    <t xml:space="preserve">2026-10-27T10:39:49.838407+00:00</t>
  </si>
  <si>
    <t xml:space="preserve">ORD-4565</t>
  </si>
  <si>
    <t xml:space="preserve">CEM-50 x 59 @ 9,500; PVC-2 x 2 @ 4,100; TIL-6060 x 1 @ 14,500</t>
  </si>
  <si>
    <t xml:space="preserve">2026-10-27T10:39:49.843812+00:00</t>
  </si>
  <si>
    <t xml:space="preserve">2026-10-27T10:39:49.871937+00:00</t>
  </si>
  <si>
    <t xml:space="preserve">2026-10-27T10:39:49.872637+00:00</t>
  </si>
  <si>
    <t xml:space="preserve">ORD-4566</t>
  </si>
  <si>
    <t xml:space="preserve">ROD-12 x 1517 @ 7,200; ROD-16 x 50 @ 11,800</t>
  </si>
  <si>
    <t xml:space="preserve">Iron rod, 12 mm: quantity must be between 5 and 1500. | Iron rod, 12 mm: not enough stock for this quantity. Reduce it. | Iron rod, 12 mm: 1517 is far above this customer's usual 50.</t>
  </si>
  <si>
    <t xml:space="preserve">2026-10-27T10:39:49.878175+00:00</t>
  </si>
  <si>
    <t xml:space="preserve">2026-10-27T10:39:49.902708+00:00</t>
  </si>
  <si>
    <t xml:space="preserve">2026-10-27T10:39:49.903425+00:00</t>
  </si>
  <si>
    <t xml:space="preserve">ORD-4567</t>
  </si>
  <si>
    <t xml:space="preserve">TIL-6060 x 31 @ 14,500</t>
  </si>
  <si>
    <t xml:space="preserve">2026-10-27T10:39:49.908841+00:00</t>
  </si>
  <si>
    <t xml:space="preserve">2026-10-27T10:39:49.918907+00:00</t>
  </si>
  <si>
    <t xml:space="preserve">2026-10-27T10:39:49.919672+00:00</t>
  </si>
  <si>
    <t xml:space="preserve">ORD-4568</t>
  </si>
  <si>
    <t xml:space="preserve">PNT-20W x 14 @ 38,000; ROD-16 x 18 @ 11,800</t>
  </si>
  <si>
    <t xml:space="preserve">2026-10-27T10:39:49.925514+00:00</t>
  </si>
  <si>
    <t xml:space="preserve">2026-10-27T10:39:49.941957+00:00</t>
  </si>
  <si>
    <t xml:space="preserve">2026-10-27T10:39:49.942675+00:00</t>
  </si>
  <si>
    <t xml:space="preserve">ORD-4569</t>
  </si>
  <si>
    <t xml:space="preserve">PNT-20C x 3 @ 38,000; PNT-20W x 8 @ 38,000; PVC-2 x 9 @ 4,100</t>
  </si>
  <si>
    <t xml:space="preserve">2026-10-27T10:39:49.948848+00:00</t>
  </si>
  <si>
    <t xml:space="preserve">2026-10-27T10:39:49.969858+00:00</t>
  </si>
  <si>
    <t xml:space="preserve">2026-10-27T10:39:49.970528+00:00</t>
  </si>
  <si>
    <t xml:space="preserve">ORD-4570</t>
  </si>
  <si>
    <t xml:space="preserve">NAIL-3 x 1 @ 31,000; PNT-20W x 29 @ 38,000; WIRE-25 x 14 @ 52,000; PVC-4 x 2.5 (Quantity must be a whole number)</t>
  </si>
  <si>
    <t xml:space="preserve">2026-10-27T10:39:49.976772+00:00</t>
  </si>
  <si>
    <t xml:space="preserve">2026-10-27T10:39:49.998455+00:00</t>
  </si>
  <si>
    <t xml:space="preserve">2026-10-27T10:39:49.999105+00:00</t>
  </si>
  <si>
    <t xml:space="preserve">ORD-4571</t>
  </si>
  <si>
    <t xml:space="preserve">NAIL-3 x 10 @ 31,000; PVC-4 x 23 @ 8,600; SAND-T x 1 @ 185,000; WIRE-25 x 13 @ 52,000</t>
  </si>
  <si>
    <t xml:space="preserve">2026-10-27T10:39:50.004507+00:00</t>
  </si>
  <si>
    <t xml:space="preserve">2026-10-27T10:39:50.027689+00:00</t>
  </si>
  <si>
    <t xml:space="preserve">2026-10-27T10:39:50.028393+00:00</t>
  </si>
  <si>
    <t xml:space="preserve">ORD-4572</t>
  </si>
  <si>
    <t xml:space="preserve">CEM-50 x 20 @ 9,500; NAIL-3 x 10 @ 31,000; ROD-12 x 79 @ 7,200</t>
  </si>
  <si>
    <t xml:space="preserve">2026-10-27T10:39:50.03404+00:00</t>
  </si>
  <si>
    <t xml:space="preserve">2026-10-27T10:39:50.073756+00:00</t>
  </si>
  <si>
    <t xml:space="preserve">2026-10-27T10:39:50.074455+00:00</t>
  </si>
  <si>
    <t xml:space="preserve">ORD-4573</t>
  </si>
  <si>
    <t xml:space="preserve">CEM-50 x 128 @ 9,500; PNT-20W x 9 @ 38,000; PVC-2 x 2 @ 4,100</t>
  </si>
  <si>
    <t xml:space="preserve">Cement, 50 kg bag: 128 is far above this customer's usual 42.</t>
  </si>
  <si>
    <t xml:space="preserve">2026-10-27T10:39:50.080603+00:00</t>
  </si>
  <si>
    <t xml:space="preserve">2026-10-27T10:39:50.111439+00:00</t>
  </si>
  <si>
    <t xml:space="preserve">2026-10-27T10:39:50.112107+00:00</t>
  </si>
  <si>
    <t xml:space="preserve">ORD-4574</t>
  </si>
  <si>
    <t xml:space="preserve">NAIL-3 x 14 @ 31,000; ROD-16 x 53 @ 11,800; SAND-T x 1 @ 185,000; WIRE-25 x 11 @ 52,000</t>
  </si>
  <si>
    <t xml:space="preserve">2026-10-27T10:39:50.118251+00:00</t>
  </si>
  <si>
    <t xml:space="preserve">2026-10-27T10:39:50.141947+00:00</t>
  </si>
  <si>
    <t xml:space="preserve">2026-10-27T10:39:50.142637+00:00</t>
  </si>
  <si>
    <t xml:space="preserve">ORD-4575</t>
  </si>
  <si>
    <t xml:space="preserve">CEM-50 x 150 @ 9,500; PNT-20C x 2 @ 38,000; PVC-4 x 14 @ 8,600; ROOF-AL x 71 @ 12,500</t>
  </si>
  <si>
    <t xml:space="preserve">Cement, 50 kg bag: 150 is far above this customer's usual 45.</t>
  </si>
  <si>
    <t xml:space="preserve">2026-10-27T10:39:50.148226+00:00</t>
  </si>
  <si>
    <t xml:space="preserve">2026-10-27T10:39:50.18593+00:00</t>
  </si>
  <si>
    <t xml:space="preserve">2026-10-27T10:39:50.186646+00:00</t>
  </si>
  <si>
    <t xml:space="preserve">ORD-4576</t>
  </si>
  <si>
    <t xml:space="preserve">NAIL-3 x 2 @ 31,000; PVC-4 x 47 @ 8,600</t>
  </si>
  <si>
    <t xml:space="preserve">2026-10-27T10:39:50.192835+00:00</t>
  </si>
  <si>
    <t xml:space="preserve">2026-10-27T10:39:50.209661+00:00</t>
  </si>
  <si>
    <t xml:space="preserve">2026-10-27T10:39:50.210343+00:00</t>
  </si>
  <si>
    <t xml:space="preserve">ORD-4577</t>
  </si>
  <si>
    <t xml:space="preserve">WIRE-25 x 8 @ 52,000; CEM-50 x 10.5 (Quantity must be a whole number)</t>
  </si>
  <si>
    <t xml:space="preserve">2026-10-27T10:39:50.216466+00:00</t>
  </si>
  <si>
    <t xml:space="preserve">2026-10-27T10:39:50.226701+00:00</t>
  </si>
  <si>
    <t xml:space="preserve">2026-10-27T10:39:50.22738+00:00</t>
  </si>
  <si>
    <t xml:space="preserve">ORD-4578</t>
  </si>
  <si>
    <t xml:space="preserve">CEM-50 x 270 @ 9,500; NAIL-3 x 6 @ 31,000</t>
  </si>
  <si>
    <t xml:space="preserve">Cement, 50 kg bag: 270 is far above this customer's usual 23.</t>
  </si>
  <si>
    <t xml:space="preserve">2026-10-27T10:39:50.232878+00:00</t>
  </si>
  <si>
    <t xml:space="preserve">2026-10-27T10:39:50.25891+00:00</t>
  </si>
  <si>
    <t xml:space="preserve">2026-10-27T10:39:50.259596+00:00</t>
  </si>
  <si>
    <t xml:space="preserve">ORD-4579</t>
  </si>
  <si>
    <t xml:space="preserve">CEM-50 x 135 @ 9,500; NAIL-3 x 11 @ 31,000</t>
  </si>
  <si>
    <t xml:space="preserve">2026-10-27T10:39:50.265788+00:00</t>
  </si>
  <si>
    <t xml:space="preserve">2026-10-27T10:39:50.291591+00:00</t>
  </si>
  <si>
    <t xml:space="preserve">2026-10-27T10:39:50.292273+00:00</t>
  </si>
  <si>
    <t xml:space="preserve">ORD-4580</t>
  </si>
  <si>
    <t xml:space="preserve">2026-10-27T10:39:50.298542+00:00</t>
  </si>
  <si>
    <t xml:space="preserve">2026-10-27T10:39:50.308323+00:00</t>
  </si>
  <si>
    <t xml:space="preserve">2026-10-27T10:39:50.309009+00:00</t>
  </si>
  <si>
    <t xml:space="preserve">ORD-4581</t>
  </si>
  <si>
    <t xml:space="preserve">PVC-4 x 18 @ 8,600; ROD-12 x 1535 @ 7,200; ROD-16 x 30 @ 11,800</t>
  </si>
  <si>
    <t xml:space="preserve">Iron rod, 12 mm: quantity must be between 5 and 1500. | Iron rod, 12 mm: not enough stock for this quantity. Reduce it. | Iron rod, 12 mm: 1535 is far above this customer's usual 29.</t>
  </si>
  <si>
    <t xml:space="preserve">2026-10-27T10:39:50.315579+00:00</t>
  </si>
  <si>
    <t xml:space="preserve">2026-10-27T10:39:50.348571+00:00</t>
  </si>
  <si>
    <t xml:space="preserve">2026-10-27T10:39:50.349294+00:00</t>
  </si>
  <si>
    <t xml:space="preserve">ORD-4582</t>
  </si>
  <si>
    <t xml:space="preserve">2026-10-27T10:39:50.355017+00:00</t>
  </si>
  <si>
    <t xml:space="preserve">2026-10-27T10:39:50.366097+00:00</t>
  </si>
  <si>
    <t xml:space="preserve">2026-10-27T10:39:50.366898+00:00</t>
  </si>
  <si>
    <t xml:space="preserve">ORD-4583</t>
  </si>
  <si>
    <t xml:space="preserve">CEM-50 x 94 @ 9,500; PVC-2 x 2 @ 4,100; TIL-6060 x 92 @ 14,500</t>
  </si>
  <si>
    <t xml:space="preserve">Choose a delivery address. | Cement, 50 kg bag: 94 is far above this customer's usual 23.</t>
  </si>
  <si>
    <t xml:space="preserve">2026-10-27T10:39:50.372505+00:00</t>
  </si>
  <si>
    <t xml:space="preserve">2026-10-27T10:39:50.404372+00:00</t>
  </si>
  <si>
    <t xml:space="preserve">2026-10-27T10:39:50.405032+00:00</t>
  </si>
  <si>
    <t xml:space="preserve">ORD-4584</t>
  </si>
  <si>
    <t xml:space="preserve">PNT-20W x 26 @ 38,000; ROD-16 x 38 @ 11,800</t>
  </si>
  <si>
    <t xml:space="preserve">2026-10-27T10:39:50.410889+00:00</t>
  </si>
  <si>
    <t xml:space="preserve">2026-10-27T10:39:50.429403+00:00</t>
  </si>
  <si>
    <t xml:space="preserve">2026-10-27T10:39:50.430092+00:00</t>
  </si>
  <si>
    <t xml:space="preserve">ORD-4585</t>
  </si>
  <si>
    <t xml:space="preserve">CEM-50 x 73 @ 9,500; ROD-12 x 16 @ 7,200</t>
  </si>
  <si>
    <t xml:space="preserve">2026-10-27T10:39:50.436505+00:00</t>
  </si>
  <si>
    <t xml:space="preserve">2026-10-27T10:39:50.471727+00:00</t>
  </si>
  <si>
    <t xml:space="preserve">2026-10-27T10:39:50.472409+00:00</t>
  </si>
  <si>
    <t xml:space="preserve">ORD-4586</t>
  </si>
  <si>
    <t xml:space="preserve">NAIL-3 x 11 @ 31,000; PNT-20W x 20 @ 38,000; ROOF-AL x 11 @ 12,500</t>
  </si>
  <si>
    <t xml:space="preserve">2026-10-27T10:39:50.478021+00:00</t>
  </si>
  <si>
    <t xml:space="preserve">2026-10-27T10:39:50.503545+00:00</t>
  </si>
  <si>
    <t xml:space="preserve">2026-10-27T10:39:50.504235+00:00</t>
  </si>
  <si>
    <t xml:space="preserve">ORD-4587</t>
  </si>
  <si>
    <t xml:space="preserve">PNT-20W x 16 @ 38,000; PVC-4 x 28 @ 8,600; WIRE-25 x 4 @ 52,000; XX-797 x None (not in the catalogue)</t>
  </si>
  <si>
    <t xml:space="preserve">Row 5: XX-797 - not in the catalogue</t>
  </si>
  <si>
    <t xml:space="preserve">2026-10-27T10:39:50.510693+00:00</t>
  </si>
  <si>
    <t xml:space="preserve">2026-10-27T10:39:50.535369+00:00</t>
  </si>
  <si>
    <t xml:space="preserve">2026-10-27T10:39:50.536066+00:00</t>
  </si>
  <si>
    <t xml:space="preserve">ORD-4588</t>
  </si>
  <si>
    <t xml:space="preserve">CEM-50 x 71 @ 9,500; PVC-4 x 53 @ 8,600</t>
  </si>
  <si>
    <t xml:space="preserve">2026-10-27T10:39:50.54184+00:00</t>
  </si>
  <si>
    <t xml:space="preserve">2026-10-27T10:39:50.569687+00:00</t>
  </si>
  <si>
    <t xml:space="preserve">2026-10-27T10:39:50.570394+00:00</t>
  </si>
  <si>
    <t xml:space="preserve">ORD-4589</t>
  </si>
  <si>
    <t xml:space="preserve">TIL-6060 x 82 @ 14,500</t>
  </si>
  <si>
    <t xml:space="preserve">2026-10-27T10:39:50.576767+00:00</t>
  </si>
  <si>
    <t xml:space="preserve">2026-10-27T10:39:50.587604+00:00</t>
  </si>
  <si>
    <t xml:space="preserve">2026-10-27T10:39:50.588272+00:00</t>
  </si>
  <si>
    <t xml:space="preserve">ORD-4590</t>
  </si>
  <si>
    <t xml:space="preserve">2026-10-27T10:39:50.594057+00:00</t>
  </si>
  <si>
    <t xml:space="preserve">2026-10-27T10:39:50.606129+00:00</t>
  </si>
  <si>
    <t xml:space="preserve">2026-10-27T10:39:50.606809+00:00</t>
  </si>
  <si>
    <t xml:space="preserve">ORD-4591</t>
  </si>
  <si>
    <t xml:space="preserve">PNT-20W x 4 @ 38,000; ROD-12 x 46 @ 7,200; TIL-6060 x 26 @ 14,500; PVC-4 x 2.5 (Quantity must be a whole number)</t>
  </si>
  <si>
    <t xml:space="preserve">2026-10-27T10:39:50.613298+00:00</t>
  </si>
  <si>
    <t xml:space="preserve">2026-10-27T10:39:50.647634+00:00</t>
  </si>
  <si>
    <t xml:space="preserve">2026-10-27T10:39:50.648419+00:00</t>
  </si>
  <si>
    <t xml:space="preserve">ORD-4592</t>
  </si>
  <si>
    <t xml:space="preserve">PVC-2 x 2 @ 4,100; ROD-12 x 99 @ 7,200</t>
  </si>
  <si>
    <t xml:space="preserve">Iron rod, 12 mm: 99 is far above this customer's usual 29.</t>
  </si>
  <si>
    <t xml:space="preserve">2026-10-27T10:39:50.654274+00:00</t>
  </si>
  <si>
    <t xml:space="preserve">2026-10-27T10:39:50.680548+00:00</t>
  </si>
  <si>
    <t xml:space="preserve">2026-10-27T10:39:50.681336+00:00</t>
  </si>
  <si>
    <t xml:space="preserve">ORD-4593</t>
  </si>
  <si>
    <t xml:space="preserve">PNT-20W x 1 @ 38,000; TIL-6060 x 62 @ 14,500</t>
  </si>
  <si>
    <t xml:space="preserve">2026-10-27T10:39:50.688059+00:00</t>
  </si>
  <si>
    <t xml:space="preserve">2026-10-27T10:39:50.707209+00:00</t>
  </si>
  <si>
    <t xml:space="preserve">2026-10-27T10:39:50.707903+00:00</t>
  </si>
  <si>
    <t xml:space="preserve">ORD-4594</t>
  </si>
  <si>
    <t xml:space="preserve">TIL-6060 x 66 @ 14,500</t>
  </si>
  <si>
    <t xml:space="preserve">2026-10-27T10:39:50.713867+00:00</t>
  </si>
  <si>
    <t xml:space="preserve">2026-10-27T10:39:50.725273+00:00</t>
  </si>
  <si>
    <t xml:space="preserve">2026-10-27T10:39:50.725948+00:00</t>
  </si>
  <si>
    <t xml:space="preserve">ORD-4595</t>
  </si>
  <si>
    <t xml:space="preserve">CEM-50 x 48 @ 9,500; PNT-20C x 17 @ 38,000; ROD-12 x 128 @ 7,200; ROD-16 x 58 @ 11,800</t>
  </si>
  <si>
    <t xml:space="preserve">Iron rod, 12 mm: 128 is far above this customer's usual 39.</t>
  </si>
  <si>
    <t xml:space="preserve">2026-10-27T10:39:50.732316+00:00</t>
  </si>
  <si>
    <t xml:space="preserve">2026-10-27T10:39:50.783498+00:00</t>
  </si>
  <si>
    <t xml:space="preserve">2026-10-27T10:39:50.784242+00:00</t>
  </si>
  <si>
    <t xml:space="preserve">ORD-4596</t>
  </si>
  <si>
    <t xml:space="preserve">NAIL-3 x 7 @ 31,000; PNT-20W x 23 @ 38,000; ROOF-AL x 65 @ 12,500</t>
  </si>
  <si>
    <t xml:space="preserve">2026-10-27T10:39:50.791085+00:00</t>
  </si>
  <si>
    <t xml:space="preserve">2026-10-27T10:39:50.818641+00:00</t>
  </si>
  <si>
    <t xml:space="preserve">2026-10-27T10:39:50.819343+00:00</t>
  </si>
  <si>
    <t xml:space="preserve">ORD-4597</t>
  </si>
  <si>
    <t xml:space="preserve">This looks like a repeat of ORD-4594. Confirm it is a new order.</t>
  </si>
  <si>
    <t xml:space="preserve">2026-10-27T10:39:50.825394+00:00</t>
  </si>
  <si>
    <t xml:space="preserve">ORD-4598</t>
  </si>
  <si>
    <t xml:space="preserve">PNT-20W x 8 @ 38,000; ROD-16 x 63 @ 11,800; TIL-6060 x 13 @ 14,500</t>
  </si>
  <si>
    <t xml:space="preserve">2026-10-27T10:39:50.841897+00:00</t>
  </si>
  <si>
    <t xml:space="preserve">2026-10-27T10:39:50.868749+00:00</t>
  </si>
  <si>
    <t xml:space="preserve">2026-10-27T10:39:50.869496+00:00</t>
  </si>
  <si>
    <t xml:space="preserve">ORD-4599</t>
  </si>
  <si>
    <t xml:space="preserve">PNT-20C x 8 @ 38,000; ROD-12 x 34 @ 7,200</t>
  </si>
  <si>
    <t xml:space="preserve">2026-10-27T10:39:50.876399+00:00</t>
  </si>
  <si>
    <t xml:space="preserve">2026-10-27T10:39:50.904058+00:00</t>
  </si>
  <si>
    <t xml:space="preserve">2026-10-27T10:39:50.904796+00:00</t>
  </si>
  <si>
    <t xml:space="preserve">ORD-4600</t>
  </si>
  <si>
    <t xml:space="preserve">PNT-20C x 10 @ 38,000; PNT-20W x 3 @ 38,000; SAND-T x 1 @ 185,000</t>
  </si>
  <si>
    <t xml:space="preserve">2026-10-27T10:39:50.911675+00:00</t>
  </si>
  <si>
    <t xml:space="preserve">2026-10-27T10:39:50.933289+00:00</t>
  </si>
  <si>
    <t xml:space="preserve">2026-10-27T10:39:50.933974+00:00</t>
  </si>
  <si>
    <t xml:space="preserve">ORD-4601</t>
  </si>
  <si>
    <t xml:space="preserve">NAIL-3 x 12 @ 31,000; ROD-12 x 28 @ 7,200; WIRE-25 x 13 @ 52,000; TIL-6060 x 2.5 (Quantity must be a whole number)</t>
  </si>
  <si>
    <t xml:space="preserve">2026-10-27T10:39:50.939996+00:00</t>
  </si>
  <si>
    <t xml:space="preserve">2026-10-27T10:39:50.975603+00:00</t>
  </si>
  <si>
    <t xml:space="preserve">2026-10-27T10:39:50.97635+00:00</t>
  </si>
  <si>
    <t xml:space="preserve">ORD-4602</t>
  </si>
  <si>
    <t xml:space="preserve">PVC-2 x 2 @ 4,100; ROOF-AL x 34 @ 12,500</t>
  </si>
  <si>
    <t xml:space="preserve">2026-10-27T10:39:50.98273+00:00</t>
  </si>
  <si>
    <t xml:space="preserve">2026-10-27T10:39:51.001237+00:00</t>
  </si>
  <si>
    <t xml:space="preserve">2026-10-27T10:39:51.001969+00:00</t>
  </si>
  <si>
    <t xml:space="preserve">ORD-4603</t>
  </si>
  <si>
    <t xml:space="preserve">CEM-50 x 180 @ 9,500; PNT-20W x 21 @ 38,000; TIL-6060 x 24 @ 14,500</t>
  </si>
  <si>
    <t xml:space="preserve">Cement, 50 kg bag: 180 is far above this customer's usual 56.</t>
  </si>
  <si>
    <t xml:space="preserve">2026-10-27T10:39:51.008793+00:00</t>
  </si>
  <si>
    <t xml:space="preserve">2026-10-27T10:39:51.046628+00:00</t>
  </si>
  <si>
    <t xml:space="preserve">2026-10-27T10:39:51.047396+00:00</t>
  </si>
  <si>
    <t xml:space="preserve">ORD-4604</t>
  </si>
  <si>
    <t xml:space="preserve">ROD-16 x 71 @ 11,800</t>
  </si>
  <si>
    <t xml:space="preserve">2026-10-27T10:39:51.054108+00:00</t>
  </si>
  <si>
    <t xml:space="preserve">2026-10-27T10:39:51.066247+00:00</t>
  </si>
  <si>
    <t xml:space="preserve">2026-10-27T10:39:51.066944+00:00</t>
  </si>
  <si>
    <t xml:space="preserve">ORD-4605</t>
  </si>
  <si>
    <t xml:space="preserve">PVC-4 x 251 @ 8,600; ROD-16 x 32 @ 11,800</t>
  </si>
  <si>
    <t xml:space="preserve">PVC pipe, 4 inch, 6 m: not enough stock for this quantity. Reduce it. | PVC pipe, 4 inch, 6 m: 251 is far above this customer's usual 33.</t>
  </si>
  <si>
    <t xml:space="preserve">2026-10-27T10:39:51.074104+00:00</t>
  </si>
  <si>
    <t xml:space="preserve">2026-10-27T10:39:51.093842+00:00</t>
  </si>
  <si>
    <t xml:space="preserve">2026-10-27T10:39:51.09455+00:00</t>
  </si>
  <si>
    <t xml:space="preserve">ORD-4606</t>
  </si>
  <si>
    <t xml:space="preserve">PNT-20W x 28 @ 38,000; ROD-16 x 20 @ 11,800</t>
  </si>
  <si>
    <t xml:space="preserve">2026-10-27T10:39:51.100776+00:00</t>
  </si>
  <si>
    <t xml:space="preserve">2026-10-27T10:39:51.122341+00:00</t>
  </si>
  <si>
    <t xml:space="preserve">2026-10-27T10:39:51.123044+00:00</t>
  </si>
  <si>
    <t xml:space="preserve">ORD-4607</t>
  </si>
  <si>
    <t xml:space="preserve">NAIL-3 x 12 @ 31,000; ROD-16 x 10 @ 11,800; TIL-6060 x 4 @ 14,500</t>
  </si>
  <si>
    <t xml:space="preserve">2026-10-27T10:39:51.129886+00:00</t>
  </si>
  <si>
    <t xml:space="preserve">2026-10-27T10:39:51.157385+00:00</t>
  </si>
  <si>
    <t xml:space="preserve">2026-10-27T10:39:51.158098+00:00</t>
  </si>
  <si>
    <t xml:space="preserve">ORD-4608</t>
  </si>
  <si>
    <t xml:space="preserve">PVC-2 x 2 @ 4,100; ROD-12 x 140 @ 7,200; TIL-6060 x 88 @ 14,500</t>
  </si>
  <si>
    <t xml:space="preserve">Choose a delivery date. | Iron rod, 12 mm: 140 is far above this customer's usual 45.</t>
  </si>
  <si>
    <t xml:space="preserve">2026-10-27T10:39:51.164961+00:00</t>
  </si>
  <si>
    <t xml:space="preserve">2026-10-27T10:39:51.201444+00:00</t>
  </si>
  <si>
    <t xml:space="preserve">2026-10-27T10:39:51.202138+00:00</t>
  </si>
  <si>
    <t xml:space="preserve">ORD-4609</t>
  </si>
  <si>
    <t xml:space="preserve">ROOF-AL x 69 @ 12,500; SAND-T x 1 @ 185,000</t>
  </si>
  <si>
    <t xml:space="preserve">2026-10-27T10:39:51.20828+00:00</t>
  </si>
  <si>
    <t xml:space="preserve">2026-10-27T10:39:51.222705+00:00</t>
  </si>
  <si>
    <t xml:space="preserve">2026-10-27T10:39:51.223402+00:00</t>
  </si>
  <si>
    <t xml:space="preserve">ORD-4610</t>
  </si>
  <si>
    <t xml:space="preserve">NAIL-3 x 12 @ 31,000; PVC-2 x 2 @ 4,100; SAND-T x 1 @ 185,000</t>
  </si>
  <si>
    <t xml:space="preserve">2026-10-27T10:39:51.229493+00:00</t>
  </si>
  <si>
    <t xml:space="preserve">2026-10-27T10:39:51.250698+00:00</t>
  </si>
  <si>
    <t xml:space="preserve">2026-10-27T10:39:51.251401+00:00</t>
  </si>
  <si>
    <t xml:space="preserve">ORD-4611</t>
  </si>
  <si>
    <t xml:space="preserve">NAIL-3 x 10 @ 31,000; PVC-2 x 2 @ 4,100; WIRE-25 x 14 @ 52,000</t>
  </si>
  <si>
    <t xml:space="preserve">2026-10-27T10:39:51.257805+00:00</t>
  </si>
  <si>
    <t xml:space="preserve">2026-10-27T10:39:51.2844+00:00</t>
  </si>
  <si>
    <t xml:space="preserve">2026-10-27T10:39:51.285147+00:00</t>
  </si>
  <si>
    <t xml:space="preserve">ORD-4612</t>
  </si>
  <si>
    <t xml:space="preserve">NAIL-3 x 7 @ 31,000; PVC-4 x 57 @ 8,600; ROD-16 x 17 @ 11,800; ROD-12 x 5.5 (Quantity must be a whole number)</t>
  </si>
  <si>
    <t xml:space="preserve">2026-10-27T10:39:51.291589+00:00</t>
  </si>
  <si>
    <t xml:space="preserve">2026-10-27T10:39:51.32035+00:00</t>
  </si>
  <si>
    <t xml:space="preserve">2026-10-27T10:39:51.32111+00:00</t>
  </si>
  <si>
    <t xml:space="preserve">ORD-4613</t>
  </si>
  <si>
    <t xml:space="preserve">PVC-4 x 40 @ 8,600</t>
  </si>
  <si>
    <t xml:space="preserve">2026-10-27T10:39:51.327449+00:00</t>
  </si>
  <si>
    <t xml:space="preserve">2026-10-27T10:39:51.340472+00:00</t>
  </si>
  <si>
    <t xml:space="preserve">2026-10-27T10:39:51.341209+00:00</t>
  </si>
  <si>
    <t xml:space="preserve">ORD-4614</t>
  </si>
  <si>
    <t xml:space="preserve">CEM-50 x 30 @ 9,500; PVC-2 x 2 @ 4,100; XX-968 x None (not in the catalogue)</t>
  </si>
  <si>
    <t xml:space="preserve">Row 4: XX-968 - not in the catalogue</t>
  </si>
  <si>
    <t xml:space="preserve">2026-10-27T10:39:51.348478+00:00</t>
  </si>
  <si>
    <t xml:space="preserve">2026-10-27T10:39:51.378224+00:00</t>
  </si>
  <si>
    <t xml:space="preserve">2026-10-27T10:39:51.378931+00:00</t>
  </si>
  <si>
    <t xml:space="preserve">ORD-4615</t>
  </si>
  <si>
    <t xml:space="preserve">ROD-16 x 25 @ 11,800; ROOF-AL x 67 @ 12,500; TIL-6060 x 45 @ 14,500</t>
  </si>
  <si>
    <t xml:space="preserve">2026-10-27T10:39:51.385384+00:00</t>
  </si>
  <si>
    <t xml:space="preserve">2026-10-27T10:39:51.414347+00:00</t>
  </si>
  <si>
    <t xml:space="preserve">2026-10-27T10:39:51.415124+00:00</t>
  </si>
  <si>
    <t xml:space="preserve">ORD-4616</t>
  </si>
  <si>
    <t xml:space="preserve">PNT-20W x 2 @ 38,000</t>
  </si>
  <si>
    <t xml:space="preserve">2026-10-27T10:39:51.422166+00:00</t>
  </si>
  <si>
    <t xml:space="preserve">2026-10-27T10:39:51.436569+00:00</t>
  </si>
  <si>
    <t xml:space="preserve">2026-10-27T10:39:51.437325+00:00</t>
  </si>
  <si>
    <t xml:space="preserve">ORD-4617</t>
  </si>
  <si>
    <t xml:space="preserve">PVC-2 x 8 @ 4,100; TIL-6060 x 86 @ 14,500</t>
  </si>
  <si>
    <t xml:space="preserve">2026-10-27T10:39:51.444626+00:00</t>
  </si>
  <si>
    <t xml:space="preserve">2026-10-27T10:39:51.465265+00:00</t>
  </si>
  <si>
    <t xml:space="preserve">2026-10-27T10:39:51.465973+00:00</t>
  </si>
  <si>
    <t xml:space="preserve">ORD-4618</t>
  </si>
  <si>
    <t xml:space="preserve">2026-10-27T10:39:51.47299+00:00</t>
  </si>
  <si>
    <t xml:space="preserve">2026-10-27T10:39:51.486548+00:00</t>
  </si>
  <si>
    <t xml:space="preserve">2026-10-27T10:39:51.487308+00:00</t>
  </si>
  <si>
    <t xml:space="preserve">ORD-4619</t>
  </si>
  <si>
    <t xml:space="preserve">PNT-20C x 4 @ 38,000; PVC-2 x 2 @ 4,100; ROOF-AL x 19 @ 12,500</t>
  </si>
  <si>
    <t xml:space="preserve">2026-10-27T10:39:51.493638+00:00</t>
  </si>
  <si>
    <t xml:space="preserve">2026-10-27T10:39:51.521034+00:00</t>
  </si>
  <si>
    <t xml:space="preserve">2026-10-27T10:39:51.521771+00:00</t>
  </si>
  <si>
    <t xml:space="preserve">ORD-4620</t>
  </si>
  <si>
    <t xml:space="preserve">PNT-20W x 17 @ 38,000; ROOF-AL x 10.5 (Quantity must be a whole number)</t>
  </si>
  <si>
    <t xml:space="preserve">2026-10-27T10:39:51.528673+00:00</t>
  </si>
  <si>
    <t xml:space="preserve">2026-10-27T10:39:51.543133+00:00</t>
  </si>
  <si>
    <t xml:space="preserve">2026-10-27T10:39:51.543898+00:00</t>
  </si>
  <si>
    <t xml:space="preserve">ORD-4621</t>
  </si>
  <si>
    <t xml:space="preserve">PNT-20C x 8 @ 38,000</t>
  </si>
  <si>
    <t xml:space="preserve">2026-10-27T10:39:51.550323+00:00</t>
  </si>
  <si>
    <t xml:space="preserve">2026-10-27T10:39:51.562422+00:00</t>
  </si>
  <si>
    <t xml:space="preserve">2026-10-27T10:39:51.563226+00:00</t>
  </si>
  <si>
    <t xml:space="preserve">ORD-4622</t>
  </si>
  <si>
    <t xml:space="preserve">NAIL-3 x 5 @ 31,000; TIL-6060 x 23 @ 14,500; WIRE-25 x 15 @ 52,000; XX-209 x None (not in the catalogue)</t>
  </si>
  <si>
    <t xml:space="preserve">Row 5: XX-209 - not in the catalogue</t>
  </si>
  <si>
    <t xml:space="preserve">2026-10-27T10:39:51.569464+00:00</t>
  </si>
  <si>
    <t xml:space="preserve">2026-10-27T10:39:51.598335+00:00</t>
  </si>
  <si>
    <t xml:space="preserve">2026-10-27T10:39:51.599055+00:00</t>
  </si>
  <si>
    <t xml:space="preserve">ORD-4623</t>
  </si>
  <si>
    <t xml:space="preserve">ROD-16 x 17 @ 11,800</t>
  </si>
  <si>
    <t xml:space="preserve">2026-10-27T10:39:51.605692+00:00</t>
  </si>
  <si>
    <t xml:space="preserve">2026-10-27T10:39:51.619328+00:00</t>
  </si>
  <si>
    <t xml:space="preserve">2026-10-27T10:39:51.62004+00:00</t>
  </si>
  <si>
    <t xml:space="preserve">ORD-4624</t>
  </si>
  <si>
    <t xml:space="preserve">NAIL-3 x 13 @ 31,000; ROD-12 x 79 @ 7,200</t>
  </si>
  <si>
    <t xml:space="preserve">2026-10-27T10:39:51.627112+00:00</t>
  </si>
  <si>
    <t xml:space="preserve">2026-10-27T10:39:51.659077+00:00</t>
  </si>
  <si>
    <t xml:space="preserve">2026-10-27T10:39:51.659819+00:00</t>
  </si>
  <si>
    <t xml:space="preserve">ORD-4625</t>
  </si>
  <si>
    <t xml:space="preserve">2026-10-27T10:39:51.66682+00:00</t>
  </si>
  <si>
    <t xml:space="preserve">2026-10-27T10:39:51.680222+00:00</t>
  </si>
  <si>
    <t xml:space="preserve">2026-10-27T10:39:51.680928+00:00</t>
  </si>
  <si>
    <t xml:space="preserve">ORD-4626</t>
  </si>
  <si>
    <t xml:space="preserve">TIL-6060 x 88 @ 14,500</t>
  </si>
  <si>
    <t xml:space="preserve">2026-10-27T10:39:51.6881+00:00</t>
  </si>
  <si>
    <t xml:space="preserve">2026-10-27T10:39:51.701328+00:00</t>
  </si>
  <si>
    <t xml:space="preserve">2026-10-27T10:39:51.702083+00:00</t>
  </si>
  <si>
    <t xml:space="preserve">ORD-4627</t>
  </si>
  <si>
    <t xml:space="preserve">TIL-6060 x 81 @ 14,500</t>
  </si>
  <si>
    <t xml:space="preserve">2026-10-27T10:39:51.709322+00:00</t>
  </si>
  <si>
    <t xml:space="preserve">2026-10-27T10:39:51.723841+00:00</t>
  </si>
  <si>
    <t xml:space="preserve">2026-10-27T10:39:51.724622+00:00</t>
  </si>
  <si>
    <t xml:space="preserve">ORD-4628</t>
  </si>
  <si>
    <t xml:space="preserve">CEM-50 x 44 @ 9,500</t>
  </si>
  <si>
    <t xml:space="preserve">2026-10-27T10:39:51.73134+00:00</t>
  </si>
  <si>
    <t xml:space="preserve">2026-10-27T10:39:51.755055+00:00</t>
  </si>
  <si>
    <t xml:space="preserve">2026-10-27T10:39:51.755802+00:00</t>
  </si>
  <si>
    <t xml:space="preserve">ORD-4629</t>
  </si>
  <si>
    <t xml:space="preserve">PNT-20C x 6 @ 38,000</t>
  </si>
  <si>
    <t xml:space="preserve">2026-10-27T10:39:51.763324+00:00</t>
  </si>
  <si>
    <t xml:space="preserve">2026-10-27T10:39:51.775842+00:00</t>
  </si>
  <si>
    <t xml:space="preserve">2026-10-27T10:39:51.776599+00:00</t>
  </si>
  <si>
    <t xml:space="preserve">ORD-4630</t>
  </si>
  <si>
    <t xml:space="preserve">CEM-50 x 158 @ 9,500; PVC-4 x 52 @ 8,600; ROD-12 x 86 @ 7,200; ROOF-AL x 311 @ 12,500</t>
  </si>
  <si>
    <t xml:space="preserve">2026-10-27T10:39:51.783943+00:00</t>
  </si>
  <si>
    <t xml:space="preserve">2026-10-27T10:39:51.844245+00:00</t>
  </si>
  <si>
    <t xml:space="preserve">2026-10-27T10:39:51.844975+00:00</t>
  </si>
  <si>
    <t xml:space="preserve">ORD-4631</t>
  </si>
  <si>
    <t xml:space="preserve">CEM-50 x 30 @ 9,500; NAIL-3 x 13 @ 31,000; ROD-12 x 108 @ 7,200</t>
  </si>
  <si>
    <t xml:space="preserve">Iron rod, 12 mm: 108 is far above this customer's usual 29.</t>
  </si>
  <si>
    <t xml:space="preserve">2026-10-27T10:39:51.851635+00:00</t>
  </si>
  <si>
    <t xml:space="preserve">2026-10-27T10:39:51.903735+00:00</t>
  </si>
  <si>
    <t xml:space="preserve">2026-10-27T10:39:51.904521+00:00</t>
  </si>
  <si>
    <t xml:space="preserve">ORD-4632</t>
  </si>
  <si>
    <t xml:space="preserve">ROD-16 x 7 @ 11,800; TIL-6060 x 49 @ 14,500</t>
  </si>
  <si>
    <t xml:space="preserve">2026-10-27T10:39:51.912155+00:00</t>
  </si>
  <si>
    <t xml:space="preserve">2026-10-27T10:39:51.935465+00:00</t>
  </si>
  <si>
    <t xml:space="preserve">2026-10-27T10:39:51.936245+00:00</t>
  </si>
  <si>
    <t xml:space="preserve">ORD-4633</t>
  </si>
  <si>
    <t xml:space="preserve">PVC-4 x 18 @ 8,600; ROD-12 x 15 @ 7,200</t>
  </si>
  <si>
    <t xml:space="preserve">2026-10-27T10:39:51.942919+00:00</t>
  </si>
  <si>
    <t xml:space="preserve">2026-10-27T10:39:51.975973+00:00</t>
  </si>
  <si>
    <t xml:space="preserve">2026-10-27T10:39:51.976696+00:00</t>
  </si>
  <si>
    <t xml:space="preserve">ORD-4634</t>
  </si>
  <si>
    <t xml:space="preserve">NAIL-3 x 11 @ 31,000; PNT-20W x 29 @ 38,000; TIL-6060 x 50 @ 14,500; ROOF-AL x 10.5 (Quantity must be a whole number)</t>
  </si>
  <si>
    <t xml:space="preserve">2026-10-27T10:39:51.984055+00:00</t>
  </si>
  <si>
    <t xml:space="preserve">2026-10-27T10:39:52.018001+00:00</t>
  </si>
  <si>
    <t xml:space="preserve">2026-10-27T10:39:52.018775+00:00</t>
  </si>
  <si>
    <t xml:space="preserve">ORD-4635</t>
  </si>
  <si>
    <t xml:space="preserve">CEM-50 x 81 @ 9,500; PVC-4 x 37 @ 8,600; WIRE-25 x 13 @ 52,000</t>
  </si>
  <si>
    <t xml:space="preserve">2026-10-27T10:39:52.025704+00:00</t>
  </si>
  <si>
    <t xml:space="preserve">2026-10-27T10:39:52.067069+00:00</t>
  </si>
  <si>
    <t xml:space="preserve">2026-10-27T10:39:52.067818+00:00</t>
  </si>
  <si>
    <t xml:space="preserve">ORD-4636</t>
  </si>
  <si>
    <t xml:space="preserve">CEM-50 x 82 @ 9,500; NAIL-3 x 3 @ 31,000; PNT-20W x 22 @ 38,000</t>
  </si>
  <si>
    <t xml:space="preserve">2026-10-27T10:39:52.075458+00:00</t>
  </si>
  <si>
    <t xml:space="preserve">2026-10-27T10:39:52.119853+00:00</t>
  </si>
  <si>
    <t xml:space="preserve">2026-10-27T10:39:52.120644+00:00</t>
  </si>
  <si>
    <t xml:space="preserve">ORD-4637</t>
  </si>
  <si>
    <t xml:space="preserve">CEM-50 x 48 @ 9,500; PNT-20C x 5 @ 38,000; PVC-2 x 2 @ 4,100</t>
  </si>
  <si>
    <t xml:space="preserve">2026-10-27T10:39:52.127366+00:00</t>
  </si>
  <si>
    <t xml:space="preserve">2026-10-27T10:39:52.167971+00:00</t>
  </si>
  <si>
    <t xml:space="preserve">2026-10-27T10:39:52.168731+00:00</t>
  </si>
  <si>
    <t xml:space="preserve">ORD-4638</t>
  </si>
  <si>
    <t xml:space="preserve">CEM-50 x 131 @ 9,500; PVC-4 x 32 @ 8,600</t>
  </si>
  <si>
    <t xml:space="preserve">2026-10-27T10:39:52.176376+00:00</t>
  </si>
  <si>
    <t xml:space="preserve">2026-10-27T10:39:52.211035+00:00</t>
  </si>
  <si>
    <t xml:space="preserve">2026-10-27T10:39:52.211788+00:00</t>
  </si>
  <si>
    <t xml:space="preserve">ORD-4639</t>
  </si>
  <si>
    <t xml:space="preserve">CEM-50 x 167 @ 9,500; PVC-2 x 2 @ 4,100; PVC-4 x 61 @ 8,600</t>
  </si>
  <si>
    <t xml:space="preserve">Cement, 50 kg bag: 167 is far above this customer's usual 23.</t>
  </si>
  <si>
    <t xml:space="preserve">2026-10-27T10:39:52.219495+00:00</t>
  </si>
  <si>
    <t xml:space="preserve">2026-10-27T10:39:52.262517+00:00</t>
  </si>
  <si>
    <t xml:space="preserve">2026-10-27T10:39:52.263277+00:00</t>
  </si>
  <si>
    <t xml:space="preserve">ORD-4640</t>
  </si>
  <si>
    <t xml:space="preserve">ROD-12 x 58 @ 7,200; WIRE-25 x 16 @ 52,000</t>
  </si>
  <si>
    <t xml:space="preserve">2026-10-27T10:39:52.270668+00:00</t>
  </si>
  <si>
    <t xml:space="preserve">2026-10-27T10:39:52.303182+00:00</t>
  </si>
  <si>
    <t xml:space="preserve">2026-10-27T10:39:52.303964+00:00</t>
  </si>
  <si>
    <t xml:space="preserve">ORD-4641</t>
  </si>
  <si>
    <t xml:space="preserve">PNT-20W x 20 @ 38,000</t>
  </si>
  <si>
    <t xml:space="preserve">2026-10-27T10:39:52.311742+00:00</t>
  </si>
  <si>
    <t xml:space="preserve">2026-10-27T10:39:52.328023+00:00</t>
  </si>
  <si>
    <t xml:space="preserve">2026-10-27T10:39:52.328819+00:00</t>
  </si>
  <si>
    <t xml:space="preserve">ORD-4642</t>
  </si>
  <si>
    <t xml:space="preserve">PVC-2 x 4 @ 4,100; ROD-12 x 25 @ 7,200</t>
  </si>
  <si>
    <t xml:space="preserve">2026-10-27T10:39:52.335646+00:00</t>
  </si>
  <si>
    <t xml:space="preserve">2026-10-27T10:39:52.368886+00:00</t>
  </si>
  <si>
    <t xml:space="preserve">2026-10-27T10:39:52.369655+00:00</t>
  </si>
  <si>
    <t xml:space="preserve">ORD-4643</t>
  </si>
  <si>
    <t xml:space="preserve">NAIL-3 x 1 @ 31,000; PNT-20C x 9 @ 38,000; ROD-12 x 180 @ 7,200; WIRE-25 x 2 @ 52,000</t>
  </si>
  <si>
    <t xml:space="preserve">Iron rod, 12 mm: 180 is far above this customer's usual 44.</t>
  </si>
  <si>
    <t xml:space="preserve">2026-10-27T10:39:52.377192+00:00</t>
  </si>
  <si>
    <t xml:space="preserve">2026-10-27T10:39:52.450454+00:00</t>
  </si>
  <si>
    <t xml:space="preserve">2026-10-27T10:39:52.451603+00:00</t>
  </si>
  <si>
    <t xml:space="preserve">ORD-4644</t>
  </si>
  <si>
    <t xml:space="preserve">SAND-T x 1 @ 185,000; TIL-6060 x 43 @ 14,500; WIRE-25 x 2 @ 52,000</t>
  </si>
  <si>
    <t xml:space="preserve">2026-10-27T10:39:52.463219+00:00</t>
  </si>
  <si>
    <t xml:space="preserve">2026-10-27T10:39:52.501644+00:00</t>
  </si>
  <si>
    <t xml:space="preserve">2026-10-27T10:39:52.502908+00:00</t>
  </si>
  <si>
    <t xml:space="preserve">ORD-4645</t>
  </si>
  <si>
    <t xml:space="preserve">PNT-20W x 3 @ 38,000; PVC-4 x 3 @ 8,600; TIL-6060 x 71 @ 14,500</t>
  </si>
  <si>
    <t xml:space="preserve">2026-10-27T10:39:52.51305+00:00</t>
  </si>
  <si>
    <t xml:space="preserve">2026-10-27T10:39:52.565367+00:00</t>
  </si>
  <si>
    <t xml:space="preserve">2026-10-27T10:39:52.566567+00:00</t>
  </si>
  <si>
    <t xml:space="preserve">ORD-4646</t>
  </si>
  <si>
    <t xml:space="preserve">PNT-20W x 2 @ 38,000; PVC-2 x 2 @ 4,100; TIL-6060 x 72 @ 14,500</t>
  </si>
  <si>
    <t xml:space="preserve">2026-10-27T10:39:52.580277+00:00</t>
  </si>
  <si>
    <t xml:space="preserve">2026-10-27T10:39:52.630777+00:00</t>
  </si>
  <si>
    <t xml:space="preserve">2026-10-27T10:39:52.6318+00:00</t>
  </si>
  <si>
    <t xml:space="preserve">ORD-4647</t>
  </si>
  <si>
    <t xml:space="preserve">CEM-50 x 144 @ 9,500; PVC-2 x 2 @ 4,100; PVC-4 x 28 @ 8,600</t>
  </si>
  <si>
    <t xml:space="preserve">2026-10-27T10:39:52.641688+00:00</t>
  </si>
  <si>
    <t xml:space="preserve">2026-10-27T10:39:52.698915+00:00</t>
  </si>
  <si>
    <t xml:space="preserve">2026-10-27T10:39:52.70017+00:00</t>
  </si>
  <si>
    <t xml:space="preserve">ORD-4648</t>
  </si>
  <si>
    <t xml:space="preserve">NAIL-3 x 13 @ 31,000; PVC-2 x 539 @ 4,100; PVC-4 x 14 @ 8,600; TIL-6060 x 21 @ 14,500</t>
  </si>
  <si>
    <t xml:space="preserve">2026-10-27T10:39:52.710325+00:00</t>
  </si>
  <si>
    <t xml:space="preserve">2026-10-27T10:39:52.761396+00:00</t>
  </si>
  <si>
    <t xml:space="preserve">2026-10-27T10:39:52.76239+00:00</t>
  </si>
  <si>
    <t xml:space="preserve">ORD-4649</t>
  </si>
  <si>
    <t xml:space="preserve">PNT-20C x 1 @ 38,000; ROOF-AL x 19 @ 12,500</t>
  </si>
  <si>
    <t xml:space="preserve">2026-10-27T10:39:52.770294+00:00</t>
  </si>
  <si>
    <t xml:space="preserve">2026-10-27T10:39:52.800304+00:00</t>
  </si>
  <si>
    <t xml:space="preserve">2026-10-27T10:39:52.801146+00:00</t>
  </si>
  <si>
    <t xml:space="preserve">ORD-4650</t>
  </si>
  <si>
    <t xml:space="preserve">PNT-20W x 25 @ 38,000; PVC-4 x 5 @ 8,600; TIL-6060 x 80 @ 14,500</t>
  </si>
  <si>
    <t xml:space="preserve">2026-10-27T10:39:52.80887+00:00</t>
  </si>
  <si>
    <t xml:space="preserve">2026-10-27T10:39:52.847667+00:00</t>
  </si>
  <si>
    <t xml:space="preserve">2026-10-27T10:39:52.848824+00:00</t>
  </si>
  <si>
    <t xml:space="preserve">ORD-4651</t>
  </si>
  <si>
    <t xml:space="preserve">NAIL-3 x 9 @ 31,000; PVC-2 x 2 @ 4,100; PVC-4 x 30 @ 8,600</t>
  </si>
  <si>
    <t xml:space="preserve">2026-10-27T10:39:52.85801+00:00</t>
  </si>
  <si>
    <t xml:space="preserve">2026-10-27T10:39:52.898109+00:00</t>
  </si>
  <si>
    <t xml:space="preserve">2026-10-27T10:39:52.898927+00:00</t>
  </si>
  <si>
    <t xml:space="preserve">ORD-4652</t>
  </si>
  <si>
    <t xml:space="preserve">PNT-20C x 6 @ 38,000; PVC-4 x 45 @ 8,600; ROD-12 x 49 @ 7,200</t>
  </si>
  <si>
    <t xml:space="preserve">Iron rod, 12 mm: 49 is far above this customer's usual 13.</t>
  </si>
  <si>
    <t xml:space="preserve">2026-10-27T10:39:52.909944+00:00</t>
  </si>
  <si>
    <t xml:space="preserve">2026-10-27T10:39:52.962409+00:00</t>
  </si>
  <si>
    <t xml:space="preserve">2026-10-27T10:39:52.963275+00:00</t>
  </si>
  <si>
    <t xml:space="preserve">ORD-4653</t>
  </si>
  <si>
    <t xml:space="preserve">CEM-50 x 771 @ 9,500; TIL-6060 x 76 @ 14,500; WIRE-25 x 3 @ 52,000</t>
  </si>
  <si>
    <t xml:space="preserve">2026-10-27T10:39:52.972417+00:00</t>
  </si>
  <si>
    <t xml:space="preserve">2026-10-27T10:39:53.024479+00:00</t>
  </si>
  <si>
    <t xml:space="preserve">2026-10-27T10:39:53.025252+00:00</t>
  </si>
  <si>
    <t xml:space="preserve">ORD-4654</t>
  </si>
  <si>
    <t xml:space="preserve">CEM-50 x 114 @ 9,500; PNT-20W x 18 @ 38,000; PVC-4 x 53 @ 8,600; ROD-12 x 586 @ 7,200</t>
  </si>
  <si>
    <t xml:space="preserve">Iron rod, 12 mm: not enough stock for this quantity. Reduce it. | Iron rod, 12 mm: 586 is far above this customer's usual 45.</t>
  </si>
  <si>
    <t xml:space="preserve">2026-10-27T10:39:53.034246+00:00</t>
  </si>
  <si>
    <t xml:space="preserve">2026-10-27T10:39:53.105404+00:00</t>
  </si>
  <si>
    <t xml:space="preserve">2026-10-27T10:39:53.106148+00:00</t>
  </si>
  <si>
    <t xml:space="preserve">ORD-4655</t>
  </si>
  <si>
    <t xml:space="preserve">PNT-20W x 2 @ 38,000; PVC-2 x 2 @ 4,100</t>
  </si>
  <si>
    <t xml:space="preserve">2026-10-27T10:39:53.113184+00:00</t>
  </si>
  <si>
    <t xml:space="preserve">2026-10-27T10:39:53.143331+00:00</t>
  </si>
  <si>
    <t xml:space="preserve">2026-10-27T10:39:53.144106+00:00</t>
  </si>
  <si>
    <t xml:space="preserve">ORD-4656</t>
  </si>
  <si>
    <t xml:space="preserve">CEM-50 x 170 @ 9,500; ROOF-AL x 10 @ 12,500</t>
  </si>
  <si>
    <t xml:space="preserve">2026-10-27T10:39:53.151557+00:00</t>
  </si>
  <si>
    <t xml:space="preserve">2026-10-27T10:39:53.188176+00:00</t>
  </si>
  <si>
    <t xml:space="preserve">2026-10-27T10:39:53.188955+00:00</t>
  </si>
  <si>
    <t xml:space="preserve">ORD-4657</t>
  </si>
  <si>
    <t xml:space="preserve">CEM-50 x 191 @ 9,500; PNT-20W x 19 @ 38,000; PVC-4 x 17 @ 8,600</t>
  </si>
  <si>
    <t xml:space="preserve">The delivery date is in the past. | Cement, 50 kg bag: 191 is far above this customer's usual 32.</t>
  </si>
  <si>
    <t xml:space="preserve">2026-10-27T10:39:53.196899+00:00</t>
  </si>
  <si>
    <t xml:space="preserve">2026-10-27T10:39:53.247892+00:00</t>
  </si>
  <si>
    <t xml:space="preserve">2026-10-27T10:39:53.24864+00:00</t>
  </si>
  <si>
    <t xml:space="preserve">ORD-4658</t>
  </si>
  <si>
    <t xml:space="preserve">PVC-4 x 4 @ 8,600; ROD-12 x 77 @ 7,200; ROD-16 x 38 @ 11,800; ROOF-AL x 25 @ 12,500</t>
  </si>
  <si>
    <t xml:space="preserve">Iron rod, 12 mm: 77 is far above this customer's usual 13.</t>
  </si>
  <si>
    <t xml:space="preserve">2026-10-27T10:39:53.255772+00:00</t>
  </si>
  <si>
    <t xml:space="preserve">2026-10-27T10:39:53.312778+00:00</t>
  </si>
  <si>
    <t xml:space="preserve">2026-10-27T10:39:53.313766+00:00</t>
  </si>
  <si>
    <t xml:space="preserve">ORD-4659</t>
  </si>
  <si>
    <t xml:space="preserve">WIRE-25 x 10 @ 52,000; XX-143 x None (not in the catalogue)</t>
  </si>
  <si>
    <t xml:space="preserve">Row 3: XX-143 - not in the catalogue</t>
  </si>
  <si>
    <t xml:space="preserve">2026-10-27T10:39:53.321951+00:00</t>
  </si>
  <si>
    <t xml:space="preserve">2026-10-27T10:39:53.336783+00:00</t>
  </si>
  <si>
    <t xml:space="preserve">2026-10-27T10:39:53.337541+00:00</t>
  </si>
  <si>
    <t xml:space="preserve">ORD-4660</t>
  </si>
  <si>
    <t xml:space="preserve">2026-10-27T10:39:53.344743+00:00</t>
  </si>
  <si>
    <t xml:space="preserve">2026-10-27T10:39:53.359796+00:00</t>
  </si>
  <si>
    <t xml:space="preserve">2026-10-27T10:39:53.360571+00:00</t>
  </si>
  <si>
    <t xml:space="preserve">ORD-4661</t>
  </si>
  <si>
    <t xml:space="preserve">CEM-50 x 240 @ 9,500; NAIL-3 x 9 @ 31,000; PNT-20W x 9 @ 38,000; ROD-12 x 6 @ 7,200</t>
  </si>
  <si>
    <t xml:space="preserve">Cement, 50 kg bag: 240 is far above this customer's usual 23.</t>
  </si>
  <si>
    <t xml:space="preserve">2026-10-27T10:39:53.368492+00:00</t>
  </si>
  <si>
    <t xml:space="preserve">2026-10-27T10:39:53.440863+00:00</t>
  </si>
  <si>
    <t xml:space="preserve">2026-10-27T10:39:53.441685+00:00</t>
  </si>
  <si>
    <t xml:space="preserve">ORD-4662</t>
  </si>
  <si>
    <t xml:space="preserve">PNT-20W x 16 @ 38,000; TIL-6060 x 2 @ 14,500</t>
  </si>
  <si>
    <t xml:space="preserve">2026-10-27T10:39:53.450004+00:00</t>
  </si>
  <si>
    <t xml:space="preserve">2026-10-27T10:39:53.478974+00:00</t>
  </si>
  <si>
    <t xml:space="preserve">2026-10-27T10:39:53.479808+00:00</t>
  </si>
  <si>
    <t xml:space="preserve">ORD-4663</t>
  </si>
  <si>
    <t xml:space="preserve">PVC-4 x 35 @ 8,600</t>
  </si>
  <si>
    <t xml:space="preserve">2026-10-27T10:39:53.487984+00:00</t>
  </si>
  <si>
    <t xml:space="preserve">2026-10-27T10:39:53.505646+00:00</t>
  </si>
  <si>
    <t xml:space="preserve">2026-10-27T10:39:53.506424+00:00</t>
  </si>
  <si>
    <t xml:space="preserve">ORD-4664</t>
  </si>
  <si>
    <t xml:space="preserve">PVC-2 x 2 @ 4,100; PVC-4 x 58 @ 8,600; ROD-16 x 301 @ 11,800; ROOF-AL x 69 @ 12,500</t>
  </si>
  <si>
    <t xml:space="preserve">2026-10-27T10:39:53.514571+00:00</t>
  </si>
  <si>
    <t xml:space="preserve">2026-10-27T10:39:53.562628+00:00</t>
  </si>
  <si>
    <t xml:space="preserve">2026-10-27T10:39:53.563405+00:00</t>
  </si>
  <si>
    <t xml:space="preserve">ORD-4665</t>
  </si>
  <si>
    <t xml:space="preserve">PVC-4 x 26 @ 8,600; ROD-12 x 69 @ 7,200; ROD-16 x 63 @ 11,800</t>
  </si>
  <si>
    <t xml:space="preserve">2026-10-27T10:39:53.571057+00:00</t>
  </si>
  <si>
    <t xml:space="preserve">2026-10-27T10:39:53.620626+00:00</t>
  </si>
  <si>
    <t xml:space="preserve">2026-10-27T10:39:53.621445+00:00</t>
  </si>
  <si>
    <t xml:space="preserve">ORD-4666</t>
  </si>
  <si>
    <t xml:space="preserve">NAIL-3 x 6 @ 31,000; PNT-20W x 3 @ 38,000; PVC-2 x 501 @ 4,100</t>
  </si>
  <si>
    <t xml:space="preserve">PVC pipe, 2 inch, 6 m: quantity must be between 2 and 500. | PVC pipe, 2 inch, 6 m: only 9 left. Reduce the quantity. | PVC pipe, 2 inch, 6 m: 501 is far above this customer's usual 2.</t>
  </si>
  <si>
    <t xml:space="preserve">2026-10-27T10:39:53.6299+00:00</t>
  </si>
  <si>
    <t xml:space="preserve">2026-10-27T10:39:53.670161+00:00</t>
  </si>
  <si>
    <t xml:space="preserve">2026-10-27T10:39:53.670975+00:00</t>
  </si>
  <si>
    <t xml:space="preserve">ORD-4667</t>
  </si>
  <si>
    <t xml:space="preserve">NAIL-3 x 14 @ 31,000; SAND-T x 1 @ 185,000</t>
  </si>
  <si>
    <t xml:space="preserve">2026-10-27T10:39:53.678139+00:00</t>
  </si>
  <si>
    <t xml:space="preserve">2026-10-27T10:39:53.697738+00:00</t>
  </si>
  <si>
    <t xml:space="preserve">2026-10-27T10:39:53.698515+00:00</t>
  </si>
  <si>
    <t xml:space="preserve">ORD-4668</t>
  </si>
  <si>
    <t xml:space="preserve">NAIL-3 x 11 @ 31,000; WIRE-25 x 4 @ 52,000</t>
  </si>
  <si>
    <t xml:space="preserve">2026-10-27T10:39:53.706049+00:00</t>
  </si>
  <si>
    <t xml:space="preserve">2026-10-27T10:39:53.732704+00:00</t>
  </si>
  <si>
    <t xml:space="preserve">2026-10-27T10:39:53.733503+00:00</t>
  </si>
  <si>
    <t xml:space="preserve">ORD-4669</t>
  </si>
  <si>
    <t xml:space="preserve">PNT-20C x 10 @ 38,000; PVC-2 x 2 @ 4,100; ROD-12 x 136 @ 7,200</t>
  </si>
  <si>
    <t xml:space="preserve">Iron rod, 12 mm: 136 is far above this customer's usual 29.</t>
  </si>
  <si>
    <t xml:space="preserve">2026-10-27T10:39:53.741848+00:00</t>
  </si>
  <si>
    <t xml:space="preserve">2026-10-27T10:39:53.789744+00:00</t>
  </si>
  <si>
    <t xml:space="preserve">2026-10-27T10:39:53.790553+00:00</t>
  </si>
  <si>
    <t xml:space="preserve">ORD-4670</t>
  </si>
  <si>
    <t xml:space="preserve">PNT-20C x 7 @ 38,000; PVC-2 x 1 @ 4,100; ROD-16 x 38 @ 11,800</t>
  </si>
  <si>
    <t xml:space="preserve">2026-10-27T10:39:53.798788+00:00</t>
  </si>
  <si>
    <t xml:space="preserve">2026-10-27T10:39:53.835121+00:00</t>
  </si>
  <si>
    <t xml:space="preserve">2026-10-27T10:39:53.835908+00:00</t>
  </si>
  <si>
    <t xml:space="preserve">ORD-4671</t>
  </si>
  <si>
    <t xml:space="preserve">PNT-20W x 26 @ 38,000; ROD-12 x 95 @ 7,200; ROOF-AL x 43 @ 12,500</t>
  </si>
  <si>
    <t xml:space="preserve">2026-10-27T10:39:53.843587+00:00</t>
  </si>
  <si>
    <t xml:space="preserve">2026-10-27T10:39:53.895588+00:00</t>
  </si>
  <si>
    <t xml:space="preserve">2026-10-27T10:39:53.896403+00:00</t>
  </si>
  <si>
    <t xml:space="preserve">ORD-4672</t>
  </si>
  <si>
    <t xml:space="preserve">ROD-16 x 49 @ 11,800</t>
  </si>
  <si>
    <t xml:space="preserve">2026-10-27T10:39:53.90397+00:00</t>
  </si>
  <si>
    <t xml:space="preserve">2026-10-27T10:39:53.920257+00:00</t>
  </si>
  <si>
    <t xml:space="preserve">2026-10-27T10:39:53.920993+00:00</t>
  </si>
  <si>
    <t xml:space="preserve">ORD-4673</t>
  </si>
  <si>
    <t xml:space="preserve">CEM-50 x 73 @ 9,500</t>
  </si>
  <si>
    <t xml:space="preserve">2026-10-27T10:39:53.928523+00:00</t>
  </si>
  <si>
    <t xml:space="preserve">2026-10-27T10:39:53.957966+00:00</t>
  </si>
  <si>
    <t xml:space="preserve">2026-10-27T10:39:53.95874+00:00</t>
  </si>
  <si>
    <t xml:space="preserve">ORD-4674</t>
  </si>
  <si>
    <t xml:space="preserve">CEM-50 x 111 @ 9,500; NAIL-3 x 10 @ 31,000; TIL-6060 x 24 @ 14,500</t>
  </si>
  <si>
    <t xml:space="preserve">Cement, 50 kg bag: 111 is far above this customer's usual 32.</t>
  </si>
  <si>
    <t xml:space="preserve">2026-10-27T10:39:53.966622+00:00</t>
  </si>
  <si>
    <t xml:space="preserve">2026-10-27T10:39:54.019436+00:00</t>
  </si>
  <si>
    <t xml:space="preserve">2026-10-27T10:39:54.020229+00:00</t>
  </si>
  <si>
    <t xml:space="preserve">ORD-4675</t>
  </si>
  <si>
    <t xml:space="preserve">2026-10-27T10:39:54.028576+00:00</t>
  </si>
  <si>
    <t xml:space="preserve">2026-10-27T10:39:54.046404+00:00</t>
  </si>
  <si>
    <t xml:space="preserve">2026-10-27T10:39:54.047178+00:00</t>
  </si>
  <si>
    <t xml:space="preserve">ORD-4676</t>
  </si>
  <si>
    <t xml:space="preserve">PVC-4 x 60 @ 8,600; TIL-6060 x 12 @ 14,500; WIRE-25 x 6 @ 52,000</t>
  </si>
  <si>
    <t xml:space="preserve">2026-10-27T10:39:54.05551+00:00</t>
  </si>
  <si>
    <t xml:space="preserve">2026-10-27T10:39:54.09493+00:00</t>
  </si>
  <si>
    <t xml:space="preserve">2026-10-27T10:39:54.095715+00:00</t>
  </si>
  <si>
    <t xml:space="preserve">ORD-4677</t>
  </si>
  <si>
    <t xml:space="preserve">PVC-4 x 57 @ 8,600; ROD-16 x 12 @ 11,800; SAND-T x 1 @ 185,000; WIRE-25 x 7 @ 52,000</t>
  </si>
  <si>
    <t xml:space="preserve">2026-10-27T10:39:54.104237+00:00</t>
  </si>
  <si>
    <t xml:space="preserve">2026-10-27T10:39:54.146597+00:00</t>
  </si>
  <si>
    <t xml:space="preserve">2026-10-27T10:39:54.147429+00:00</t>
  </si>
  <si>
    <t xml:space="preserve">ORD-4678</t>
  </si>
  <si>
    <t xml:space="preserve">PVC-2 x 2 @ 4,100; ROD-12 x 108 @ 7,200; ROOF-AL x 67 @ 12,500</t>
  </si>
  <si>
    <t xml:space="preserve">Iron rod, 12 mm: 108 is far above this customer's usual 13.</t>
  </si>
  <si>
    <t xml:space="preserve">2026-10-27T10:39:54.155086+00:00</t>
  </si>
  <si>
    <t xml:space="preserve">2026-10-27T10:39:54.205146+00:00</t>
  </si>
  <si>
    <t xml:space="preserve">2026-10-27T10:39:54.205953+00:00</t>
  </si>
  <si>
    <t xml:space="preserve">ORD-4679</t>
  </si>
  <si>
    <t xml:space="preserve">CEM-50 x 185 @ 9,500; XX-640 x None (not in the catalogue)</t>
  </si>
  <si>
    <t xml:space="preserve">Row 3: XX-640 - not in the catalogue | Cement, 50 kg bag: 185 is far above this customer's usual 28.</t>
  </si>
  <si>
    <t xml:space="preserve">2026-10-27T10:39:54.214455+00:00</t>
  </si>
  <si>
    <t xml:space="preserve">2026-10-27T10:39:54.244575+00:00</t>
  </si>
  <si>
    <t xml:space="preserve">2026-10-27T10:39:54.245368+00:00</t>
  </si>
  <si>
    <t xml:space="preserve">ORD-4680</t>
  </si>
  <si>
    <t xml:space="preserve">PNT-20W x 19 @ 38,000; PVC-4 x 40 @ 8,600; WIRE-25 x 3 @ 52,000</t>
  </si>
  <si>
    <t xml:space="preserve">2026-10-27T10:39:54.253353+00:00</t>
  </si>
  <si>
    <t xml:space="preserve">2026-10-27T10:39:54.295358+00:00</t>
  </si>
  <si>
    <t xml:space="preserve">2026-10-27T10:39:54.296139+00:00</t>
  </si>
  <si>
    <t xml:space="preserve">ORD-4681</t>
  </si>
  <si>
    <t xml:space="preserve">PNT-20C x 5 @ 38,000; PVC-4 x 17 @ 8,600</t>
  </si>
  <si>
    <t xml:space="preserve">2026-10-27T10:39:54.304701+00:00</t>
  </si>
  <si>
    <t xml:space="preserve">2026-10-27T10:39:54.333747+00:00</t>
  </si>
  <si>
    <t xml:space="preserve">2026-10-27T10:39:54.334553+00:00</t>
  </si>
  <si>
    <t xml:space="preserve">ORD-4682</t>
  </si>
  <si>
    <t xml:space="preserve">PVC-4 x 47 @ 8,600; ROD-16 x 4 @ 11,800</t>
  </si>
  <si>
    <t xml:space="preserve">2026-10-27T10:39:54.343057+00:00</t>
  </si>
  <si>
    <t xml:space="preserve">2026-10-27T10:39:54.373642+00:00</t>
  </si>
  <si>
    <t xml:space="preserve">2026-10-27T10:39:54.374418+00:00</t>
  </si>
  <si>
    <t xml:space="preserve">ORD-4683</t>
  </si>
  <si>
    <t xml:space="preserve">2026-10-27T10:39:54.38219+00:00</t>
  </si>
  <si>
    <t xml:space="preserve">2026-10-27T10:39:54.39744+00:00</t>
  </si>
  <si>
    <t xml:space="preserve">2026-10-27T10:39:54.398211+00:00</t>
  </si>
  <si>
    <t xml:space="preserve">ORD-4684</t>
  </si>
  <si>
    <t xml:space="preserve">ROOF-AL x 69 @ 12,500</t>
  </si>
  <si>
    <t xml:space="preserve">2026-10-27T10:39:54.406014+00:00</t>
  </si>
  <si>
    <t xml:space="preserve">2026-10-27T10:39:54.423458+00:00</t>
  </si>
  <si>
    <t xml:space="preserve">2026-10-27T10:39:54.424275+00:00</t>
  </si>
  <si>
    <t xml:space="preserve">ORD-4685</t>
  </si>
  <si>
    <t xml:space="preserve">ROD-16 x 60 @ 11,800</t>
  </si>
  <si>
    <t xml:space="preserve">2026-10-27T10:39:54.432868+00:00</t>
  </si>
  <si>
    <t xml:space="preserve">2026-10-27T10:39:54.450554+00:00</t>
  </si>
  <si>
    <t xml:space="preserve">2026-10-27T10:39:54.451356+00:00</t>
  </si>
  <si>
    <t xml:space="preserve">ORD-4686</t>
  </si>
  <si>
    <t xml:space="preserve">NAIL-3 x 9 @ 31,000; PNT-20W x 8 @ 38,000; ROD-16 x 12 @ 11,800</t>
  </si>
  <si>
    <t xml:space="preserve">2026-10-27T10:39:54.460051+00:00</t>
  </si>
  <si>
    <t xml:space="preserve">2026-10-27T10:39:54.504192+00:00</t>
  </si>
  <si>
    <t xml:space="preserve">2026-10-27T10:39:54.504997+00:00</t>
  </si>
  <si>
    <t xml:space="preserve">ORD-4687</t>
  </si>
  <si>
    <t xml:space="preserve">PNT-20W x 16 @ 38,000; PVC-2 x 2 @ 4,100; ROD-16 x 41 @ 11,800</t>
  </si>
  <si>
    <t xml:space="preserve">2026-10-27T10:39:54.513032+00:00</t>
  </si>
  <si>
    <t xml:space="preserve">2026-10-27T10:39:54.557009+00:00</t>
  </si>
  <si>
    <t xml:space="preserve">2026-10-27T10:39:54.557899+00:00</t>
  </si>
  <si>
    <t xml:space="preserve">ORD-4688</t>
  </si>
  <si>
    <t xml:space="preserve">PVC-2 x 2 @ 4,100; ROD-16 x 12 @ 11,800; ROOF-AL x 72 @ 12,500; TIL-6060 x 2.5 (Quantity must be a whole number)</t>
  </si>
  <si>
    <t xml:space="preserve">2026-10-27T10:39:54.565784+00:00</t>
  </si>
  <si>
    <t xml:space="preserve">2026-10-27T10:39:54.6068+00:00</t>
  </si>
  <si>
    <t xml:space="preserve">2026-10-27T10:39:54.607616+00:00</t>
  </si>
  <si>
    <t xml:space="preserve">ORD-4689</t>
  </si>
  <si>
    <t xml:space="preserve">NAIL-3 x 7 @ 31,000; ROD-16 x 35 @ 11,800; ROOF-AL x 11 @ 12,500</t>
  </si>
  <si>
    <t xml:space="preserve">2026-10-27T10:39:54.615908+00:00</t>
  </si>
  <si>
    <t xml:space="preserve">2026-10-27T10:39:54.658739+00:00</t>
  </si>
  <si>
    <t xml:space="preserve">2026-10-27T10:39:54.659546+00:00</t>
  </si>
  <si>
    <t xml:space="preserve">ORD-4690</t>
  </si>
  <si>
    <t xml:space="preserve">PVC-4 x 33 @ 8,600; ROD-12 x 140 @ 7,200; TIL-6060 x 48 @ 14,500</t>
  </si>
  <si>
    <t xml:space="preserve">2026-10-27T10:39:54.668265+00:00</t>
  </si>
  <si>
    <t xml:space="preserve">2026-10-27T10:39:54.724175+00:00</t>
  </si>
  <si>
    <t xml:space="preserve">2026-10-27T10:39:54.724997+00:00</t>
  </si>
  <si>
    <t xml:space="preserve">ORD-4691</t>
  </si>
  <si>
    <t xml:space="preserve">PNT-20C x 10 @ 38,000; PVC-2 x 2 @ 4,100; PVC-4 x 41 @ 8,600</t>
  </si>
  <si>
    <t xml:space="preserve">2026-10-27T10:39:54.733712+00:00</t>
  </si>
  <si>
    <t xml:space="preserve">2026-10-27T10:39:54.775117+00:00</t>
  </si>
  <si>
    <t xml:space="preserve">2026-10-27T10:39:54.77592+00:00</t>
  </si>
  <si>
    <t xml:space="preserve">ORD-4692</t>
  </si>
  <si>
    <t xml:space="preserve">PNT-20W x 4 @ 38,000; ROD-16 x 11 @ 11,800</t>
  </si>
  <si>
    <t xml:space="preserve">2026-10-27T10:39:54.784131+00:00</t>
  </si>
  <si>
    <t xml:space="preserve">2026-10-27T10:39:54.817099+00:00</t>
  </si>
  <si>
    <t xml:space="preserve">2026-10-27T10:39:54.817927+00:00</t>
  </si>
  <si>
    <t xml:space="preserve">ORD-4693</t>
  </si>
  <si>
    <t xml:space="preserve">NAIL-3 x 2 @ 31,000; PVC-4 x 21 @ 8,600</t>
  </si>
  <si>
    <t xml:space="preserve">2026-10-27T10:39:54.826774+00:00</t>
  </si>
  <si>
    <t xml:space="preserve">2026-10-27T10:39:54.860245+00:00</t>
  </si>
  <si>
    <t xml:space="preserve">2026-10-27T10:39:54.861035+00:00</t>
  </si>
  <si>
    <t xml:space="preserve">ORD-4694</t>
  </si>
  <si>
    <t xml:space="preserve">ROD-12 x 86 @ 7,200; TIL-6060 x 33 @ 14,500</t>
  </si>
  <si>
    <t xml:space="preserve">2026-10-27T10:39:54.869284+00:00</t>
  </si>
  <si>
    <t xml:space="preserve">2026-10-27T10:39:54.912238+00:00</t>
  </si>
  <si>
    <t xml:space="preserve">2026-10-27T10:39:54.913145+00:00</t>
  </si>
  <si>
    <t xml:space="preserve">ORD-4695</t>
  </si>
  <si>
    <t xml:space="preserve">PNT-20C x 4 @ 38,000; PNT-20W x 27 @ 38,000; ROOF-AL x 13 @ 12,500</t>
  </si>
  <si>
    <t xml:space="preserve">2026-10-27T10:39:54.919752+00:00</t>
  </si>
  <si>
    <t xml:space="preserve">2026-10-27T10:39:54.962771+00:00</t>
  </si>
  <si>
    <t xml:space="preserve">2026-10-27T10:39:54.9636+00:00</t>
  </si>
  <si>
    <t xml:space="preserve">ORD-4696</t>
  </si>
  <si>
    <t xml:space="preserve">PVC-2 x 9 @ 4,100; ROD-16 x 25 @ 11,800</t>
  </si>
  <si>
    <t xml:space="preserve">PVC pipe, 2 inch, 6 m: 9 is far above this customer's usual 2.</t>
  </si>
  <si>
    <t xml:space="preserve">2026-10-27T10:39:54.972453+00:00</t>
  </si>
  <si>
    <t xml:space="preserve">2026-10-27T10:39:55.003546+00:00</t>
  </si>
  <si>
    <t xml:space="preserve">2026-10-27T10:39:55.004376+00:00</t>
  </si>
  <si>
    <t xml:space="preserve">ORD-4697</t>
  </si>
  <si>
    <t xml:space="preserve">CEM-50 x 137 @ 9,500; PVC-4 x 15 @ 8,600; ROD-12 x 190 @ 7,200</t>
  </si>
  <si>
    <t xml:space="preserve">Iron rod, 12 mm: 190 is far above this customer's usual 54.</t>
  </si>
  <si>
    <t xml:space="preserve">2026-10-27T10:39:55.012809+00:00</t>
  </si>
  <si>
    <t xml:space="preserve">2026-10-27T10:39:55.083776+00:00</t>
  </si>
  <si>
    <t xml:space="preserve">2026-10-27T10:39:55.084633+00:00</t>
  </si>
  <si>
    <t xml:space="preserve">ORD-4698</t>
  </si>
  <si>
    <t xml:space="preserve">CEM-50 x 133 @ 9,500; PVC-2 x 2 @ 4,100</t>
  </si>
  <si>
    <t xml:space="preserve">2026-10-27T10:39:55.093526+00:00</t>
  </si>
  <si>
    <t xml:space="preserve">2026-10-27T10:39:55.137385+00:00</t>
  </si>
  <si>
    <t xml:space="preserve">2026-10-27T10:39:55.138179+00:00</t>
  </si>
  <si>
    <t xml:space="preserve">ORD-4699</t>
  </si>
  <si>
    <t xml:space="preserve">2026-10-27T10:39:55.147096+00:00</t>
  </si>
  <si>
    <t xml:space="preserve">2026-10-27T10:39:55.167342+00:00</t>
  </si>
  <si>
    <t xml:space="preserve">2026-10-27T10:39:55.168111+00:00</t>
  </si>
  <si>
    <t xml:space="preserve">ORD-4700</t>
  </si>
  <si>
    <t xml:space="preserve">This looks like a repeat of ORD-4698. Confirm it is a new order.</t>
  </si>
  <si>
    <t xml:space="preserve">2026-10-27T10:39:55.175945+00:00</t>
  </si>
  <si>
    <t xml:space="preserve">ORD-4701</t>
  </si>
  <si>
    <t xml:space="preserve">2026-10-27T10:39:55.227706+00:00</t>
  </si>
  <si>
    <t xml:space="preserve">2026-10-27T10:39:55.247574+00:00</t>
  </si>
  <si>
    <t xml:space="preserve">2026-10-27T10:39:55.248421+00:00</t>
  </si>
  <si>
    <t xml:space="preserve">ORD-4702</t>
  </si>
  <si>
    <t xml:space="preserve">NAIL-3 x 11 @ 31,000; PNT-20C x 3 @ 38,000; ROD-16 x 4 @ 11,800; TIL-6060 x 61 @ 14,500</t>
  </si>
  <si>
    <t xml:space="preserve">2026-10-27T10:39:55.257514+00:00</t>
  </si>
  <si>
    <t xml:space="preserve">2026-10-27T10:39:55.314243+00:00</t>
  </si>
  <si>
    <t xml:space="preserve">2026-10-27T10:39:55.315095+00:00</t>
  </si>
  <si>
    <t xml:space="preserve">ORD-4703</t>
  </si>
  <si>
    <t xml:space="preserve">PNT-20W x 23 @ 38,000; PVC-2 x 1 @ 4,100; PVC-4 x 17 @ 8,600; ROD-16 x 54 @ 11,800</t>
  </si>
  <si>
    <t xml:space="preserve">2026-10-27T10:39:55.323445+00:00</t>
  </si>
  <si>
    <t xml:space="preserve">2026-10-27T10:39:55.385249+00:00</t>
  </si>
  <si>
    <t xml:space="preserve">2026-10-27T10:39:55.386045+00:00</t>
  </si>
  <si>
    <t xml:space="preserve">ORD-4704</t>
  </si>
  <si>
    <t xml:space="preserve">PVC-2 x 2 @ 4,100; WIRE-25 x 10 @ 52,000</t>
  </si>
  <si>
    <t xml:space="preserve">2026-10-27T10:39:55.394398+00:00</t>
  </si>
  <si>
    <t xml:space="preserve">2026-10-27T10:39:55.42471+00:00</t>
  </si>
  <si>
    <t xml:space="preserve">2026-10-27T10:39:55.425551+00:00</t>
  </si>
  <si>
    <t xml:space="preserve">ORD-4705</t>
  </si>
  <si>
    <t xml:space="preserve">PNT-20C x 3 @ 38,000; ROOF-AL x 1047 @ 12,500; TIL-6060 x 35 @ 14,500; WIRE-25 x 11 @ 52,000</t>
  </si>
  <si>
    <t xml:space="preserve">2026-10-27T10:39:55.434771+00:00</t>
  </si>
  <si>
    <t xml:space="preserve">2026-10-27T10:39:55.488452+00:00</t>
  </si>
  <si>
    <t xml:space="preserve">2026-10-27T10:39:55.489287+00:00</t>
  </si>
  <si>
    <t xml:space="preserve">ORD-4706</t>
  </si>
  <si>
    <t xml:space="preserve">ROOF-AL x 67 @ 12,500</t>
  </si>
  <si>
    <t xml:space="preserve">2026-10-27T10:39:55.497235+00:00</t>
  </si>
  <si>
    <t xml:space="preserve">2026-10-27T10:39:55.5154+00:00</t>
  </si>
  <si>
    <t xml:space="preserve">2026-10-27T10:39:55.516193+00:00</t>
  </si>
  <si>
    <t xml:space="preserve">ORD-4707</t>
  </si>
  <si>
    <t xml:space="preserve">PNT-20W x 1 @ 38,000; SAND-T x 1 @ 185,000; TIL-6060 x 58 @ 14,500</t>
  </si>
  <si>
    <t xml:space="preserve">2026-10-27T10:39:55.525461+00:00</t>
  </si>
  <si>
    <t xml:space="preserve">2026-10-27T10:39:55.563815+00:00</t>
  </si>
  <si>
    <t xml:space="preserve">2026-10-27T10:39:55.565438+00:00</t>
  </si>
  <si>
    <t xml:space="preserve">ORD-4708</t>
  </si>
  <si>
    <t xml:space="preserve">PNT-20W x 7 @ 38,000; ROD-16 x 54 @ 11,800</t>
  </si>
  <si>
    <t xml:space="preserve">2026-10-27T10:39:55.573748+00:00</t>
  </si>
  <si>
    <t xml:space="preserve">2026-10-27T10:39:55.608911+00:00</t>
  </si>
  <si>
    <t xml:space="preserve">2026-10-27T10:39:55.609713+00:00</t>
  </si>
  <si>
    <t xml:space="preserve">ORD-4709</t>
  </si>
  <si>
    <t xml:space="preserve">PVC-2 x 10 @ 4,100; PVC-4 x 57 @ 8,600</t>
  </si>
  <si>
    <t xml:space="preserve">2026-10-27T10:39:55.61781+00:00</t>
  </si>
  <si>
    <t xml:space="preserve">2026-10-27T10:39:55.652428+00:00</t>
  </si>
  <si>
    <t xml:space="preserve">2026-10-27T10:39:55.653297+00:00</t>
  </si>
  <si>
    <t xml:space="preserve">ORD-4710</t>
  </si>
  <si>
    <t xml:space="preserve">2026-10-27T10:39:55.661838+00:00</t>
  </si>
  <si>
    <t xml:space="preserve">2026-10-27T10:39:55.679812+00:00</t>
  </si>
  <si>
    <t xml:space="preserve">2026-10-27T10:39:55.680672+00:00</t>
  </si>
  <si>
    <t xml:space="preserve">ORD-4711</t>
  </si>
  <si>
    <t xml:space="preserve">NAIL-3 x 14 @ 31,000; PVC-2 x 2 @ 4,100</t>
  </si>
  <si>
    <t xml:space="preserve">2026-10-27T10:39:55.689136+00:00</t>
  </si>
  <si>
    <t xml:space="preserve">2026-10-27T10:39:55.722566+00:00</t>
  </si>
  <si>
    <t xml:space="preserve">2026-10-27T10:39:55.723436+00:00</t>
  </si>
  <si>
    <t xml:space="preserve">ORD-4712</t>
  </si>
  <si>
    <t xml:space="preserve">ROD-12 x 70 @ 7,200; TIL-6060 x 823 @ 14,500; WIRE-25 x 9 @ 52,000</t>
  </si>
  <si>
    <t xml:space="preserve">2026-10-27T10:39:55.732714+00:00</t>
  </si>
  <si>
    <t xml:space="preserve">2026-10-27T10:39:55.789978+00:00</t>
  </si>
  <si>
    <t xml:space="preserve">2026-10-27T10:39:55.790799+00:00</t>
  </si>
  <si>
    <t xml:space="preserve">ORD-4713</t>
  </si>
  <si>
    <t xml:space="preserve">This looks like a repeat of ORD-4711. Confirm it is a new order.</t>
  </si>
  <si>
    <t xml:space="preserve">2026-10-27T10:39:55.799516+00:00</t>
  </si>
  <si>
    <t xml:space="preserve">ORD-4714</t>
  </si>
  <si>
    <t xml:space="preserve">PNT-20C x 4 @ 38,000; ROD-12 x 76 @ 7,200</t>
  </si>
  <si>
    <t xml:space="preserve">2026-10-27T10:39:55.841445+00:00</t>
  </si>
  <si>
    <t xml:space="preserve">2026-10-27T10:39:55.885081+00:00</t>
  </si>
  <si>
    <t xml:space="preserve">2026-10-27T10:39:55.885911+00:00</t>
  </si>
  <si>
    <t xml:space="preserve">ORD-4715</t>
  </si>
  <si>
    <t xml:space="preserve">PVC-2 x 2 @ 4,100; TIL-6060 x 9 @ 14,500</t>
  </si>
  <si>
    <t xml:space="preserve">2026-10-27T10:39:55.894407+00:00</t>
  </si>
  <si>
    <t xml:space="preserve">2026-10-27T10:39:55.929476+00:00</t>
  </si>
  <si>
    <t xml:space="preserve">2026-10-27T10:39:55.930333+00:00</t>
  </si>
  <si>
    <t xml:space="preserve">ORD-4716</t>
  </si>
  <si>
    <t xml:space="preserve">TIL-6060 x 72 @ 14,500</t>
  </si>
  <si>
    <t xml:space="preserve">2026-10-27T10:39:55.93899+00:00</t>
  </si>
  <si>
    <t xml:space="preserve">2026-10-27T10:39:55.959414+00:00</t>
  </si>
  <si>
    <t xml:space="preserve">2026-10-27T10:39:55.960302+00:00</t>
  </si>
  <si>
    <t xml:space="preserve">ORD-4717</t>
  </si>
  <si>
    <t xml:space="preserve">PNT-20W x 1 @ 38,000; PVC-2 x 2 @ 4,100</t>
  </si>
  <si>
    <t xml:space="preserve">2026-10-27T10:39:55.968855+00:00</t>
  </si>
  <si>
    <t xml:space="preserve">2026-10-27T10:39:56.005669+00:00</t>
  </si>
  <si>
    <t xml:space="preserve">2026-10-27T10:39:56.006501+00:00</t>
  </si>
  <si>
    <t xml:space="preserve">ORD-4718</t>
  </si>
  <si>
    <t xml:space="preserve">2026-10-27T10:39:56.015531+00:00</t>
  </si>
  <si>
    <t xml:space="preserve">2026-10-27T10:39:56.034091+00:00</t>
  </si>
  <si>
    <t xml:space="preserve">2026-10-27T10:39:56.034938+00:00</t>
  </si>
  <si>
    <t xml:space="preserve">ORD-4719</t>
  </si>
  <si>
    <t xml:space="preserve">NAIL-3 x 10 @ 31,000; TIL-6060 x 88 @ 14,500; WIRE-25 x 5 @ 52,000</t>
  </si>
  <si>
    <t xml:space="preserve">2026-10-27T10:39:56.044574+00:00</t>
  </si>
  <si>
    <t xml:space="preserve">2026-10-27T10:39:56.090938+00:00</t>
  </si>
  <si>
    <t xml:space="preserve">2026-10-27T10:39:56.091838+00:00</t>
  </si>
  <si>
    <t xml:space="preserve">ORD-4720</t>
  </si>
  <si>
    <t xml:space="preserve">ROD-12 x 39 @ 7,200; ROD-16 x 16 @ 11,800; TIL-6060 x 12 @ 14,500</t>
  </si>
  <si>
    <t xml:space="preserve">2026-10-27T10:39:56.10129+00:00</t>
  </si>
  <si>
    <t xml:space="preserve">2026-10-27T10:39:56.163403+00:00</t>
  </si>
  <si>
    <t xml:space="preserve">2026-10-27T10:39:56.164235+00:00</t>
  </si>
  <si>
    <t xml:space="preserve">ORD-4721</t>
  </si>
  <si>
    <t xml:space="preserve">ROD-12 x 90 @ 7,200; ROD-16 x 28 @ 11,800; WIRE-25 x 15 @ 52,000</t>
  </si>
  <si>
    <t xml:space="preserve">Iron rod, 12 mm: 90 is far above this customer's usual 25.</t>
  </si>
  <si>
    <t xml:space="preserve">2026-10-27T10:39:56.173394+00:00</t>
  </si>
  <si>
    <t xml:space="preserve">2026-10-27T10:39:56.233302+00:00</t>
  </si>
  <si>
    <t xml:space="preserve">2026-10-27T10:39:56.234138+00:00</t>
  </si>
  <si>
    <t xml:space="preserve">ORD-4722</t>
  </si>
  <si>
    <t xml:space="preserve">TIL-6060 x 28 @ 14,500</t>
  </si>
  <si>
    <t xml:space="preserve">2026-10-27T10:39:56.243822+00:00</t>
  </si>
  <si>
    <t xml:space="preserve">2026-10-27T10:39:56.265458+00:00</t>
  </si>
  <si>
    <t xml:space="preserve">2026-10-27T10:39:56.266295+00:00</t>
  </si>
  <si>
    <t xml:space="preserve">ORD-4723</t>
  </si>
  <si>
    <t xml:space="preserve">WIRE-25 x 11 @ 52,000</t>
  </si>
  <si>
    <t xml:space="preserve">2026-10-27T10:39:56.275747+00:00</t>
  </si>
  <si>
    <t xml:space="preserve">2026-10-27T10:39:56.294691+00:00</t>
  </si>
  <si>
    <t xml:space="preserve">2026-10-27T10:39:56.295548+00:00</t>
  </si>
  <si>
    <t xml:space="preserve">ORD-4724</t>
  </si>
  <si>
    <t xml:space="preserve">This looks like a repeat of ORD-4723. Confirm it is a new order.</t>
  </si>
  <si>
    <t xml:space="preserve">2026-10-27T10:39:56.304678+00:00</t>
  </si>
  <si>
    <t xml:space="preserve">ORD-4725</t>
  </si>
  <si>
    <t xml:space="preserve">PVC-2 x 2 @ 4,100; PVC-4 x 8 @ 8,600; WIRE-25 x 8 @ 52,000</t>
  </si>
  <si>
    <t xml:space="preserve">2026-10-27T10:39:56.331951+00:00</t>
  </si>
  <si>
    <t xml:space="preserve">2026-10-27T10:39:56.380951+00:00</t>
  </si>
  <si>
    <t xml:space="preserve">2026-10-27T10:39:56.381809+00:00</t>
  </si>
  <si>
    <t xml:space="preserve">ORD-4726</t>
  </si>
  <si>
    <t xml:space="preserve">PNT-20W x 5 @ 38,000; WIRE-25 x 12 @ 52,000</t>
  </si>
  <si>
    <t xml:space="preserve">2026-10-27T10:39:56.391392+00:00</t>
  </si>
  <si>
    <t xml:space="preserve">2026-10-27T10:39:56.427396+00:00</t>
  </si>
  <si>
    <t xml:space="preserve">2026-10-27T10:39:56.4283+00:00</t>
  </si>
  <si>
    <t xml:space="preserve">ORD-4727</t>
  </si>
  <si>
    <t xml:space="preserve">CEM-50 x 126 @ 9,500; ROD-12 x 137 @ 7,200</t>
  </si>
  <si>
    <t xml:space="preserve">Iron rod, 12 mm: 137 is far above this customer's usual 32. | Cement, 50 kg bag: 126 is far above this customer's usual 25.</t>
  </si>
  <si>
    <t xml:space="preserve">2026-10-27T10:39:56.437785+00:00</t>
  </si>
  <si>
    <t xml:space="preserve">2026-10-27T10:39:56.498651+00:00</t>
  </si>
  <si>
    <t xml:space="preserve">2026-10-27T10:39:56.499497+00:00</t>
  </si>
  <si>
    <t xml:space="preserve">ORD-4728</t>
  </si>
  <si>
    <t xml:space="preserve">NAIL-3 x 8 @ 31,000; ROD-12 x 109 @ 7,200</t>
  </si>
  <si>
    <t xml:space="preserve">2026-10-27T10:39:56.509022+00:00</t>
  </si>
  <si>
    <t xml:space="preserve">2026-10-27T10:39:56.558355+00:00</t>
  </si>
  <si>
    <t xml:space="preserve">2026-10-27T10:39:56.559193+00:00</t>
  </si>
  <si>
    <t xml:space="preserve">ORD-4729</t>
  </si>
  <si>
    <t xml:space="preserve">2026-10-27T10:39:56.568679+00:00</t>
  </si>
  <si>
    <t xml:space="preserve">2026-10-27T10:39:56.59009+00:00</t>
  </si>
  <si>
    <t xml:space="preserve">2026-10-27T10:39:56.590889+00:00</t>
  </si>
  <si>
    <t xml:space="preserve">ORD-4730</t>
  </si>
  <si>
    <t xml:space="preserve">PNT-20C x 9 @ 38,000; PNT-20W x 27 @ 38,000</t>
  </si>
  <si>
    <t xml:space="preserve">2026-10-27T10:39:56.599155+00:00</t>
  </si>
  <si>
    <t xml:space="preserve">2026-10-27T10:39:56.634996+00:00</t>
  </si>
  <si>
    <t xml:space="preserve">2026-10-27T10:39:56.635842+00:00</t>
  </si>
  <si>
    <t xml:space="preserve">ORD-4731</t>
  </si>
  <si>
    <t xml:space="preserve">NAIL-3 x 6 @ 31,000; PNT-20C x 4 @ 38,000; ROD-16 x 29 @ 11,800; SAND-T x 1 @ 185,000</t>
  </si>
  <si>
    <t xml:space="preserve">2026-10-27T10:39:56.644762+00:00</t>
  </si>
  <si>
    <t xml:space="preserve">2026-10-27T10:39:56.697665+00:00</t>
  </si>
  <si>
    <t xml:space="preserve">2026-10-27T10:39:56.698509+00:00</t>
  </si>
  <si>
    <t xml:space="preserve">ORD-4732</t>
  </si>
  <si>
    <t xml:space="preserve">PNT-20W x 3 @ 38,000; TIL-6060 x 64 @ 14,500; WIRE-25 x 13 @ 52,000</t>
  </si>
  <si>
    <t xml:space="preserve">2026-10-27T10:39:56.707357+00:00</t>
  </si>
  <si>
    <t xml:space="preserve">2026-10-27T10:39:56.760117+00:00</t>
  </si>
  <si>
    <t xml:space="preserve">2026-10-27T10:39:56.760949+00:00</t>
  </si>
  <si>
    <t xml:space="preserve">ORD-4733</t>
  </si>
  <si>
    <t xml:space="preserve">CEM-50 x 77 @ 9,500; NAIL-3 x 5 @ 31,000; PVC-4 x 42 @ 8,600</t>
  </si>
  <si>
    <t xml:space="preserve">2026-10-27T10:39:56.77031+00:00</t>
  </si>
  <si>
    <t xml:space="preserve">2026-10-27T10:39:56.836798+00:00</t>
  </si>
  <si>
    <t xml:space="preserve">2026-10-27T10:39:56.837688+00:00</t>
  </si>
  <si>
    <t xml:space="preserve">ORD-4734</t>
  </si>
  <si>
    <t xml:space="preserve">NAIL-3 x 3 @ 31,000; PVC-2 x 2 @ 4,100; TIL-6060 x 84 @ 14,500</t>
  </si>
  <si>
    <t xml:space="preserve">2026-10-27T10:39:56.847725+00:00</t>
  </si>
  <si>
    <t xml:space="preserve">2026-10-27T10:39:56.901608+00:00</t>
  </si>
  <si>
    <t xml:space="preserve">2026-10-27T10:39:56.902495+00:00</t>
  </si>
  <si>
    <t xml:space="preserve">ORD-4735</t>
  </si>
  <si>
    <t xml:space="preserve">ROD-12 x 586 @ 7,200; ROOF-AL x 43 @ 12,500</t>
  </si>
  <si>
    <t xml:space="preserve">Iron rod, 12 mm: not enough stock for this quantity. Reduce it. | Iron rod, 12 mm: 586 is far above this customer's usual 36.</t>
  </si>
  <si>
    <t xml:space="preserve">2026-10-27T10:39:56.912259+00:00</t>
  </si>
  <si>
    <t xml:space="preserve">2026-10-27T10:39:56.961818+00:00</t>
  </si>
  <si>
    <t xml:space="preserve">2026-10-27T10:39:56.962673+00:00</t>
  </si>
  <si>
    <t xml:space="preserve">ORD-4736</t>
  </si>
  <si>
    <t xml:space="preserve">CEM-50 x 136 @ 9,500; ROD-12 x 7 @ 7,200; ROOF-AL x 1024 @ 12,500; WIRE-25 x 3 @ 52,000</t>
  </si>
  <si>
    <t xml:space="preserve">2026-10-27T10:39:56.971345+00:00</t>
  </si>
  <si>
    <t xml:space="preserve">2026-10-27T10:39:57.062491+00:00</t>
  </si>
  <si>
    <t xml:space="preserve">2026-10-27T10:39:57.063343+00:00</t>
  </si>
  <si>
    <t xml:space="preserve">ORD-4737</t>
  </si>
  <si>
    <t xml:space="preserve">PNT-20C x 8 @ 38,000; PVC-2 x 10 @ 4,100; ROD-12 x 14 @ 7,200; ROD-16 x 5 @ 11,800</t>
  </si>
  <si>
    <t xml:space="preserve">2026-10-27T10:39:57.072461+00:00</t>
  </si>
  <si>
    <t xml:space="preserve">2026-10-27T10:39:57.152563+00:00</t>
  </si>
  <si>
    <t xml:space="preserve">2026-10-27T10:39:57.153431+00:00</t>
  </si>
  <si>
    <t xml:space="preserve">ORD-4738</t>
  </si>
  <si>
    <t xml:space="preserve">2026-10-27T10:39:57.16236+00:00</t>
  </si>
  <si>
    <t xml:space="preserve">2026-10-27T10:39:57.182932+00:00</t>
  </si>
  <si>
    <t xml:space="preserve">2026-10-27T10:39:57.183775+00:00</t>
  </si>
  <si>
    <t xml:space="preserve">ORD-4739</t>
  </si>
  <si>
    <t xml:space="preserve">PNT-20C x 10 @ 38,000; PNT-20W x 20 @ 38,000; ROD-12 x 46 @ 7,200</t>
  </si>
  <si>
    <t xml:space="preserve">2026-10-27T10:39:57.19296+00:00</t>
  </si>
  <si>
    <t xml:space="preserve">2026-10-27T10:39:57.259768+00:00</t>
  </si>
  <si>
    <t xml:space="preserve">2026-10-27T10:39:57.260683+00:00</t>
  </si>
  <si>
    <t xml:space="preserve">ORD-4740</t>
  </si>
  <si>
    <t xml:space="preserve">2026-10-27T10:39:57.270418+00:00</t>
  </si>
  <si>
    <t xml:space="preserve">2026-10-27T10:39:57.292954+00:00</t>
  </si>
  <si>
    <t xml:space="preserve">2026-10-27T10:39:57.293805+00:00</t>
  </si>
  <si>
    <t xml:space="preserve">ORD-4741</t>
  </si>
  <si>
    <t xml:space="preserve">PNT-20W x 6 @ 38,000; PVC-2 x 2 @ 4,100</t>
  </si>
  <si>
    <t xml:space="preserve">2026-10-27T10:39:57.303545+00:00</t>
  </si>
  <si>
    <t xml:space="preserve">2026-10-27T10:39:57.343743+00:00</t>
  </si>
  <si>
    <t xml:space="preserve">2026-10-27T10:39:57.344642+00:00</t>
  </si>
  <si>
    <t xml:space="preserve">ORD-4742</t>
  </si>
  <si>
    <t xml:space="preserve">ROD-12 x 37 @ 7,200</t>
  </si>
  <si>
    <t xml:space="preserve">2026-10-27T10:39:57.354048+00:00</t>
  </si>
  <si>
    <t xml:space="preserve">2026-10-27T10:39:57.390268+00:00</t>
  </si>
  <si>
    <t xml:space="preserve">2026-10-27T10:39:57.391095+00:00</t>
  </si>
  <si>
    <t xml:space="preserve">ORD-4743</t>
  </si>
  <si>
    <t xml:space="preserve">PNT-20C x 4 @ 38,000; PNT-20W x 8 @ 38,000; ROD-12 x 180 @ 7,200; ROD-16 x 32 @ 11,800</t>
  </si>
  <si>
    <t xml:space="preserve">2026-10-27T10:39:57.400952+00:00</t>
  </si>
  <si>
    <t xml:space="preserve">2026-10-27T10:39:57.485605+00:00</t>
  </si>
  <si>
    <t xml:space="preserve">2026-10-27T10:39:57.48645+00:00</t>
  </si>
  <si>
    <t xml:space="preserve">ORD-4744</t>
  </si>
  <si>
    <t xml:space="preserve">ROD-12 x 114 @ 7,200</t>
  </si>
  <si>
    <t xml:space="preserve">2026-10-27T10:39:57.495931+00:00</t>
  </si>
  <si>
    <t xml:space="preserve">2026-10-27T10:39:57.532319+00:00</t>
  </si>
  <si>
    <t xml:space="preserve">2026-10-27T10:39:57.533206+00:00</t>
  </si>
  <si>
    <t xml:space="preserve">ORD-4745</t>
  </si>
  <si>
    <t xml:space="preserve">CEM-50 x 28 @ 9,500; PNT-20C x 4 @ 38,000; PVC-4 x 47 @ 8,600</t>
  </si>
  <si>
    <t xml:space="preserve">2026-10-27T10:39:57.542804+00:00</t>
  </si>
  <si>
    <t xml:space="preserve">2026-10-27T10:39:57.609115+00:00</t>
  </si>
  <si>
    <t xml:space="preserve">2026-10-27T10:39:57.609952+00:00</t>
  </si>
  <si>
    <t xml:space="preserve">ORD-4746</t>
  </si>
  <si>
    <t xml:space="preserve">2026-10-27T10:39:57.619053+00:00</t>
  </si>
  <si>
    <t xml:space="preserve">2026-10-27T10:39:57.640089+00:00</t>
  </si>
  <si>
    <t xml:space="preserve">2026-10-27T10:39:57.640974+00:00</t>
  </si>
  <si>
    <t xml:space="preserve">ORD-4747</t>
  </si>
  <si>
    <t xml:space="preserve">2026-10-27T10:39:57.650851+00:00</t>
  </si>
  <si>
    <t xml:space="preserve">2026-10-27T10:39:57.673652+00:00</t>
  </si>
  <si>
    <t xml:space="preserve">2026-10-27T10:39:57.674497+00:00</t>
  </si>
  <si>
    <t xml:space="preserve">ORD-4748</t>
  </si>
  <si>
    <t xml:space="preserve">This looks like a repeat of ORD-4746. Confirm it is a new order.</t>
  </si>
  <si>
    <t xml:space="preserve">2026-10-27T10:39:57.683458+00:00</t>
  </si>
  <si>
    <t xml:space="preserve">ORD-4749</t>
  </si>
  <si>
    <t xml:space="preserve">TIL-6060 x 90 @ 14,500</t>
  </si>
  <si>
    <t xml:space="preserve">2026-10-27T10:39:57.713028+00:00</t>
  </si>
  <si>
    <t xml:space="preserve">2026-10-27T10:39:57.736769+00:00</t>
  </si>
  <si>
    <t xml:space="preserve">2026-10-27T10:39:57.737642+00:00</t>
  </si>
  <si>
    <t xml:space="preserve">ORD-4750</t>
  </si>
  <si>
    <t xml:space="preserve">NAIL-3 x 1 @ 31,000; PNT-20W x 6 @ 38,000</t>
  </si>
  <si>
    <t xml:space="preserve">2026-10-27T10:39:57.747621+00:00</t>
  </si>
  <si>
    <t xml:space="preserve">2026-10-27T10:39:57.789623+00:00</t>
  </si>
  <si>
    <t xml:space="preserve">2026-10-27T10:39:57.790486+00:00</t>
  </si>
  <si>
    <t xml:space="preserve">ORD-4751</t>
  </si>
  <si>
    <t xml:space="preserve">duplicate, mandatory</t>
  </si>
  <si>
    <t xml:space="preserve">Choose a delivery date. | This looks like a repeat of ORD-4458. Confirm it is a new order.</t>
  </si>
  <si>
    <t xml:space="preserve">2026-10-27T10:39:57.800379+00:00</t>
  </si>
  <si>
    <t xml:space="preserve">2026-10-27T10:39:57.824304+00:00</t>
  </si>
  <si>
    <t xml:space="preserve">2026-10-27T10:39:57.825162+00:00</t>
  </si>
  <si>
    <t xml:space="preserve">ORD-4752</t>
  </si>
  <si>
    <t xml:space="preserve">This looks like a repeat of ORD-4750. Confirm it is a new order.</t>
  </si>
  <si>
    <t xml:space="preserve">2026-10-27T10:39:57.834491+00:00</t>
  </si>
  <si>
    <t xml:space="preserve">ORD-4753</t>
  </si>
  <si>
    <t xml:space="preserve">PVC-2 x 2 @ 4,100; PVC-4 x 61 @ 8,600; ROD-16 x 72 @ 11,800</t>
  </si>
  <si>
    <t xml:space="preserve">2026-10-27T10:39:57.885441+00:00</t>
  </si>
  <si>
    <t xml:space="preserve">2026-10-27T10:39:57.943227+00:00</t>
  </si>
  <si>
    <t xml:space="preserve">2026-10-27T10:39:57.944097+00:00</t>
  </si>
  <si>
    <t xml:space="preserve">ORD-4754</t>
  </si>
  <si>
    <t xml:space="preserve">PVC-4 x 21 @ 8,600; ROD-12 x 26 @ 7,200; WIRE-25 x 8 @ 52,000</t>
  </si>
  <si>
    <t xml:space="preserve">2026-10-27T10:39:57.953796+00:00</t>
  </si>
  <si>
    <t xml:space="preserve">2026-10-27T10:39:58.023384+00:00</t>
  </si>
  <si>
    <t xml:space="preserve">2026-10-27T10:39:58.024319+00:00</t>
  </si>
  <si>
    <t xml:space="preserve">ORD-4755</t>
  </si>
  <si>
    <t xml:space="preserve">PNT-20C x 8 @ 38,000; ROD-16 x 52 @ 11,800; WIRE-25 x 3 @ 52,000</t>
  </si>
  <si>
    <t xml:space="preserve">2026-10-27T10:39:58.034639+00:00</t>
  </si>
  <si>
    <t xml:space="preserve">2026-10-27T10:39:58.08708+00:00</t>
  </si>
  <si>
    <t xml:space="preserve">2026-10-27T10:39:58.087938+00:00</t>
  </si>
  <si>
    <t xml:space="preserve">ORD-4756</t>
  </si>
  <si>
    <t xml:space="preserve">PVC-4 x 10 @ 8,600; ROD-16 x 22 @ 11,800; SAND-T x 1 @ 185,000; TIL-6060 x 74 @ 14,500</t>
  </si>
  <si>
    <t xml:space="preserve">2026-10-27T10:39:58.098047+00:00</t>
  </si>
  <si>
    <t xml:space="preserve">2026-10-27T10:39:58.16117+00:00</t>
  </si>
  <si>
    <t xml:space="preserve">2026-10-27T10:39:58.16205+00:00</t>
  </si>
  <si>
    <t xml:space="preserve">ORD-4757</t>
  </si>
  <si>
    <t xml:space="preserve">This looks like a repeat of ORD-4755. Confirm it is a new order.</t>
  </si>
  <si>
    <t xml:space="preserve">2026-10-27T10:39:58.171345+00:00</t>
  </si>
  <si>
    <t xml:space="preserve">ORD-4758</t>
  </si>
  <si>
    <t xml:space="preserve">PVC-4 x 21 @ 8,600</t>
  </si>
  <si>
    <t xml:space="preserve">2026-10-27T10:39:58.232291+00:00</t>
  </si>
  <si>
    <t xml:space="preserve">2026-10-27T10:39:58.256826+00:00</t>
  </si>
  <si>
    <t xml:space="preserve">2026-10-27T10:39:58.257722+00:00</t>
  </si>
  <si>
    <t xml:space="preserve">ORD-4759</t>
  </si>
  <si>
    <t xml:space="preserve">2026-10-27T10:39:58.268002+00:00</t>
  </si>
  <si>
    <t xml:space="preserve">2026-10-27T10:39:58.292309+00:00</t>
  </si>
  <si>
    <t xml:space="preserve">2026-10-27T10:39:58.293149+00:00</t>
  </si>
  <si>
    <t xml:space="preserve">ORD-4760</t>
  </si>
  <si>
    <t xml:space="preserve">PVC-2 x 2 @ 4,100; PVC-4 x 2.5 (Quantity must be a whole number)</t>
  </si>
  <si>
    <t xml:space="preserve">2026-10-27T10:39:58.302402+00:00</t>
  </si>
  <si>
    <t xml:space="preserve">2026-10-27T10:39:58.328695+00:00</t>
  </si>
  <si>
    <t xml:space="preserve">2026-10-27T10:39:58.329713+00:00</t>
  </si>
  <si>
    <t xml:space="preserve">ORD-4761</t>
  </si>
  <si>
    <t xml:space="preserve">This looks like a repeat of ORD-4758. Confirm it is a new order.</t>
  </si>
  <si>
    <t xml:space="preserve">2026-10-27T10:39:58.339226+00:00</t>
  </si>
  <si>
    <t xml:space="preserve">ORD-4762</t>
  </si>
  <si>
    <t xml:space="preserve">CEM-50 x 154 @ 9,500; NAIL-3 x 5 @ 31,000; PNT-20C x 1 @ 38,000</t>
  </si>
  <si>
    <t xml:space="preserve">Cement, 50 kg bag: 154 is far above this customer's usual 35.</t>
  </si>
  <si>
    <t xml:space="preserve">2026-10-27T10:39:58.374941+00:00</t>
  </si>
  <si>
    <t xml:space="preserve">2026-10-27T10:39:58.447297+00:00</t>
  </si>
  <si>
    <t xml:space="preserve">2026-10-27T10:39:58.448213+00:00</t>
  </si>
  <si>
    <t xml:space="preserve">ORD-4763</t>
  </si>
  <si>
    <t xml:space="preserve">ROD-16 x 1023 @ 11,800; ROOF-AL x 76 @ 12,500</t>
  </si>
  <si>
    <t xml:space="preserve">Iron rod, 16 mm: quantity must be between 5 and 1000. | Iron rod, 16 mm: not enough stock for this quantity. Reduce it. | Iron rod, 16 mm: 1023 is far above this customer's usual 36.</t>
  </si>
  <si>
    <t xml:space="preserve">2026-10-27T10:39:58.458256+00:00</t>
  </si>
  <si>
    <t xml:space="preserve">2026-10-27T10:39:58.498348+00:00</t>
  </si>
  <si>
    <t xml:space="preserve">2026-10-27T10:39:58.499179+00:00</t>
  </si>
  <si>
    <t xml:space="preserve">ORD-4764</t>
  </si>
  <si>
    <t xml:space="preserve">This looks like a repeat of ORD-4762. Confirm it is a new order.</t>
  </si>
  <si>
    <t xml:space="preserve">2026-10-27T10:39:58.507933+00:00</t>
  </si>
  <si>
    <t xml:space="preserve">ORD-4765</t>
  </si>
  <si>
    <t xml:space="preserve">CEM-50 x 260 @ 9,500; PNT-20C x 5 @ 38,000; ROOF-AL x 69 @ 12,500; TIL-6060 x 36 @ 14,500</t>
  </si>
  <si>
    <t xml:space="preserve">Cement, 50 kg bag: 260 is far above this customer's usual 28.</t>
  </si>
  <si>
    <t xml:space="preserve">2026-10-27T10:39:58.586219+00:00</t>
  </si>
  <si>
    <t xml:space="preserve">2026-10-27T10:39:58.671247+00:00</t>
  </si>
  <si>
    <t xml:space="preserve">2026-10-27T10:39:58.672108+00:00</t>
  </si>
  <si>
    <t xml:space="preserve">ORD-4766</t>
  </si>
  <si>
    <t xml:space="preserve">2026-10-27T10:39:58.682069+00:00</t>
  </si>
  <si>
    <t xml:space="preserve">2026-10-27T10:39:58.708562+00:00</t>
  </si>
  <si>
    <t xml:space="preserve">2026-10-27T10:39:58.709451+00:00</t>
  </si>
  <si>
    <t xml:space="preserve">ORD-4767</t>
  </si>
  <si>
    <t xml:space="preserve">2026-10-27T10:39:58.719098+00:00</t>
  </si>
  <si>
    <t xml:space="preserve">2026-10-27T10:39:58.744209+00:00</t>
  </si>
  <si>
    <t xml:space="preserve">2026-10-27T10:39:58.745088+00:00</t>
  </si>
  <si>
    <t xml:space="preserve">ORD-4768</t>
  </si>
  <si>
    <t xml:space="preserve">ROD-16 x 61 @ 11,800; TIL-6060 x 37 @ 14,500</t>
  </si>
  <si>
    <t xml:space="preserve">2026-10-27T10:39:58.755611+00:00</t>
  </si>
  <si>
    <t xml:space="preserve">2026-10-27T10:39:58.798999+00:00</t>
  </si>
  <si>
    <t xml:space="preserve">2026-10-27T10:39:58.79987+00:00</t>
  </si>
  <si>
    <t xml:space="preserve">ORD-4769</t>
  </si>
  <si>
    <t xml:space="preserve">PVC-4 x 60 @ 8,600</t>
  </si>
  <si>
    <t xml:space="preserve">2026-10-27T10:39:58.809931+00:00</t>
  </si>
  <si>
    <t xml:space="preserve">2026-10-27T10:39:58.836678+00:00</t>
  </si>
  <si>
    <t xml:space="preserve">2026-10-27T10:39:58.837562+00:00</t>
  </si>
  <si>
    <t xml:space="preserve">ORD-4770</t>
  </si>
  <si>
    <t xml:space="preserve">PNT-20C x 7 @ 38,000; ROOF-AL x 24 @ 12,500</t>
  </si>
  <si>
    <t xml:space="preserve">2026-10-27T10:39:58.847441+00:00</t>
  </si>
  <si>
    <t xml:space="preserve">2026-10-27T10:39:58.885893+00:00</t>
  </si>
  <si>
    <t xml:space="preserve">2026-10-27T10:39:58.886835+00:00</t>
  </si>
  <si>
    <t xml:space="preserve">ORD-4771</t>
  </si>
  <si>
    <t xml:space="preserve">CEM-50 x 121 @ 9,500</t>
  </si>
  <si>
    <t xml:space="preserve">2026-10-27T10:39:58.897259+00:00</t>
  </si>
  <si>
    <t xml:space="preserve">2026-10-27T10:39:58.936135+00:00</t>
  </si>
  <si>
    <t xml:space="preserve">2026-10-27T10:39:58.937104+00:00</t>
  </si>
  <si>
    <t xml:space="preserve">ORD-4772</t>
  </si>
  <si>
    <t xml:space="preserve">CEM-50 x 66 @ 9,500; ROD-16 x 66 @ 11,800; WIRE-25 x 16 @ 52,000</t>
  </si>
  <si>
    <t xml:space="preserve">2026-10-27T10:39:58.946494+00:00</t>
  </si>
  <si>
    <t xml:space="preserve">2026-10-27T10:39:59.018379+00:00</t>
  </si>
  <si>
    <t xml:space="preserve">2026-10-27T10:39:59.019267+00:00</t>
  </si>
  <si>
    <t xml:space="preserve">ORD-4773</t>
  </si>
  <si>
    <t xml:space="preserve">This looks like a repeat of ORD-4772. Confirm it is a new order.</t>
  </si>
  <si>
    <t xml:space="preserve">2026-10-27T10:39:59.029132+00:00</t>
  </si>
  <si>
    <t xml:space="preserve">ORD-4774</t>
  </si>
  <si>
    <t xml:space="preserve">2026-10-27T10:39:59.110273+00:00</t>
  </si>
  <si>
    <t xml:space="preserve">2026-10-27T10:39:59.136415+00:00</t>
  </si>
  <si>
    <t xml:space="preserve">2026-10-27T10:39:59.137323+00:00</t>
  </si>
  <si>
    <t xml:space="preserve">ORD-4775</t>
  </si>
  <si>
    <t xml:space="preserve">PVC-2 x 2 @ 4,100; ROD-16 x 13 @ 11,800</t>
  </si>
  <si>
    <t xml:space="preserve">2026-10-27T10:39:59.147505+00:00</t>
  </si>
  <si>
    <t xml:space="preserve">2026-10-27T10:39:59.191461+00:00</t>
  </si>
  <si>
    <t xml:space="preserve">2026-10-27T10:39:59.192352+00:00</t>
  </si>
  <si>
    <t xml:space="preserve">ORD-4776</t>
  </si>
  <si>
    <t xml:space="preserve">PVC-4 x 20 @ 8,600; ROD-16 x 69 @ 11,800; TIL-6060 x 29 @ 14,500</t>
  </si>
  <si>
    <t xml:space="preserve">2026-10-27T10:39:59.201385+00:00</t>
  </si>
  <si>
    <t xml:space="preserve">2026-10-27T10:39:59.265437+00:00</t>
  </si>
  <si>
    <t xml:space="preserve">2026-10-27T10:39:59.266319+00:00</t>
  </si>
  <si>
    <t xml:space="preserve">ORD-4777</t>
  </si>
  <si>
    <t xml:space="preserve">PNT-20C x 10 @ 38,000; ROD-12 x 59 @ 7,200; WIRE-25 x 16 @ 52,000; ROOF-AL x 10.5 (Quantity must be a whole number)</t>
  </si>
  <si>
    <t xml:space="preserve">ROOF-AL - Quantity must be a whole number | Iron rod, 12 mm: 59 is far above this customer's usual 18.</t>
  </si>
  <si>
    <t xml:space="preserve">2026-10-27T10:39:59.276745+00:00</t>
  </si>
  <si>
    <t xml:space="preserve">2026-10-27T10:39:59.348481+00:00</t>
  </si>
  <si>
    <t xml:space="preserve">2026-10-27T10:39:59.349366+00:00</t>
  </si>
  <si>
    <t xml:space="preserve">ORD-4778</t>
  </si>
  <si>
    <t xml:space="preserve">PNT-20W x 1 @ 38,000; PVC-4 x 40 @ 8,600</t>
  </si>
  <si>
    <t xml:space="preserve">2026-10-27T10:39:59.358341+00:00</t>
  </si>
  <si>
    <t xml:space="preserve">2026-10-27T10:39:59.405742+00:00</t>
  </si>
  <si>
    <t xml:space="preserve">2026-10-27T10:39:59.406718+00:00</t>
  </si>
  <si>
    <t xml:space="preserve">ORD-4779</t>
  </si>
  <si>
    <t xml:space="preserve">NAIL-3 x 8 @ 31,000</t>
  </si>
  <si>
    <t xml:space="preserve">2026-10-27T10:39:59.416096+00:00</t>
  </si>
  <si>
    <t xml:space="preserve">2026-10-27T10:39:59.441857+00:00</t>
  </si>
  <si>
    <t xml:space="preserve">2026-10-27T10:39:59.442749+00:00</t>
  </si>
  <si>
    <t xml:space="preserve">ORD-4780</t>
  </si>
  <si>
    <t xml:space="preserve">PNT-20W x 15 @ 38,000; PVC-4 x 37 @ 8,600</t>
  </si>
  <si>
    <t xml:space="preserve">2026-10-27T10:39:59.45182+00:00</t>
  </si>
  <si>
    <t xml:space="preserve">2026-10-27T10:39:59.500059+00:00</t>
  </si>
  <si>
    <t xml:space="preserve">2026-10-27T10:39:59.500925+00:00</t>
  </si>
  <si>
    <t xml:space="preserve">ORD-4781</t>
  </si>
  <si>
    <t xml:space="preserve">NAIL-3 x 2 @ 31,000; PVC-4 x 17 @ 8,600; WIRE-25 x 14 @ 52,000</t>
  </si>
  <si>
    <t xml:space="preserve">2026-10-27T10:39:59.510356+00:00</t>
  </si>
  <si>
    <t xml:space="preserve">2026-10-27T10:39:59.573559+00:00</t>
  </si>
  <si>
    <t xml:space="preserve">2026-10-27T10:39:59.574422+00:00</t>
  </si>
  <si>
    <t xml:space="preserve">ORD-4782</t>
  </si>
  <si>
    <t xml:space="preserve">NAIL-3 x 10 @ 31,000; PVC-2 x 2 @ 4,100; WIRE-25 x 6 @ 52,000; XX-363 x None (not in the catalogue)</t>
  </si>
  <si>
    <t xml:space="preserve">Row 5: XX-363 - not in the catalogue</t>
  </si>
  <si>
    <t xml:space="preserve">2026-10-27T10:39:59.583506+00:00</t>
  </si>
  <si>
    <t xml:space="preserve">2026-10-27T10:39:59.645219+00:00</t>
  </si>
  <si>
    <t xml:space="preserve">2026-10-27T10:39:59.646093+00:00</t>
  </si>
  <si>
    <t xml:space="preserve">ORD-4783</t>
  </si>
  <si>
    <t xml:space="preserve">PVC-4 x 31 @ 8,600; SAND-T x 1 @ 185,000; WIRE-25 x 10 @ 52,000</t>
  </si>
  <si>
    <t xml:space="preserve">2026-10-27T10:39:59.655959+00:00</t>
  </si>
  <si>
    <t xml:space="preserve">2026-10-27T10:39:59.705427+00:00</t>
  </si>
  <si>
    <t xml:space="preserve">2026-10-27T10:39:59.706312+00:00</t>
  </si>
  <si>
    <t xml:space="preserve">ORD-4784</t>
  </si>
  <si>
    <t xml:space="preserve">NAIL-3 x 5 @ 31,000; PVC-2 x 2 @ 4,100</t>
  </si>
  <si>
    <t xml:space="preserve">2026-10-27T10:39:59.715666+00:00</t>
  </si>
  <si>
    <t xml:space="preserve">2026-10-27T10:39:59.761603+00:00</t>
  </si>
  <si>
    <t xml:space="preserve">2026-10-27T10:39:59.762521+00:00</t>
  </si>
  <si>
    <t xml:space="preserve">ORD-4785</t>
  </si>
  <si>
    <t xml:space="preserve">CEM-50 x 190 @ 9,500; NAIL-3 x 12 @ 31,000; ROOF-AL x 72 @ 12,500</t>
  </si>
  <si>
    <t xml:space="preserve">2026-10-27T10:39:59.772843+00:00</t>
  </si>
  <si>
    <t xml:space="preserve">2026-10-27T10:39:59.848142+00:00</t>
  </si>
  <si>
    <t xml:space="preserve">2026-10-27T10:39:59.849052+00:00</t>
  </si>
  <si>
    <t xml:space="preserve">ORD-4786</t>
  </si>
  <si>
    <t xml:space="preserve">PVC-4 x 33 @ 8,600</t>
  </si>
  <si>
    <t xml:space="preserve">2026-10-27T10:39:59.85915+00:00</t>
  </si>
  <si>
    <t xml:space="preserve">2026-10-27T10:39:59.888032+00:00</t>
  </si>
  <si>
    <t xml:space="preserve">2026-10-27T10:39:59.888932+00:00</t>
  </si>
  <si>
    <t xml:space="preserve">ORD-4787</t>
  </si>
  <si>
    <t xml:space="preserve">CEM-50 x 166 @ 9,500; NAIL-3 x 10 @ 31,000; PVC-2 x 1 @ 4,100</t>
  </si>
  <si>
    <t xml:space="preserve">2026-10-27T10:39:59.899613+00:00</t>
  </si>
  <si>
    <t xml:space="preserve">2026-10-27T10:39:59.979456+00:00</t>
  </si>
  <si>
    <t xml:space="preserve">2026-10-27T10:39:59.980379+00:00</t>
  </si>
  <si>
    <t xml:space="preserve">ORD-4788</t>
  </si>
  <si>
    <t xml:space="preserve">CEM-50 x 771 @ 9,500; ROD-16 x 35 @ 11,800</t>
  </si>
  <si>
    <t xml:space="preserve">Cement, 50 kg bag: not enough stock for this quantity. Reduce it. | Cement, 50 kg bag: 771 is far above this customer's usual 45.</t>
  </si>
  <si>
    <t xml:space="preserve">2026-10-27T10:39:59.989817+00:00</t>
  </si>
  <si>
    <t xml:space="preserve">2026-10-27T10:40:00.068279+00:00</t>
  </si>
  <si>
    <t xml:space="preserve">2026-10-27T10:40:00.069168+00:00</t>
  </si>
  <si>
    <t xml:space="preserve">ORD-4789</t>
  </si>
  <si>
    <t xml:space="preserve">NAIL-3 x 12 @ 31,000; PNT-20W x 26 @ 38,000; PVC-4 x 33 @ 8,600</t>
  </si>
  <si>
    <t xml:space="preserve">2026-10-27T10:40:00.078907+00:00</t>
  </si>
  <si>
    <t xml:space="preserve">2026-10-27T10:40:00.148057+00:00</t>
  </si>
  <si>
    <t xml:space="preserve">2026-10-27T10:40:00.148957+00:00</t>
  </si>
  <si>
    <t xml:space="preserve">ORD-4790</t>
  </si>
  <si>
    <t xml:space="preserve">This looks like a repeat of ORD-4789. Confirm it is a new order.</t>
  </si>
  <si>
    <t xml:space="preserve">2026-10-27T10:40:00.159148+00:00</t>
  </si>
  <si>
    <t xml:space="preserve">ORD-4791</t>
  </si>
  <si>
    <t xml:space="preserve">PNT-20W x 5 @ 38,000; ROD-16 x 10 @ 11,800; ROOF-AL x 1039 @ 12,500; WIRE-25 x 4 @ 52,000</t>
  </si>
  <si>
    <t xml:space="preserve">Aluminium roofing sheet, 0.55 mm: quantity must be between 10 and 1000. | Aluminium roofing sheet, 0.55 mm: not enough stock for this quantity. Reduce it. | Aluminium roofing sheet, 0.55 mm: 1039 is far above this customer's usual 51.</t>
  </si>
  <si>
    <t xml:space="preserve">2026-10-27T10:40:00.237726+00:00</t>
  </si>
  <si>
    <t xml:space="preserve">2026-10-27T10:40:00.321208+00:00</t>
  </si>
  <si>
    <t xml:space="preserve">2026-10-27T10:40:00.322097+00:00</t>
  </si>
  <si>
    <t xml:space="preserve">ORD-4792</t>
  </si>
  <si>
    <t xml:space="preserve">ROOF-AL x 65 @ 12,500; PVC-4 x 2.5 (Quantity must be a whole number)</t>
  </si>
  <si>
    <t xml:space="preserve">2026-10-27T10:40:00.331795+00:00</t>
  </si>
  <si>
    <t xml:space="preserve">2026-10-27T10:40:00.356481+00:00</t>
  </si>
  <si>
    <t xml:space="preserve">2026-10-27T10:40:00.357395+00:00</t>
  </si>
  <si>
    <t xml:space="preserve">ORD-4793</t>
  </si>
  <si>
    <t xml:space="preserve">CEM-50 x 102 @ 9,500; ROD-16 x 37 @ 11,800</t>
  </si>
  <si>
    <t xml:space="preserve">2026-10-27T10:40:00.366911+00:00</t>
  </si>
  <si>
    <t xml:space="preserve">2026-10-27T10:40:00.42843+00:00</t>
  </si>
  <si>
    <t xml:space="preserve">2026-10-27T10:40:00.429363+00:00</t>
  </si>
  <si>
    <t xml:space="preserve">ORD-4794</t>
  </si>
  <si>
    <t xml:space="preserve">PVC-2 x 5 @ 4,100; ROOF-AL x 20 @ 12,500; WIRE-25 x 3 @ 52,000</t>
  </si>
  <si>
    <t xml:space="preserve">2026-10-27T10:40:00.440234+00:00</t>
  </si>
  <si>
    <t xml:space="preserve">2026-10-27T10:40:00.50168+00:00</t>
  </si>
  <si>
    <t xml:space="preserve">2026-10-27T10:40:00.502583+00:00</t>
  </si>
  <si>
    <t xml:space="preserve">ORD-4795</t>
  </si>
  <si>
    <t xml:space="preserve">ROD-16 x 67 @ 11,800</t>
  </si>
  <si>
    <t xml:space="preserve">2026-10-27T10:40:00.513151+00:00</t>
  </si>
  <si>
    <t xml:space="preserve">2026-10-27T10:40:00.540945+00:00</t>
  </si>
  <si>
    <t xml:space="preserve">2026-10-27T10:40:00.541848+00:00</t>
  </si>
  <si>
    <t xml:space="preserve">ORD-4796</t>
  </si>
  <si>
    <t xml:space="preserve">PVC-4 x 5 @ 8,600; XX-519 x None (not in the catalogue)</t>
  </si>
  <si>
    <t xml:space="preserve">Row 3: XX-519 - not in the catalogue</t>
  </si>
  <si>
    <t xml:space="preserve">2026-10-27T10:40:00.551445+00:00</t>
  </si>
  <si>
    <t xml:space="preserve">2026-10-27T10:40:00.580791+00:00</t>
  </si>
  <si>
    <t xml:space="preserve">2026-10-27T10:40:00.58173+00:00</t>
  </si>
  <si>
    <t xml:space="preserve">ORD-4797</t>
  </si>
  <si>
    <t xml:space="preserve">CEM-50 x 117 @ 9,500; PVC-2 x 2 @ 4,100</t>
  </si>
  <si>
    <t xml:space="preserve">2026-10-27T10:40:00.591759+00:00</t>
  </si>
  <si>
    <t xml:space="preserve">2026-10-27T10:40:00.653698+00:00</t>
  </si>
  <si>
    <t xml:space="preserve">2026-10-27T10:40:00.654669+00:00</t>
  </si>
  <si>
    <t xml:space="preserve">ORD-4798</t>
  </si>
  <si>
    <t xml:space="preserve">CEM-50 x 152 @ 9,500; PNT-20W x 25 @ 38,000; ROD-16 x 49 @ 11,800</t>
  </si>
  <si>
    <t xml:space="preserve">2026-10-27T10:40:00.664514+00:00</t>
  </si>
  <si>
    <t xml:space="preserve">2026-10-27T10:40:00.749936+00:00</t>
  </si>
  <si>
    <t xml:space="preserve">2026-10-27T10:40:00.750845+00:00</t>
  </si>
  <si>
    <t xml:space="preserve">ORD-4799</t>
  </si>
  <si>
    <t xml:space="preserve">CEM-50 x 300 @ 9,500; PNT-20W x 29 @ 38,000; PVC-4 x 26 @ 8,600; WIRE-25 x 15 @ 52,000</t>
  </si>
  <si>
    <t xml:space="preserve">Cement, 50 kg bag: 300 is far above this customer's usual 68.</t>
  </si>
  <si>
    <t xml:space="preserve">2026-10-27T10:40:00.762014+00:00</t>
  </si>
  <si>
    <t xml:space="preserve">2026-10-27T10:40:00.868285+00:00</t>
  </si>
  <si>
    <t xml:space="preserve">2026-10-27T10:40:00.869215+00:00</t>
  </si>
  <si>
    <t xml:space="preserve">ORD-4800</t>
  </si>
  <si>
    <t xml:space="preserve">CEM-50 x 145 @ 9,500; PNT-20W x 15 @ 38,000</t>
  </si>
  <si>
    <t xml:space="preserve">Cement, 50 kg bag: 145 is far above this customer's usual 46.</t>
  </si>
  <si>
    <t xml:space="preserve">2026-10-27T10:40:00.879834+00:00</t>
  </si>
  <si>
    <t xml:space="preserve">2026-10-27T10:40:00.945982+00:00</t>
  </si>
  <si>
    <t xml:space="preserve">2026-10-27T10:40:00.946909+00:00</t>
  </si>
  <si>
    <t xml:space="preserve">ORD-4801</t>
  </si>
  <si>
    <t xml:space="preserve">CEM-50 x 170 @ 9,500; TIL-6060 x 89 @ 14,500</t>
  </si>
  <si>
    <t xml:space="preserve">2026-10-27T10:40:00.957967+00:00</t>
  </si>
  <si>
    <t xml:space="preserve">2026-10-27T10:40:01.021067+00:00</t>
  </si>
  <si>
    <t xml:space="preserve">2026-10-27T10:40:01.02198+00:00</t>
  </si>
  <si>
    <t xml:space="preserve">ORD-4802</t>
  </si>
  <si>
    <t xml:space="preserve">NAIL-3 x 10 @ 31,000; PVC-4 x 10 @ 8,600; ROOF-AL x 53 @ 12,500; TIL-6060 x 80 @ 14,500</t>
  </si>
  <si>
    <t xml:space="preserve">2026-10-27T10:40:01.03266+00:00</t>
  </si>
  <si>
    <t xml:space="preserve">2026-10-27T10:40:01.121148+00:00</t>
  </si>
  <si>
    <t xml:space="preserve">2026-10-27T10:40:01.12206+00:00</t>
  </si>
  <si>
    <t xml:space="preserve">ORD-4803</t>
  </si>
  <si>
    <t xml:space="preserve">ROD-12 x 1521 @ 7,200; WIRE-25 x 14 @ 52,000</t>
  </si>
  <si>
    <t xml:space="preserve">Iron rod, 12 mm: quantity must be between 5 and 1500. | Iron rod, 12 mm: not enough stock for this quantity. Reduce it. | Iron rod, 12 mm: 1521 is far above this customer's usual 75.</t>
  </si>
  <si>
    <t xml:space="preserve">2026-10-27T10:40:01.133282+00:00</t>
  </si>
  <si>
    <t xml:space="preserve">2026-10-27T10:40:01.19393+00:00</t>
  </si>
  <si>
    <t xml:space="preserve">2026-10-27T10:40:01.194845+00:00</t>
  </si>
  <si>
    <t xml:space="preserve">ORD-4804</t>
  </si>
  <si>
    <t xml:space="preserve">PNT-20W x 4 @ 38,000; XX-345 x None (not in the catalogue)</t>
  </si>
  <si>
    <t xml:space="preserve">Row 3: XX-345 - not in the catalogue</t>
  </si>
  <si>
    <t xml:space="preserve">2026-10-27T10:40:01.204506+00:00</t>
  </si>
  <si>
    <t xml:space="preserve">2026-10-27T10:40:01.234865+00:00</t>
  </si>
  <si>
    <t xml:space="preserve">2026-10-27T10:40:01.23579+00:00</t>
  </si>
  <si>
    <t xml:space="preserve">ORD-4805</t>
  </si>
  <si>
    <t xml:space="preserve">CEM-50 x 110 @ 9,500</t>
  </si>
  <si>
    <t xml:space="preserve">2026-10-27T10:40:01.246083+00:00</t>
  </si>
  <si>
    <t xml:space="preserve">2026-10-27T10:40:01.288981+00:00</t>
  </si>
  <si>
    <t xml:space="preserve">2026-10-27T10:40:01.289977+00:00</t>
  </si>
  <si>
    <t xml:space="preserve">ORD-4806</t>
  </si>
  <si>
    <t xml:space="preserve">NAIL-3 x 1 @ 31,000; ROD-16 x 53 @ 11,800; TIL-6060 x 92 @ 14,500</t>
  </si>
  <si>
    <t xml:space="preserve">2026-10-27T10:40:01.300596+00:00</t>
  </si>
  <si>
    <t xml:space="preserve">2026-10-27T10:40:01.370902+00:00</t>
  </si>
  <si>
    <t xml:space="preserve">2026-10-27T10:40:01.371821+00:00</t>
  </si>
  <si>
    <t xml:space="preserve">ORD-4807</t>
  </si>
  <si>
    <t xml:space="preserve">ROD-16 x 35 @ 11,800; TIL-6060 x 74 @ 14,500</t>
  </si>
  <si>
    <t xml:space="preserve">2026-10-27T10:40:01.382946+00:00</t>
  </si>
  <si>
    <t xml:space="preserve">2026-10-27T10:40:01.432466+00:00</t>
  </si>
  <si>
    <t xml:space="preserve">2026-10-27T10:40:01.433396+00:00</t>
  </si>
  <si>
    <t xml:space="preserve">ORD-4808</t>
  </si>
  <si>
    <t xml:space="preserve">PNT-20C x 8 @ 38,000; ROD-16 x 301 @ 11,800</t>
  </si>
  <si>
    <t xml:space="preserve">Iron rod, 16 mm: not enough stock for this quantity. Reduce it. | Iron rod, 16 mm: 301 is far above this customer's usual 53.</t>
  </si>
  <si>
    <t xml:space="preserve">2026-10-27T10:40:01.443468+00:00</t>
  </si>
  <si>
    <t xml:space="preserve">2026-10-27T10:40:01.490106+00:00</t>
  </si>
  <si>
    <t xml:space="preserve">2026-10-27T10:40:01.491012+00:00</t>
  </si>
  <si>
    <t xml:space="preserve">ORD-4809</t>
  </si>
  <si>
    <t xml:space="preserve">NAIL-3 x 9 @ 31,000; ROD-12 x 106 @ 7,200; TIL-6060 x 28 @ 14,500</t>
  </si>
  <si>
    <t xml:space="preserve">Nails, 3 inch, 25 kg: price changed from 31000.00 to 32600.00. Save the order again to update it. | Iron rod, 12 mm: 106 is far above this customer's usual 25.</t>
  </si>
  <si>
    <t xml:space="preserve">2026-10-27T10:40:01.501214+00:00</t>
  </si>
  <si>
    <t xml:space="preserve">2026-10-27T10:40:01.585321+00:00</t>
  </si>
  <si>
    <t xml:space="preserve">2026-10-27T10:40:01.586243+00:00</t>
  </si>
  <si>
    <t xml:space="preserve">ORD-4810</t>
  </si>
  <si>
    <t xml:space="preserve">CEM-50 x 129 @ 9,500; XX-682 x None (not in the catalogue)</t>
  </si>
  <si>
    <t xml:space="preserve">Row 3: XX-682 - not in the catalogue</t>
  </si>
  <si>
    <t xml:space="preserve">2026-10-27T10:40:01.596254+00:00</t>
  </si>
  <si>
    <t xml:space="preserve">2026-10-27T10:40:01.640732+00:00</t>
  </si>
  <si>
    <t xml:space="preserve">2026-10-27T10:40:01.641698+00:00</t>
  </si>
  <si>
    <t xml:space="preserve">ORD-4811</t>
  </si>
  <si>
    <t xml:space="preserve">2026-10-27T10:40:01.651956+00:00</t>
  </si>
  <si>
    <t xml:space="preserve">2026-10-27T10:40:01.682925+00:00</t>
  </si>
  <si>
    <t xml:space="preserve">2026-10-27T10:40:01.683857+00:00</t>
  </si>
  <si>
    <t xml:space="preserve">ORD-4812</t>
  </si>
  <si>
    <t xml:space="preserve">PNT-20C x 8 @ 38,000; ROD-12 x 134 @ 7,200; TIL-6060 x 1 @ 14,500; WIRE-25 x 9 @ 52,000</t>
  </si>
  <si>
    <t xml:space="preserve">2026-10-27T10:40:01.69471+00:00</t>
  </si>
  <si>
    <t xml:space="preserve">2026-10-27T10:40:01.79531+00:00</t>
  </si>
  <si>
    <t xml:space="preserve">2026-10-27T10:40:01.796302+00:00</t>
  </si>
  <si>
    <t xml:space="preserve">ORD-4813</t>
  </si>
  <si>
    <t xml:space="preserve">This looks like a repeat of ORD-4811. Confirm it is a new order.</t>
  </si>
  <si>
    <t xml:space="preserve">2026-10-27T10:40:01.806646+00:00</t>
  </si>
  <si>
    <t xml:space="preserve">ORD-4814</t>
  </si>
  <si>
    <t xml:space="preserve">2026-10-27T10:40:01.846736+00:00</t>
  </si>
  <si>
    <t xml:space="preserve">2026-10-27T10:40:01.87577+00:00</t>
  </si>
  <si>
    <t xml:space="preserve">2026-10-27T10:40:01.87676+00:00</t>
  </si>
  <si>
    <t xml:space="preserve">ORD-4815</t>
  </si>
  <si>
    <t xml:space="preserve">CEM-50 x 183 @ 9,500; PNT-20C x 4 @ 38,000; ROD-12 x 1540 @ 7,200</t>
  </si>
  <si>
    <t xml:space="preserve">Iron rod, 12 mm: quantity must be between 5 and 1500. | Iron rod, 12 mm: not enough stock for this quantity. Reduce it. | Iron rod, 12 mm: 1540 is far above this customer's usual 63.</t>
  </si>
  <si>
    <t xml:space="preserve">2026-10-27T10:40:01.887102+00:00</t>
  </si>
  <si>
    <t xml:space="preserve">2026-10-27T10:40:01.986593+00:00</t>
  </si>
  <si>
    <t xml:space="preserve">2026-10-27T10:40:01.987519+00:00</t>
  </si>
  <si>
    <t xml:space="preserve">ORD-4816</t>
  </si>
  <si>
    <t xml:space="preserve">PNT-20C x 1 @ 38,000; PNT-20W x 4 @ 38,000; ROD-12 x 95 @ 7,200</t>
  </si>
  <si>
    <t xml:space="preserve">2026-10-27T10:40:01.997636+00:00</t>
  </si>
  <si>
    <t xml:space="preserve">2026-10-27T10:40:02.084261+00:00</t>
  </si>
  <si>
    <t xml:space="preserve">2026-10-27T10:40:02.08518+00:00</t>
  </si>
  <si>
    <t xml:space="preserve">ORD-4817</t>
  </si>
  <si>
    <t xml:space="preserve">PNT-20W x 8 @ 38,000; PVC-4 x 10 @ 8,600; ROD-12 x 83 @ 7,200</t>
  </si>
  <si>
    <t xml:space="preserve">2026-10-27T10:40:02.09562+00:00</t>
  </si>
  <si>
    <t xml:space="preserve">2026-10-27T10:40:02.187554+00:00</t>
  </si>
  <si>
    <t xml:space="preserve">2026-10-27T10:40:02.188474+00:00</t>
  </si>
  <si>
    <t xml:space="preserve">ORD-4818</t>
  </si>
  <si>
    <t xml:space="preserve">2026-10-27T10:40:02.198439+00:00</t>
  </si>
  <si>
    <t xml:space="preserve">ORD-4819</t>
  </si>
  <si>
    <t xml:space="preserve">2026-10-27T10:40:02.252585+00:00</t>
  </si>
  <si>
    <t xml:space="preserve">2026-10-27T10:40:02.281064+00:00</t>
  </si>
  <si>
    <t xml:space="preserve">2026-10-27T10:40:02.282002+00:00</t>
  </si>
  <si>
    <t xml:space="preserve">ORD-4820</t>
  </si>
  <si>
    <t xml:space="preserve">PNT-20C x 8 @ 38,000; ROD-16 x 72 @ 11,800; TIL-6060 x 91 @ 14,500</t>
  </si>
  <si>
    <t xml:space="preserve">2026-10-27T10:40:02.292724+00:00</t>
  </si>
  <si>
    <t xml:space="preserve">2026-10-27T10:40:02.363351+00:00</t>
  </si>
  <si>
    <t xml:space="preserve">2026-10-27T10:40:02.364293+00:00</t>
  </si>
  <si>
    <t xml:space="preserve">ORD-4821</t>
  </si>
  <si>
    <t xml:space="preserve">CEM-50 x 771 @ 9,500; NAIL-3 x 8 @ 31,000; ROOF-AL x 76 @ 12,500; TIL-6060 x 18 @ 14,500</t>
  </si>
  <si>
    <t xml:space="preserve">Cement, 50 kg bag: not enough stock for this quantity. Reduce it. | Cement, 50 kg bag: 771 is far above this customer's usual 61.</t>
  </si>
  <si>
    <t xml:space="preserve">2026-10-27T10:40:02.374854+00:00</t>
  </si>
  <si>
    <t xml:space="preserve">2026-10-27T10:40:02.482826+00:00</t>
  </si>
  <si>
    <t xml:space="preserve">2026-10-27T10:40:02.483737+00:00</t>
  </si>
  <si>
    <t xml:space="preserve">ORD-4822</t>
  </si>
  <si>
    <t xml:space="preserve">ROD-16 x 1024 @ 11,800; TIL-6060 x 28 @ 14,500</t>
  </si>
  <si>
    <t xml:space="preserve">2026-10-27T10:40:02.493927+00:00</t>
  </si>
  <si>
    <t xml:space="preserve">2026-10-27T10:40:02.547775+00:00</t>
  </si>
  <si>
    <t xml:space="preserve">2026-10-27T10:40:02.548738+00:00</t>
  </si>
  <si>
    <t xml:space="preserve">ORD-4823</t>
  </si>
  <si>
    <t xml:space="preserve">PVC-4 x 13 @ 8,600</t>
  </si>
  <si>
    <t xml:space="preserve">2026-10-27T10:40:02.559171+00:00</t>
  </si>
  <si>
    <t xml:space="preserve">2026-10-27T10:40:02.591113+00:00</t>
  </si>
  <si>
    <t xml:space="preserve">2026-10-27T10:40:02.592166+00:00</t>
  </si>
  <si>
    <t xml:space="preserve">ORD-4824</t>
  </si>
  <si>
    <t xml:space="preserve">PVC-2 x 2 @ 4,100; ROD-12 x 51 @ 7,200; TIL-6060 x 51 @ 14,500</t>
  </si>
  <si>
    <t xml:space="preserve">2026-10-27T10:40:02.603295+00:00</t>
  </si>
  <si>
    <t xml:space="preserve">2026-10-27T10:40:02.69271+00:00</t>
  </si>
  <si>
    <t xml:space="preserve">2026-10-27T10:40:02.693702+00:00</t>
  </si>
  <si>
    <t xml:space="preserve">ORD-4825</t>
  </si>
  <si>
    <t xml:space="preserve">PNT-20W x 21 @ 38,000; PVC-2 x 2 @ 4,100; ROOF-AL x 20 @ 12,500</t>
  </si>
  <si>
    <t xml:space="preserve">2026-10-27T10:40:02.7054+00:00</t>
  </si>
  <si>
    <t xml:space="preserve">2026-10-27T10:40:02.779524+00:00</t>
  </si>
  <si>
    <t xml:space="preserve">2026-10-27T10:40:02.780462+00:00</t>
  </si>
  <si>
    <t xml:space="preserve">ORD-4826</t>
  </si>
  <si>
    <t xml:space="preserve">PNT-20W x 18 @ 38,000; SAND-T x 1 @ 185,000</t>
  </si>
  <si>
    <t xml:space="preserve">2026-10-27T10:40:02.791735+00:00</t>
  </si>
  <si>
    <t xml:space="preserve">2026-10-27T10:40:02.830369+00:00</t>
  </si>
  <si>
    <t xml:space="preserve">2026-10-27T10:40:02.831304+00:00</t>
  </si>
  <si>
    <t xml:space="preserve">ORD-4827</t>
  </si>
  <si>
    <t xml:space="preserve">CEM-50 x 27 @ 9,500</t>
  </si>
  <si>
    <t xml:space="preserve">2026-10-27T10:40:02.842+00:00</t>
  </si>
  <si>
    <t xml:space="preserve">2026-10-27T10:40:02.888714+00:00</t>
  </si>
  <si>
    <t xml:space="preserve">2026-10-27T10:40:02.889686+00:00</t>
  </si>
  <si>
    <t xml:space="preserve">ORD-4828</t>
  </si>
  <si>
    <t xml:space="preserve">PNT-20C x 2 @ 38,000; ROD-12 x 71 @ 7,200</t>
  </si>
  <si>
    <t xml:space="preserve">2026-10-27T10:40:02.901054+00:00</t>
  </si>
  <si>
    <t xml:space="preserve">2026-10-27T10:40:02.964488+00:00</t>
  </si>
  <si>
    <t xml:space="preserve">2026-10-27T10:40:02.965559+00:00</t>
  </si>
  <si>
    <t xml:space="preserve">ORD-4829</t>
  </si>
  <si>
    <t xml:space="preserve">CEM-50 x 21 @ 9,500; PNT-20W x 7 @ 38,000; ROD-16 x 14 @ 11,800</t>
  </si>
  <si>
    <t xml:space="preserve">2026-10-27T10:40:02.977355+00:00</t>
  </si>
  <si>
    <t xml:space="preserve">2026-10-27T10:40:03.073822+00:00</t>
  </si>
  <si>
    <t xml:space="preserve">2026-10-27T10:40:03.074759+00:00</t>
  </si>
  <si>
    <t xml:space="preserve">ORD-4830</t>
  </si>
  <si>
    <t xml:space="preserve">This looks like a repeat of ORD-4828. Confirm it is a new order.</t>
  </si>
  <si>
    <t xml:space="preserve">2026-10-27T10:40:03.085964+00:00</t>
  </si>
  <si>
    <t xml:space="preserve">ORD-4831</t>
  </si>
  <si>
    <t xml:space="preserve">WIRE-25 x 15 @ 52,000; XX-531 x None (not in the catalogue)</t>
  </si>
  <si>
    <t xml:space="preserve">Row 3: XX-531 - not in the catalogue</t>
  </si>
  <si>
    <t xml:space="preserve">2026-10-27T10:40:03.159239+00:00</t>
  </si>
  <si>
    <t xml:space="preserve">2026-10-27T10:40:03.187005+00:00</t>
  </si>
  <si>
    <t xml:space="preserve">2026-10-27T10:40:03.188078+00:00</t>
  </si>
  <si>
    <t xml:space="preserve">ORD-4832</t>
  </si>
  <si>
    <t xml:space="preserve">ROD-12 x 85 @ 7,200; ROD-16 x 24 @ 11,800; TIL-6060 x 45 @ 14,500</t>
  </si>
  <si>
    <t xml:space="preserve">Iron rod, 12 mm: 85 is far above this customer's usual 18.</t>
  </si>
  <si>
    <t xml:space="preserve">2026-10-27T10:40:03.198459+00:00</t>
  </si>
  <si>
    <t xml:space="preserve">2026-10-27T10:40:03.298428+00:00</t>
  </si>
  <si>
    <t xml:space="preserve">2026-10-27T10:40:03.299607+00:00</t>
  </si>
  <si>
    <t xml:space="preserve">ORD-4833</t>
  </si>
  <si>
    <t xml:space="preserve">NAIL-3 x 9 @ 31,000; ROOF-AL x 25 @ 12,500</t>
  </si>
  <si>
    <t xml:space="preserve">2026-10-27T10:40:03.313124+00:00</t>
  </si>
  <si>
    <t xml:space="preserve">2026-10-27T10:40:03.389855+00:00</t>
  </si>
  <si>
    <t xml:space="preserve">2026-10-27T10:40:03.390918+00:00</t>
  </si>
  <si>
    <t xml:space="preserve">ORD-4834</t>
  </si>
  <si>
    <t xml:space="preserve">CEM-50 x 28 @ 9,500; PVC-4 x 26 @ 8,600; WIRE-25 x 6 @ 52,000</t>
  </si>
  <si>
    <t xml:space="preserve">2026-10-27T10:40:03.404014+00:00</t>
  </si>
  <si>
    <t xml:space="preserve">2026-10-27T10:40:03.501057+00:00</t>
  </si>
  <si>
    <t xml:space="preserve">2026-10-27T10:40:03.502011+00:00</t>
  </si>
  <si>
    <t xml:space="preserve">ORD-4835</t>
  </si>
  <si>
    <t xml:space="preserve">PVC-4 x 41 @ 8,600</t>
  </si>
  <si>
    <t xml:space="preserve">2026-10-27T10:40:03.513834+00:00</t>
  </si>
  <si>
    <t xml:space="preserve">2026-10-27T10:40:03.547479+00:00</t>
  </si>
  <si>
    <t xml:space="preserve">2026-10-27T10:40:03.548429+00:00</t>
  </si>
  <si>
    <t xml:space="preserve">ORD-4836</t>
  </si>
  <si>
    <t xml:space="preserve">2026-10-27T10:40:03.559135+00:00</t>
  </si>
  <si>
    <t xml:space="preserve">2026-10-27T10:40:03.589962+00:00</t>
  </si>
  <si>
    <t xml:space="preserve">2026-10-27T10:40:03.590914+00:00</t>
  </si>
  <si>
    <t xml:space="preserve">ORD-4837</t>
  </si>
  <si>
    <t xml:space="preserve">NAIL-3 x 11 @ 31,000</t>
  </si>
  <si>
    <t xml:space="preserve">2026-10-27T10:40:03.602863+00:00</t>
  </si>
  <si>
    <t xml:space="preserve">2026-10-27T10:40:03.634569+00:00</t>
  </si>
  <si>
    <t xml:space="preserve">2026-10-27T10:40:03.635523+00:00</t>
  </si>
  <si>
    <t xml:space="preserve">ORD-4838</t>
  </si>
  <si>
    <t xml:space="preserve">PNT-20C x 5 @ 38,000; PVC-2 x 546 @ 4,100</t>
  </si>
  <si>
    <t xml:space="preserve">2026-10-27T10:40:03.647821+00:00</t>
  </si>
  <si>
    <t xml:space="preserve">2026-10-27T10:40:03.69994+00:00</t>
  </si>
  <si>
    <t xml:space="preserve">2026-10-27T10:40:03.701022+00:00</t>
  </si>
  <si>
    <t xml:space="preserve">ORD-4839</t>
  </si>
  <si>
    <t xml:space="preserve">TIL-6060 x 68 @ 14,500; WIRE-25 x 1 @ 52,000; XX-998 x None (not in the catalogue)</t>
  </si>
  <si>
    <t xml:space="preserve">Row 4: XX-998 - not in the catalogue</t>
  </si>
  <si>
    <t xml:space="preserve">2026-10-27T10:40:03.712115+00:00</t>
  </si>
  <si>
    <t xml:space="preserve">2026-10-27T10:40:03.765778+00:00</t>
  </si>
  <si>
    <t xml:space="preserve">2026-10-27T10:40:03.766751+00:00</t>
  </si>
  <si>
    <t xml:space="preserve">ORD-4840</t>
  </si>
  <si>
    <t xml:space="preserve">PNT-20C x 8 @ 38,000; PVC-2 x 2 @ 4,100; ROD-12 x 88 @ 7,200</t>
  </si>
  <si>
    <t xml:space="preserve">2026-10-27T10:40:03.777258+00:00</t>
  </si>
  <si>
    <t xml:space="preserve">2026-10-27T10:40:03.867747+00:00</t>
  </si>
  <si>
    <t xml:space="preserve">2026-10-27T10:40:03.868712+00:00</t>
  </si>
  <si>
    <t xml:space="preserve">ORD-4841</t>
  </si>
  <si>
    <t xml:space="preserve">CEM-50 x 162 @ 9,500; PNT-20C x 7 @ 38,000; PVC-2 x 2 @ 4,100</t>
  </si>
  <si>
    <t xml:space="preserve">2026-10-27T10:40:03.880614+00:00</t>
  </si>
  <si>
    <t xml:space="preserve">2026-10-27T10:40:03.972763+00:00</t>
  </si>
  <si>
    <t xml:space="preserve">2026-10-27T10:40:03.973753+00:00</t>
  </si>
  <si>
    <t xml:space="preserve">ORD-4842</t>
  </si>
  <si>
    <t xml:space="preserve">PNT-20C x 4 @ 38,000; PVC-2 x 2 @ 4,100; WIRE-25 x 8 @ 52,000</t>
  </si>
  <si>
    <t xml:space="preserve">2026-10-27T10:40:03.98535+00:00</t>
  </si>
  <si>
    <t xml:space="preserve">2026-10-27T10:40:04.058228+00:00</t>
  </si>
  <si>
    <t xml:space="preserve">2026-10-27T10:40:04.059273+00:00</t>
  </si>
  <si>
    <t xml:space="preserve">ORD-4843</t>
  </si>
  <si>
    <t xml:space="preserve">2026-10-27T10:40:04.071276+00:00</t>
  </si>
  <si>
    <t xml:space="preserve">2026-10-27T10:40:04.09949+00:00</t>
  </si>
  <si>
    <t xml:space="preserve">2026-10-27T10:40:04.100454+00:00</t>
  </si>
  <si>
    <t xml:space="preserve">ORD-4844</t>
  </si>
  <si>
    <t xml:space="preserve">2026-10-27T10:40:04.111078+00:00</t>
  </si>
  <si>
    <t xml:space="preserve">2026-10-27T10:40:04.182825+00:00</t>
  </si>
  <si>
    <t xml:space="preserve">2026-10-27T10:40:04.183804+00:00</t>
  </si>
  <si>
    <t xml:space="preserve">ORD-4845</t>
  </si>
  <si>
    <t xml:space="preserve">PNT-20C x 9 @ 38,000; ROD-12 x 13 @ 7,200; XX-976 x None (not in the catalogue)</t>
  </si>
  <si>
    <t xml:space="preserve">Row 4: XX-976 - not in the catalogue</t>
  </si>
  <si>
    <t xml:space="preserve">2026-10-27T10:40:04.196073+00:00</t>
  </si>
  <si>
    <t xml:space="preserve">2026-10-27T10:40:04.265018+00:00</t>
  </si>
  <si>
    <t xml:space="preserve">2026-10-27T10:40:04.265983+00:00</t>
  </si>
  <si>
    <t xml:space="preserve">ORD-4846</t>
  </si>
  <si>
    <t xml:space="preserve">NAIL-3 x 5 @ 31,000; ROD-16 x 20 @ 11,800</t>
  </si>
  <si>
    <t xml:space="preserve">2026-10-27T10:40:04.276788+00:00</t>
  </si>
  <si>
    <t xml:space="preserve">2026-10-27T10:40:04.333426+00:00</t>
  </si>
  <si>
    <t xml:space="preserve">2026-10-27T10:40:04.334368+00:00</t>
  </si>
  <si>
    <t xml:space="preserve">ORD-4847</t>
  </si>
  <si>
    <t xml:space="preserve">PNT-20W x 4 @ 38,000; ROD-16 x 301 @ 11,800; TIL-6060 x 29 @ 14,500</t>
  </si>
  <si>
    <t xml:space="preserve">2026-10-27T10:40:04.345571+00:00</t>
  </si>
  <si>
    <t xml:space="preserve">2026-10-27T10:40:04.429284+00:00</t>
  </si>
  <si>
    <t xml:space="preserve">2026-10-27T10:40:04.430346+00:00</t>
  </si>
  <si>
    <t xml:space="preserve">ORD-4848</t>
  </si>
  <si>
    <t xml:space="preserve">NAIL-3 x 3 @ 31,000; TIL-6060 x 41 @ 14,500; WIRE-25 x 12 @ 52,000</t>
  </si>
  <si>
    <t xml:space="preserve">2026-10-27T10:40:04.441067+00:00</t>
  </si>
  <si>
    <t xml:space="preserve">2026-10-27T10:40:04.518135+00:00</t>
  </si>
  <si>
    <t xml:space="preserve">2026-10-27T10:40:04.519148+00:00</t>
  </si>
  <si>
    <t xml:space="preserve">ORD-4849</t>
  </si>
  <si>
    <t xml:space="preserve">CEM-50 x 45 @ 9,500; NAIL-3 x 8 @ 31,000; PNT-20C x 7 @ 38,000; PVC-4 x 544 @ 8,600</t>
  </si>
  <si>
    <t xml:space="preserve">PVC pipe, 4 inch, 6 m: quantity must be between 2 and 500. | PVC pipe, 4 inch, 6 m: not enough stock for this quantity. Reduce it. | PVC pipe, 4 inch, 6 m: 544 is far above this customer's usual 33.</t>
  </si>
  <si>
    <t xml:space="preserve">2026-10-27T10:40:04.530508+00:00</t>
  </si>
  <si>
    <t xml:space="preserve">2026-10-27T10:40:04.653371+00:00</t>
  </si>
  <si>
    <t xml:space="preserve">2026-10-27T10:40:04.65433+00:00</t>
  </si>
  <si>
    <t xml:space="preserve">ORD-4850</t>
  </si>
  <si>
    <t xml:space="preserve">PVC-4 x 12 @ 8,600; ROOF-AL x 51 @ 12,500</t>
  </si>
  <si>
    <t xml:space="preserve">2026-10-27T10:40:04.665128+00:00</t>
  </si>
  <si>
    <t xml:space="preserve">2026-10-27T10:40:04.718957+00:00</t>
  </si>
  <si>
    <t xml:space="preserve">2026-10-27T10:40:04.720147+00:00</t>
  </si>
  <si>
    <t xml:space="preserve">ORD-4851</t>
  </si>
  <si>
    <t xml:space="preserve">2026-10-27T10:40:04.732144+00:00</t>
  </si>
  <si>
    <t xml:space="preserve">2026-10-27T10:40:04.764655+00:00</t>
  </si>
  <si>
    <t xml:space="preserve">2026-10-27T10:40:04.765654+00:00</t>
  </si>
  <si>
    <t xml:space="preserve">ORD-4852</t>
  </si>
  <si>
    <t xml:space="preserve">PVC-4 x 34 @ 8,600; ROD-12 x 69 @ 7,200; TIL-6060 x 833 @ 14,500; WIRE-25 x 2 @ 52,000</t>
  </si>
  <si>
    <t xml:space="preserve">2026-10-27T10:40:04.777771+00:00</t>
  </si>
  <si>
    <t xml:space="preserve">2026-10-27T10:40:04.900039+00:00</t>
  </si>
  <si>
    <t xml:space="preserve">2026-10-27T10:40:04.901012+00:00</t>
  </si>
  <si>
    <t xml:space="preserve">ORD-4853</t>
  </si>
  <si>
    <t xml:space="preserve">ROD-16 x 16 @ 11,800; ROOF-AL x 23 @ 12,500; TIL-6060 x 43 @ 14,500; XX-396 x None (not in the catalogue)</t>
  </si>
  <si>
    <t xml:space="preserve">Row 5: XX-396 - not in the catalogue</t>
  </si>
  <si>
    <t xml:space="preserve">2026-10-27T10:40:04.912345+00:00</t>
  </si>
  <si>
    <t xml:space="preserve">2026-10-27T10:40:04.990548+00:00</t>
  </si>
  <si>
    <t xml:space="preserve">2026-10-27T10:40:04.991511+00:00</t>
  </si>
  <si>
    <t xml:space="preserve">ORD-4854</t>
  </si>
  <si>
    <t xml:space="preserve">PVC-2 x 2 @ 4,100; PVC-4 x 251 @ 8,600; ROOF-AL x 22 @ 12,500</t>
  </si>
  <si>
    <t xml:space="preserve">PVC pipe, 4 inch, 6 m: not enough stock for this quantity. Reduce it. | PVC pipe, 4 inch, 6 m: 251 is far above this customer's usual 30.</t>
  </si>
  <si>
    <t xml:space="preserve">2026-10-27T10:40:05.002478+00:00</t>
  </si>
  <si>
    <t xml:space="preserve">2026-10-27T10:40:05.08419+00:00</t>
  </si>
  <si>
    <t xml:space="preserve">2026-10-27T10:40:05.085209+00:00</t>
  </si>
  <si>
    <t xml:space="preserve">ORD-4855</t>
  </si>
  <si>
    <t xml:space="preserve">CEM-50 x 122 @ 9,500; PVC-2 x 6 @ 4,100; ROOF-AL x 61 @ 12,500; TIL-6060 x 4 @ 14,500</t>
  </si>
  <si>
    <t xml:space="preserve">2026-10-27T10:40:05.097833+00:00</t>
  </si>
  <si>
    <t xml:space="preserve">2026-10-27T10:40:05.218796+00:00</t>
  </si>
  <si>
    <t xml:space="preserve">2026-10-27T10:40:05.219798+00:00</t>
  </si>
  <si>
    <t xml:space="preserve">ORD-4856</t>
  </si>
  <si>
    <t xml:space="preserve">PNT-20W x 23 @ 38,000; WIRE-25 x 9 @ 52,000</t>
  </si>
  <si>
    <t xml:space="preserve">2026-10-27T10:40:05.231484+00:00</t>
  </si>
  <si>
    <t xml:space="preserve">2026-10-27T10:40:05.289459+00:00</t>
  </si>
  <si>
    <t xml:space="preserve">2026-10-27T10:40:05.290539+00:00</t>
  </si>
  <si>
    <t xml:space="preserve">ORD-4857</t>
  </si>
  <si>
    <t xml:space="preserve">PNT-20W x 18 @ 38,000; ROD-12 x 56 @ 7,200; TIL-6060 x 2.5 (Quantity must be a whole number)</t>
  </si>
  <si>
    <t xml:space="preserve">2026-10-27T10:40:05.302624+00:00</t>
  </si>
  <si>
    <t xml:space="preserve">2026-10-27T10:40:05.379273+00:00</t>
  </si>
  <si>
    <t xml:space="preserve">2026-10-27T10:40:05.380237+00:00</t>
  </si>
  <si>
    <t xml:space="preserve">ORD-4858</t>
  </si>
  <si>
    <t xml:space="preserve">ROOF-AL x 16 @ 12,500</t>
  </si>
  <si>
    <t xml:space="preserve">2026-10-27T10:40:05.391048+00:00</t>
  </si>
  <si>
    <t xml:space="preserve">2026-10-27T10:40:05.420017+00:00</t>
  </si>
  <si>
    <t xml:space="preserve">2026-10-27T10:40:05.421014+00:00</t>
  </si>
  <si>
    <t xml:space="preserve">ORD-4859</t>
  </si>
  <si>
    <t xml:space="preserve">duplicate, pricing</t>
  </si>
  <si>
    <t xml:space="preserve">PVC pipe, 2 inch, 6 m: price changed from 4100.00 to 4300.00. Save the order again to update it. | This looks like a repeat of ORD-4660. Confirm it is a new order.</t>
  </si>
  <si>
    <t xml:space="preserve">2026-10-27T10:40:05.433322+00:00</t>
  </si>
  <si>
    <t xml:space="preserve">2026-10-27T10:40:05.467323+00:00</t>
  </si>
  <si>
    <t xml:space="preserve">2026-10-27T10:40:05.468287+00:00</t>
  </si>
  <si>
    <t xml:space="preserve">ORD-4860</t>
  </si>
  <si>
    <t xml:space="preserve">ROD-16 x 48 @ 11,800</t>
  </si>
  <si>
    <t xml:space="preserve">2026-10-27T10:40:05.479565+00:00</t>
  </si>
  <si>
    <t xml:space="preserve">2026-10-27T10:40:05.514447+00:00</t>
  </si>
  <si>
    <t xml:space="preserve">2026-10-27T10:40:05.515456+00:00</t>
  </si>
  <si>
    <t xml:space="preserve">ORD-4861</t>
  </si>
  <si>
    <t xml:space="preserve">ROOF-AL x 29 @ 12,500</t>
  </si>
  <si>
    <t xml:space="preserve">2026-10-27T10:40:05.527747+00:00</t>
  </si>
  <si>
    <t xml:space="preserve">2026-10-27T10:40:05.557142+00:00</t>
  </si>
  <si>
    <t xml:space="preserve">2026-10-27T10:40:05.558112+00:00</t>
  </si>
  <si>
    <t xml:space="preserve">Replicate 2 (database run 6, seed 0.43). Every figure below is a formula over the R2 Orders sheet.</t>
  </si>
  <si>
    <t xml:space="preserve">ORD-4942</t>
  </si>
  <si>
    <t xml:space="preserve">2026-10-27T10:40:10.333841+00:00</t>
  </si>
  <si>
    <t xml:space="preserve">2026-10-27T10:40:10.335611+00:00</t>
  </si>
  <si>
    <t xml:space="preserve">2026-10-27T10:40:10.335926+00:00</t>
  </si>
  <si>
    <t xml:space="preserve">ORD-4943</t>
  </si>
  <si>
    <t xml:space="preserve">PNT-20C x 8 @ 38,000; ROD-16 x 25 @ 11,800; ROOF-AL x 311 @ 12,500; TIL-6060 x 84 @ 14,500</t>
  </si>
  <si>
    <t xml:space="preserve">2026-10-27T10:40:10.340062+00:00</t>
  </si>
  <si>
    <t xml:space="preserve">2026-10-27T10:40:10.342361+00:00</t>
  </si>
  <si>
    <t xml:space="preserve">2026-10-27T10:40:10.342709+00:00</t>
  </si>
  <si>
    <t xml:space="preserve">ORD-4944</t>
  </si>
  <si>
    <t xml:space="preserve">CEM-50 x 97 @ 9,500; ROD-12 x 111 @ 7,200; WIRE-25 x 16 @ 52,000</t>
  </si>
  <si>
    <t xml:space="preserve">Iron rod, 12 mm: 111 is far above this customer's usual 13. | Cement, 50 kg bag: 97 is far above this customer's usual 23.</t>
  </si>
  <si>
    <t xml:space="preserve">2026-10-27T10:40:10.344681+00:00</t>
  </si>
  <si>
    <t xml:space="preserve">2026-10-27T10:40:10.346839+00:00</t>
  </si>
  <si>
    <t xml:space="preserve">2026-10-27T10:40:10.347167+00:00</t>
  </si>
  <si>
    <t xml:space="preserve">ORD-4945</t>
  </si>
  <si>
    <t xml:space="preserve">CEM-50 x 138 @ 9,500; ROD-12 x 98 @ 7,200; ROOF-AL x 63 @ 12,500</t>
  </si>
  <si>
    <t xml:space="preserve">The delivery date is in the past. | Iron rod, 12 mm: 98 is far above this customer's usual 13. | Cement, 50 kg bag: 138 is far above this customer's usual 23.</t>
  </si>
  <si>
    <t xml:space="preserve">2026-10-27T10:40:10.349633+00:00</t>
  </si>
  <si>
    <t xml:space="preserve">2026-10-27T10:40:10.35177+00:00</t>
  </si>
  <si>
    <t xml:space="preserve">2026-10-27T10:40:10.352081+00:00</t>
  </si>
  <si>
    <t xml:space="preserve">ORD-4946</t>
  </si>
  <si>
    <t xml:space="preserve">NAIL-3 x 1 @ 31,000; ROD-12 x 105 @ 7,200</t>
  </si>
  <si>
    <t xml:space="preserve">Iron rod, 12 mm: 105 is far above this customer's usual 13.</t>
  </si>
  <si>
    <t xml:space="preserve">2026-10-27T10:40:10.353808+00:00</t>
  </si>
  <si>
    <t xml:space="preserve">2026-10-27T10:40:10.355655+00:00</t>
  </si>
  <si>
    <t xml:space="preserve">2026-10-27T10:40:10.355988+00:00</t>
  </si>
  <si>
    <t xml:space="preserve">ORD-4947</t>
  </si>
  <si>
    <t xml:space="preserve">NAIL-3 x 2 @ 31,000; TIL-6060 x 16 @ 14,500; WIRE-25 x 7 @ 52,000</t>
  </si>
  <si>
    <t xml:space="preserve">2026-10-27T10:40:10.358158+00:00</t>
  </si>
  <si>
    <t xml:space="preserve">2026-10-27T10:40:10.360047+00:00</t>
  </si>
  <si>
    <t xml:space="preserve">2026-10-27T10:40:10.360403+00:00</t>
  </si>
  <si>
    <t xml:space="preserve">ORD-4948</t>
  </si>
  <si>
    <t xml:space="preserve">PNT-20W x 12 @ 38,000; ROOF-AL x 60 @ 12,500</t>
  </si>
  <si>
    <t xml:space="preserve">2026-10-27T10:40:10.362511+00:00</t>
  </si>
  <si>
    <t xml:space="preserve">2026-10-27T10:40:10.364214+00:00</t>
  </si>
  <si>
    <t xml:space="preserve">2026-10-27T10:40:10.364538+00:00</t>
  </si>
  <si>
    <t xml:space="preserve">ORD-4949</t>
  </si>
  <si>
    <t xml:space="preserve">PNT-20C x 9 @ 38,000; PVC-2 x 2 @ 4,100; ROD-12 x 27 @ 7,200; ROOF-AL x 311 @ 12,500</t>
  </si>
  <si>
    <t xml:space="preserve">2026-10-27T10:40:10.366157+00:00</t>
  </si>
  <si>
    <t xml:space="preserve">2026-10-27T10:40:10.368218+00:00</t>
  </si>
  <si>
    <t xml:space="preserve">2026-10-27T10:40:10.368543+00:00</t>
  </si>
  <si>
    <t xml:space="preserve">ORD-4950</t>
  </si>
  <si>
    <t xml:space="preserve">PVC-2 x 2 @ 4,100; PVC-4 x 251 @ 8,600; ROD-12 x 63 @ 7,200; TIL-6060 x 76 @ 14,500</t>
  </si>
  <si>
    <t xml:space="preserve">PVC pipe, 4 inch, 6 m: not enough stock for this quantity. Reduce it. | Iron rod, 12 mm: 63 is far above this customer's usual 13.</t>
  </si>
  <si>
    <t xml:space="preserve">2026-10-27T10:40:10.369717+00:00</t>
  </si>
  <si>
    <t xml:space="preserve">2026-10-27T10:40:10.371829+00:00</t>
  </si>
  <si>
    <t xml:space="preserve">2026-10-27T10:40:10.372141+00:00</t>
  </si>
  <si>
    <t xml:space="preserve">ORD-4951</t>
  </si>
  <si>
    <t xml:space="preserve">ROD-12 x 56 @ 7,200</t>
  </si>
  <si>
    <t xml:space="preserve">The customer account is not active. | Iron rod, 12 mm: 56 is far above this customer's usual 13.</t>
  </si>
  <si>
    <t xml:space="preserve">2026-10-27T10:40:10.373336+00:00</t>
  </si>
  <si>
    <t xml:space="preserve">2026-10-27T10:40:10.375346+00:00</t>
  </si>
  <si>
    <t xml:space="preserve">2026-10-27T10:40:10.375712+00:00</t>
  </si>
  <si>
    <t xml:space="preserve">ORD-4952</t>
  </si>
  <si>
    <t xml:space="preserve">NAIL-3 x 1 @ 31,000; ROD-16 x 71 @ 11,800; TIL-6060 x 7 @ 14,500</t>
  </si>
  <si>
    <t xml:space="preserve">2026-10-27T10:40:10.376846+00:00</t>
  </si>
  <si>
    <t xml:space="preserve">2026-10-27T10:40:10.378755+00:00</t>
  </si>
  <si>
    <t xml:space="preserve">2026-10-27T10:40:10.379074+00:00</t>
  </si>
  <si>
    <t xml:space="preserve">ORD-4953</t>
  </si>
  <si>
    <t xml:space="preserve">CEM-50 x 153 @ 9,500; NAIL-3 x 9 @ 31,000; PVC-4 x 10 @ 8,600; WIRE-25 x 2 @ 52,000</t>
  </si>
  <si>
    <t xml:space="preserve">Cement, 50 kg bag: 153 is far above this customer's usual 23.</t>
  </si>
  <si>
    <t xml:space="preserve">2026-10-27T10:40:10.380907+00:00</t>
  </si>
  <si>
    <t xml:space="preserve">2026-10-27T10:40:10.382894+00:00</t>
  </si>
  <si>
    <t xml:space="preserve">2026-10-27T10:40:10.383228+00:00</t>
  </si>
  <si>
    <t xml:space="preserve">ORD-4954</t>
  </si>
  <si>
    <t xml:space="preserve">PNT-20W x 7 @ 38,000; PVC-2 x 2 @ 4,100</t>
  </si>
  <si>
    <t xml:space="preserve">2026-10-27T10:40:10.384662+00:00</t>
  </si>
  <si>
    <t xml:space="preserve">2026-10-27T10:40:10.386453+00:00</t>
  </si>
  <si>
    <t xml:space="preserve">2026-10-27T10:40:10.386752+00:00</t>
  </si>
  <si>
    <t xml:space="preserve">ORD-4955</t>
  </si>
  <si>
    <t xml:space="preserve">NAIL-3 x 7 @ 31,000; SAND-T x 1 @ 185,000</t>
  </si>
  <si>
    <t xml:space="preserve">2026-10-27T10:40:10.387832+00:00</t>
  </si>
  <si>
    <t xml:space="preserve">2026-10-27T10:40:10.389742+00:00</t>
  </si>
  <si>
    <t xml:space="preserve">2026-10-27T10:40:10.390046+00:00</t>
  </si>
  <si>
    <t xml:space="preserve">ORD-4956</t>
  </si>
  <si>
    <t xml:space="preserve">NAIL-3 x 2 @ 31,000; ROD-12 x 64 @ 7,200</t>
  </si>
  <si>
    <t xml:space="preserve">2026-10-27T10:40:10.391081+00:00</t>
  </si>
  <si>
    <t xml:space="preserve">2026-10-27T10:40:10.392801+00:00</t>
  </si>
  <si>
    <t xml:space="preserve">2026-10-27T10:40:10.393137+00:00</t>
  </si>
  <si>
    <t xml:space="preserve">ORD-4957</t>
  </si>
  <si>
    <t xml:space="preserve">2026-10-27T10:40:10.394557+00:00</t>
  </si>
  <si>
    <t xml:space="preserve">2026-10-27T10:40:10.396103+00:00</t>
  </si>
  <si>
    <t xml:space="preserve">2026-10-27T10:40:10.396436+00:00</t>
  </si>
  <si>
    <t xml:space="preserve">ORD-4958</t>
  </si>
  <si>
    <t xml:space="preserve">PNT-20W x 28 @ 38,000; PVC-4 x 58 @ 8,600; ROOF-AL x 12 @ 12,500</t>
  </si>
  <si>
    <t xml:space="preserve">2026-10-27T10:40:10.397878+00:00</t>
  </si>
  <si>
    <t xml:space="preserve">2026-10-27T10:40:10.399649+00:00</t>
  </si>
  <si>
    <t xml:space="preserve">2026-10-27T10:40:10.399999+00:00</t>
  </si>
  <si>
    <t xml:space="preserve">ORD-4959</t>
  </si>
  <si>
    <t xml:space="preserve">CEM-50 x 20 @ 9,500; ROD-12 x 4 @ 7,200; WIRE-25 x 9 @ 52,000</t>
  </si>
  <si>
    <t xml:space="preserve">2026-10-27T10:40:10.401689+00:00</t>
  </si>
  <si>
    <t xml:space="preserve">2026-10-27T10:40:10.403615+00:00</t>
  </si>
  <si>
    <t xml:space="preserve">2026-10-27T10:40:10.403908+00:00</t>
  </si>
  <si>
    <t xml:space="preserve">ORD-4960</t>
  </si>
  <si>
    <t xml:space="preserve">PNT-20C x 8 @ 38,000; PVC-4 x 58 @ 8,600; ROOF-AL x 17 @ 12,500</t>
  </si>
  <si>
    <t xml:space="preserve">2026-10-27T10:40:10.405019+00:00</t>
  </si>
  <si>
    <t xml:space="preserve">2026-10-27T10:40:10.406871+00:00</t>
  </si>
  <si>
    <t xml:space="preserve">2026-10-27T10:40:10.407186+00:00</t>
  </si>
  <si>
    <t xml:space="preserve">ORD-4961</t>
  </si>
  <si>
    <t xml:space="preserve">ROD-12 x 45 @ 7,200; ROD-16 x 5.5 (Quantity must be a whole number)</t>
  </si>
  <si>
    <t xml:space="preserve">ROD-16 - Quantity must be a whole number | Iron rod, 12 mm: 45 is far above this customer's usual 13.</t>
  </si>
  <si>
    <t xml:space="preserve">2026-10-27T10:40:10.408865+00:00</t>
  </si>
  <si>
    <t xml:space="preserve">2026-10-27T10:40:10.410898+00:00</t>
  </si>
  <si>
    <t xml:space="preserve">2026-10-27T10:40:10.411264+00:00</t>
  </si>
  <si>
    <t xml:space="preserve">ORD-4962</t>
  </si>
  <si>
    <t xml:space="preserve">NAIL-3 x 14 @ 31,000; PNT-20W x 26 @ 38,000; WIRE-25 x 6 @ 52,000</t>
  </si>
  <si>
    <t xml:space="preserve">2026-10-27T10:40:10.412442+00:00</t>
  </si>
  <si>
    <t xml:space="preserve">2026-10-27T10:40:10.414272+00:00</t>
  </si>
  <si>
    <t xml:space="preserve">2026-10-27T10:40:10.414628+00:00</t>
  </si>
  <si>
    <t xml:space="preserve">ORD-4963</t>
  </si>
  <si>
    <t xml:space="preserve">PNT-20W x 16 @ 38,000; ROD-12 x 136 @ 7,200</t>
  </si>
  <si>
    <t xml:space="preserve">Iron rod, 12 mm: 136 is far above this customer's usual 13.</t>
  </si>
  <si>
    <t xml:space="preserve">2026-10-27T10:40:10.415868+00:00</t>
  </si>
  <si>
    <t xml:space="preserve">2026-10-27T10:40:10.417711+00:00</t>
  </si>
  <si>
    <t xml:space="preserve">2026-10-27T10:40:10.418033+00:00</t>
  </si>
  <si>
    <t xml:space="preserve">ORD-4964</t>
  </si>
  <si>
    <t xml:space="preserve">PNT-20W x 18 @ 38,000; ROD-16 x 69 @ 11,800; ROOF-AL x 16 @ 12,500</t>
  </si>
  <si>
    <t xml:space="preserve">2026-10-27T10:40:10.419714+00:00</t>
  </si>
  <si>
    <t xml:space="preserve">2026-10-27T10:40:10.421573+00:00</t>
  </si>
  <si>
    <t xml:space="preserve">2026-10-27T10:40:10.42189+00:00</t>
  </si>
  <si>
    <t xml:space="preserve">ORD-4965</t>
  </si>
  <si>
    <t xml:space="preserve">CEM-50 x 185 @ 9,500; NAIL-3 x 9 @ 31,000; TIL-6060 x 850 @ 14,500</t>
  </si>
  <si>
    <t xml:space="preserve">Floor tile 60x60, carton: quantity must be between 2 and 800. | Floor tile 60x60, carton: not enough stock for this quantity. Reduce it. | Cement, 50 kg bag: 185 is far above this customer's usual 23.</t>
  </si>
  <si>
    <t xml:space="preserve">2026-10-27T10:40:10.42368+00:00</t>
  </si>
  <si>
    <t xml:space="preserve">2026-10-27T10:40:10.425756+00:00</t>
  </si>
  <si>
    <t xml:space="preserve">2026-10-27T10:40:10.426226+00:00</t>
  </si>
  <si>
    <t xml:space="preserve">ORD-4966</t>
  </si>
  <si>
    <t xml:space="preserve">PNT-20W x 25 @ 38,000; ROOF-AL x 12 @ 12,500; WIRE-25 x 2 @ 52,000</t>
  </si>
  <si>
    <t xml:space="preserve">2026-10-27T10:40:10.42746+00:00</t>
  </si>
  <si>
    <t xml:space="preserve">2026-10-27T10:40:10.429373+00:00</t>
  </si>
  <si>
    <t xml:space="preserve">2026-10-27T10:40:10.429671+00:00</t>
  </si>
  <si>
    <t xml:space="preserve">ORD-4967</t>
  </si>
  <si>
    <t xml:space="preserve">NAIL-3 x 1 @ 31,000; PVC-4 x 56 @ 8,600; ROD-12 x 74 @ 7,200</t>
  </si>
  <si>
    <t xml:space="preserve">2026-10-27T10:40:10.431622+00:00</t>
  </si>
  <si>
    <t xml:space="preserve">2026-10-27T10:40:10.433564+00:00</t>
  </si>
  <si>
    <t xml:space="preserve">2026-10-27T10:40:10.43389+00:00</t>
  </si>
  <si>
    <t xml:space="preserve">ORD-4968</t>
  </si>
  <si>
    <t xml:space="preserve">PNT-20C x 4 @ 38,000; ROD-12 x 54 @ 7,200; WIRE-25 x 9 @ 52,000</t>
  </si>
  <si>
    <t xml:space="preserve">Iron rod, 12 mm: 54 is far above this customer's usual 13.</t>
  </si>
  <si>
    <t xml:space="preserve">2026-10-27T10:40:10.435611+00:00</t>
  </si>
  <si>
    <t xml:space="preserve">2026-10-27T10:40:10.437656+00:00</t>
  </si>
  <si>
    <t xml:space="preserve">2026-10-27T10:40:10.43798+00:00</t>
  </si>
  <si>
    <t xml:space="preserve">ORD-4969</t>
  </si>
  <si>
    <t xml:space="preserve">2026-10-27T10:40:10.439986+00:00</t>
  </si>
  <si>
    <t xml:space="preserve">2026-10-27T10:40:10.44212+00:00</t>
  </si>
  <si>
    <t xml:space="preserve">2026-10-27T10:40:10.442463+00:00</t>
  </si>
  <si>
    <t xml:space="preserve">ORD-4970</t>
  </si>
  <si>
    <t xml:space="preserve">2026-10-27T10:40:10.444085+00:00</t>
  </si>
  <si>
    <t xml:space="preserve">2026-10-27T10:40:10.4458+00:00</t>
  </si>
  <si>
    <t xml:space="preserve">2026-10-27T10:40:10.446099+00:00</t>
  </si>
  <si>
    <t xml:space="preserve">ORD-4971</t>
  </si>
  <si>
    <t xml:space="preserve">PVC-2 x 2 @ 4,100; ROD-12 x 32 @ 7,200; CEM-50 x 10.5 (Quantity must be a whole number)</t>
  </si>
  <si>
    <t xml:space="preserve">2026-10-27T10:40:10.4475+00:00</t>
  </si>
  <si>
    <t xml:space="preserve">2026-10-27T10:40:10.449395+00:00</t>
  </si>
  <si>
    <t xml:space="preserve">2026-10-27T10:40:10.449691+00:00</t>
  </si>
  <si>
    <t xml:space="preserve">ORD-4972</t>
  </si>
  <si>
    <t xml:space="preserve">TIL-6060 x 37 @ 14,500</t>
  </si>
  <si>
    <t xml:space="preserve">2026-10-27T10:40:10.45108+00:00</t>
  </si>
  <si>
    <t xml:space="preserve">2026-10-27T10:40:10.452656+00:00</t>
  </si>
  <si>
    <t xml:space="preserve">2026-10-27T10:40:10.45314+00:00</t>
  </si>
  <si>
    <t xml:space="preserve">ORD-4973</t>
  </si>
  <si>
    <t xml:space="preserve">PVC-4 x 30 @ 8,600; ROD-16 x 37 @ 11,800</t>
  </si>
  <si>
    <t xml:space="preserve">2026-10-27T10:40:10.455051+00:00</t>
  </si>
  <si>
    <t xml:space="preserve">2026-10-27T10:40:10.457031+00:00</t>
  </si>
  <si>
    <t xml:space="preserve">2026-10-27T10:40:10.457384+00:00</t>
  </si>
  <si>
    <t xml:space="preserve">ORD-4974</t>
  </si>
  <si>
    <t xml:space="preserve">CEM-50 x 121 @ 9,500; ROD-12 x 1546 @ 7,200; TIL-6060 x 73 @ 14,500; WIRE-25 x 9 @ 52,000</t>
  </si>
  <si>
    <t xml:space="preserve">Iron rod, 12 mm: quantity must be between 5 and 1500. | Iron rod, 12 mm: not enough stock for this quantity. Reduce it. | Iron rod, 12 mm: 1546 is far above this customer's usual 21. | Cement, 50 kg bag: 121 is far above this customer's usual 23.</t>
  </si>
  <si>
    <t xml:space="preserve">2026-10-27T10:40:10.459106+00:00</t>
  </si>
  <si>
    <t xml:space="preserve">2026-10-27T10:40:10.461531+00:00</t>
  </si>
  <si>
    <t xml:space="preserve">2026-10-27T10:40:10.461897+00:00</t>
  </si>
  <si>
    <t xml:space="preserve">ORD-4975</t>
  </si>
  <si>
    <t xml:space="preserve">ROD-16 x 49 @ 11,800; TIL-6060 x 376 @ 14,500</t>
  </si>
  <si>
    <t xml:space="preserve">2026-10-27T10:40:10.463469+00:00</t>
  </si>
  <si>
    <t xml:space="preserve">2026-10-27T10:40:10.465305+00:00</t>
  </si>
  <si>
    <t xml:space="preserve">2026-10-27T10:40:10.465612+00:00</t>
  </si>
  <si>
    <t xml:space="preserve">ORD-4976</t>
  </si>
  <si>
    <t xml:space="preserve">PNT-20C x 10 @ 38,000; PNT-20W x 26 @ 38,000</t>
  </si>
  <si>
    <t xml:space="preserve">2026-10-27T10:40:10.467147+00:00</t>
  </si>
  <si>
    <t xml:space="preserve">2026-10-27T10:40:10.468906+00:00</t>
  </si>
  <si>
    <t xml:space="preserve">2026-10-27T10:40:10.469279+00:00</t>
  </si>
  <si>
    <t xml:space="preserve">ORD-4977</t>
  </si>
  <si>
    <t xml:space="preserve">2026-10-27T10:40:10.471227+00:00</t>
  </si>
  <si>
    <t xml:space="preserve">2026-10-27T10:40:10.472923+00:00</t>
  </si>
  <si>
    <t xml:space="preserve">2026-10-27T10:40:10.47336+00:00</t>
  </si>
  <si>
    <t xml:space="preserve">ORD-4978</t>
  </si>
  <si>
    <t xml:space="preserve">NAIL-3 x 3 @ 31,000; PNT-20W x 7 @ 38,000; XX-594 x None (not in the catalogue)</t>
  </si>
  <si>
    <t xml:space="preserve">Row 4: XX-594 - not in the catalogue</t>
  </si>
  <si>
    <t xml:space="preserve">2026-10-27T10:40:10.475607+00:00</t>
  </si>
  <si>
    <t xml:space="preserve">2026-10-27T10:40:10.477468+00:00</t>
  </si>
  <si>
    <t xml:space="preserve">2026-10-27T10:40:10.477783+00:00</t>
  </si>
  <si>
    <t xml:space="preserve">ORD-4979</t>
  </si>
  <si>
    <t xml:space="preserve">CEM-50 x 158 @ 9,500; ROD-12 x 112 @ 7,200; ROOF-AL x 19 @ 12,500</t>
  </si>
  <si>
    <t xml:space="preserve">Iron rod, 12 mm: 112 is far above this customer's usual 13. | Cement, 50 kg bag: 158 is far above this customer's usual 23.</t>
  </si>
  <si>
    <t xml:space="preserve">2026-10-27T10:40:10.479469+00:00</t>
  </si>
  <si>
    <t xml:space="preserve">2026-10-27T10:40:10.481502+00:00</t>
  </si>
  <si>
    <t xml:space="preserve">2026-10-27T10:40:10.481822+00:00</t>
  </si>
  <si>
    <t xml:space="preserve">ORD-4980</t>
  </si>
  <si>
    <t xml:space="preserve">2026-10-27T10:40:10.483879+00:00</t>
  </si>
  <si>
    <t xml:space="preserve">2026-10-27T10:40:10.485565+00:00</t>
  </si>
  <si>
    <t xml:space="preserve">2026-10-27T10:40:10.48589+00:00</t>
  </si>
  <si>
    <t xml:space="preserve">ORD-4981</t>
  </si>
  <si>
    <t xml:space="preserve">2026-10-27T10:40:10.487973+00:00</t>
  </si>
  <si>
    <t xml:space="preserve">2026-10-27T10:40:10.489659+00:00</t>
  </si>
  <si>
    <t xml:space="preserve">2026-10-27T10:40:10.489949+00:00</t>
  </si>
  <si>
    <t xml:space="preserve">ORD-4982</t>
  </si>
  <si>
    <t xml:space="preserve">ROOF-AL x 43 @ 12,500</t>
  </si>
  <si>
    <t xml:space="preserve">2026-10-27T10:40:10.491536+00:00</t>
  </si>
  <si>
    <t xml:space="preserve">2026-10-27T10:40:10.493283+00:00</t>
  </si>
  <si>
    <t xml:space="preserve">2026-10-27T10:40:10.493617+00:00</t>
  </si>
  <si>
    <t xml:space="preserve">ORD-4983</t>
  </si>
  <si>
    <t xml:space="preserve">PNT-20C x 7 @ 38,000; ROD-12 x 8 @ 7,200; ROOF-AL x 35 @ 12,500</t>
  </si>
  <si>
    <t xml:space="preserve">2026-10-27T10:40:10.495732+00:00</t>
  </si>
  <si>
    <t xml:space="preserve">2026-10-27T10:40:10.497628+00:00</t>
  </si>
  <si>
    <t xml:space="preserve">2026-10-27T10:40:10.497947+00:00</t>
  </si>
  <si>
    <t xml:space="preserve">ORD-4984</t>
  </si>
  <si>
    <t xml:space="preserve">PVC-2 x 2 @ 4,100; TIL-6060 x 5 @ 14,500; PVC-4 x 2.5 (Quantity must be a whole number)</t>
  </si>
  <si>
    <t xml:space="preserve">2026-10-27T10:40:10.500396+00:00</t>
  </si>
  <si>
    <t xml:space="preserve">2026-10-27T10:40:10.502449+00:00</t>
  </si>
  <si>
    <t xml:space="preserve">2026-10-27T10:40:10.502777+00:00</t>
  </si>
  <si>
    <t xml:space="preserve">ORD-4985</t>
  </si>
  <si>
    <t xml:space="preserve">PNT-20W x 29 @ 38,000; ROD-12 x 92 @ 7,200; TIL-6060 x 9 @ 14,500</t>
  </si>
  <si>
    <t xml:space="preserve">Iron rod, 12 mm: 92 is far above this customer's usual 23.</t>
  </si>
  <si>
    <t xml:space="preserve">2026-10-27T10:40:10.504574+00:00</t>
  </si>
  <si>
    <t xml:space="preserve">2026-10-27T10:40:10.506544+00:00</t>
  </si>
  <si>
    <t xml:space="preserve">2026-10-27T10:40:10.50687+00:00</t>
  </si>
  <si>
    <t xml:space="preserve">ORD-4986</t>
  </si>
  <si>
    <t xml:space="preserve">CEM-50 x 68 @ 9,500; PNT-20W x 18 @ 38,000; ROD-12 x 52 @ 7,200</t>
  </si>
  <si>
    <t xml:space="preserve">Choose a delivery address. | Iron rod, 12 mm: 52 is far above this customer's usual 13. | Cement, 50 kg bag: 68 is far above this customer's usual 23.</t>
  </si>
  <si>
    <t xml:space="preserve">2026-10-27T10:40:10.509048+00:00</t>
  </si>
  <si>
    <t xml:space="preserve">2026-10-27T10:40:10.511071+00:00</t>
  </si>
  <si>
    <t xml:space="preserve">2026-10-27T10:40:10.511415+00:00</t>
  </si>
  <si>
    <t xml:space="preserve">ORD-4987</t>
  </si>
  <si>
    <t xml:space="preserve">2026-10-27T10:40:10.513155+00:00</t>
  </si>
  <si>
    <t xml:space="preserve">2026-10-27T10:40:10.515047+00:00</t>
  </si>
  <si>
    <t xml:space="preserve">2026-10-27T10:40:10.515407+00:00</t>
  </si>
  <si>
    <t xml:space="preserve">ORD-4988</t>
  </si>
  <si>
    <t xml:space="preserve">2026-10-27T10:40:10.517586+00:00</t>
  </si>
  <si>
    <t xml:space="preserve">2026-10-27T10:40:10.519221+00:00</t>
  </si>
  <si>
    <t xml:space="preserve">2026-10-27T10:40:10.519564+00:00</t>
  </si>
  <si>
    <t xml:space="preserve">ORD-4989</t>
  </si>
  <si>
    <t xml:space="preserve">PVC-2 x 2 @ 4,100; ROD-16 x 27 @ 11,800; ROOF-AL x 49 @ 12,500</t>
  </si>
  <si>
    <t xml:space="preserve">2026-10-27T10:40:10.521714+00:00</t>
  </si>
  <si>
    <t xml:space="preserve">2026-10-27T10:40:10.523586+00:00</t>
  </si>
  <si>
    <t xml:space="preserve">2026-10-27T10:40:10.523902+00:00</t>
  </si>
  <si>
    <t xml:space="preserve">ORD-4990</t>
  </si>
  <si>
    <t xml:space="preserve">ROD-16 x 10 @ 11,800; ROOF-AL x 311 @ 12,500; TIL-6060 x 50 @ 14,500</t>
  </si>
  <si>
    <t xml:space="preserve">2026-10-27T10:40:10.526153+00:00</t>
  </si>
  <si>
    <t xml:space="preserve">2026-10-27T10:40:10.528246+00:00</t>
  </si>
  <si>
    <t xml:space="preserve">2026-10-27T10:40:10.528562+00:00</t>
  </si>
  <si>
    <t xml:space="preserve">ORD-4991</t>
  </si>
  <si>
    <t xml:space="preserve">CEM-50 x 58 @ 9,500; NAIL-3 x 14 @ 31,000; PVC-4 x 6 @ 8,600</t>
  </si>
  <si>
    <t xml:space="preserve">2026-10-27T10:40:10.530398+00:00</t>
  </si>
  <si>
    <t xml:space="preserve">2026-10-27T10:40:10.532271+00:00</t>
  </si>
  <si>
    <t xml:space="preserve">2026-10-27T10:40:10.532767+00:00</t>
  </si>
  <si>
    <t xml:space="preserve">ORD-4992</t>
  </si>
  <si>
    <t xml:space="preserve">CEM-50 x 91 @ 9,500; PNT-20C x 8 @ 38,000; TIL-6060 x 52 @ 14,500</t>
  </si>
  <si>
    <t xml:space="preserve">Cement, 50 kg bag: 91 is far above this customer's usual 23.</t>
  </si>
  <si>
    <t xml:space="preserve">2026-10-27T10:40:10.535097+00:00</t>
  </si>
  <si>
    <t xml:space="preserve">2026-10-27T10:40:10.537321+00:00</t>
  </si>
  <si>
    <t xml:space="preserve">2026-10-27T10:40:10.537654+00:00</t>
  </si>
  <si>
    <t xml:space="preserve">ORD-4993</t>
  </si>
  <si>
    <t xml:space="preserve">ROD-12 x 20 @ 7,200; WIRE-25 x 9 @ 52,000</t>
  </si>
  <si>
    <t xml:space="preserve">2026-10-27T10:40:10.540022+00:00</t>
  </si>
  <si>
    <t xml:space="preserve">2026-10-27T10:40:10.542046+00:00</t>
  </si>
  <si>
    <t xml:space="preserve">2026-10-27T10:40:10.542419+00:00</t>
  </si>
  <si>
    <t xml:space="preserve">ORD-4994</t>
  </si>
  <si>
    <t xml:space="preserve">ROD-12 x 140 @ 7,200; ROOF-AL x 71 @ 12,500</t>
  </si>
  <si>
    <t xml:space="preserve">Iron rod, 12 mm: 140 is far above this customer's usual 13.</t>
  </si>
  <si>
    <t xml:space="preserve">2026-10-27T10:40:10.544896+00:00</t>
  </si>
  <si>
    <t xml:space="preserve">2026-10-27T10:40:10.546758+00:00</t>
  </si>
  <si>
    <t xml:space="preserve">2026-10-27T10:40:10.547139+00:00</t>
  </si>
  <si>
    <t xml:space="preserve">ORD-4995</t>
  </si>
  <si>
    <t xml:space="preserve">CEM-50 x 184 @ 9,500; ROOF-AL x 67 @ 12,500</t>
  </si>
  <si>
    <t xml:space="preserve">Cement, 50 kg bag: 184 is far above this customer's usual 23.</t>
  </si>
  <si>
    <t xml:space="preserve">2026-10-27T10:40:10.549642+00:00</t>
  </si>
  <si>
    <t xml:space="preserve">2026-10-27T10:40:10.551516+00:00</t>
  </si>
  <si>
    <t xml:space="preserve">2026-10-27T10:40:10.551844+00:00</t>
  </si>
  <si>
    <t xml:space="preserve">ORD-4996</t>
  </si>
  <si>
    <t xml:space="preserve">TIL-6060 x 844 @ 14,500; WIRE-25 x 14 @ 52,000</t>
  </si>
  <si>
    <t xml:space="preserve">2026-10-27T10:40:10.554296+00:00</t>
  </si>
  <si>
    <t xml:space="preserve">2026-10-27T10:40:10.556286+00:00</t>
  </si>
  <si>
    <t xml:space="preserve">2026-10-27T10:40:10.5566+00:00</t>
  </si>
  <si>
    <t xml:space="preserve">ORD-4997</t>
  </si>
  <si>
    <t xml:space="preserve">ROD-12 x 16 @ 7,200</t>
  </si>
  <si>
    <t xml:space="preserve">2026-10-27T10:40:10.558554+00:00</t>
  </si>
  <si>
    <t xml:space="preserve">2026-10-27T10:40:10.560363+00:00</t>
  </si>
  <si>
    <t xml:space="preserve">2026-10-27T10:40:10.560691+00:00</t>
  </si>
  <si>
    <t xml:space="preserve">ORD-4998</t>
  </si>
  <si>
    <t xml:space="preserve">NAIL-3 x 6 @ 31,000; PVC-2 x 10 @ 4,100</t>
  </si>
  <si>
    <t xml:space="preserve">2026-10-27T10:40:10.563111+00:00</t>
  </si>
  <si>
    <t xml:space="preserve">2026-10-27T10:40:10.565045+00:00</t>
  </si>
  <si>
    <t xml:space="preserve">2026-10-27T10:40:10.565398+00:00</t>
  </si>
  <si>
    <t xml:space="preserve">ORD-4999</t>
  </si>
  <si>
    <t xml:space="preserve">NAIL-3 x 13 @ 31,000; TIL-6060 x 1 @ 14,500</t>
  </si>
  <si>
    <t xml:space="preserve">2026-10-27T10:40:10.567394+00:00</t>
  </si>
  <si>
    <t xml:space="preserve">2026-10-27T10:40:10.56919+00:00</t>
  </si>
  <si>
    <t xml:space="preserve">2026-10-27T10:40:10.569538+00:00</t>
  </si>
  <si>
    <t xml:space="preserve">ORD-5000</t>
  </si>
  <si>
    <t xml:space="preserve">PNT-20W x 23 @ 38,000</t>
  </si>
  <si>
    <t xml:space="preserve">2026-10-27T10:40:10.571453+00:00</t>
  </si>
  <si>
    <t xml:space="preserve">2026-10-27T10:40:10.573133+00:00</t>
  </si>
  <si>
    <t xml:space="preserve">2026-10-27T10:40:10.573479+00:00</t>
  </si>
  <si>
    <t xml:space="preserve">ORD-5001</t>
  </si>
  <si>
    <t xml:space="preserve">NAIL-3 x 1 @ 31,000; PNT-20C x 4 @ 38,000; ROD-16 x 13 @ 11,800; ROOF-AL x 76 @ 12,500</t>
  </si>
  <si>
    <t xml:space="preserve">2026-10-27T10:40:10.575551+00:00</t>
  </si>
  <si>
    <t xml:space="preserve">2026-10-27T10:40:10.577669+00:00</t>
  </si>
  <si>
    <t xml:space="preserve">2026-10-27T10:40:10.577995+00:00</t>
  </si>
  <si>
    <t xml:space="preserve">ORD-5002</t>
  </si>
  <si>
    <t xml:space="preserve">2026-10-27T10:40:10.58041+00:00</t>
  </si>
  <si>
    <t xml:space="preserve">2026-10-27T10:40:10.582334+00:00</t>
  </si>
  <si>
    <t xml:space="preserve">2026-10-27T10:40:10.582847+00:00</t>
  </si>
  <si>
    <t xml:space="preserve">ORD-5003</t>
  </si>
  <si>
    <t xml:space="preserve">PNT-20C x 7 @ 38,000; ROD-12 x 49 @ 7,200; WIRE-25 x 7 @ 52,000</t>
  </si>
  <si>
    <t xml:space="preserve">Choose a delivery address. | Iron rod, 12 mm: 49 is far above this customer's usual 13.</t>
  </si>
  <si>
    <t xml:space="preserve">2026-10-27T10:40:10.584844+00:00</t>
  </si>
  <si>
    <t xml:space="preserve">2026-10-27T10:40:10.586817+00:00</t>
  </si>
  <si>
    <t xml:space="preserve">2026-10-27T10:40:10.587121+00:00</t>
  </si>
  <si>
    <t xml:space="preserve">ORD-5004</t>
  </si>
  <si>
    <t xml:space="preserve">This looks like a repeat of ORD-4997. Confirm it is a new order.</t>
  </si>
  <si>
    <t xml:space="preserve">2026-10-27T10:40:10.589312+00:00</t>
  </si>
  <si>
    <t xml:space="preserve">ORD-5005</t>
  </si>
  <si>
    <t xml:space="preserve">PVC-2 x 2 @ 4,100; WIRE-25 x 15 @ 52,000</t>
  </si>
  <si>
    <t xml:space="preserve">2026-10-27T10:40:10.592695+00:00</t>
  </si>
  <si>
    <t xml:space="preserve">2026-10-27T10:40:10.594525+00:00</t>
  </si>
  <si>
    <t xml:space="preserve">2026-10-27T10:40:10.594859+00:00</t>
  </si>
  <si>
    <t xml:space="preserve">ORD-5006</t>
  </si>
  <si>
    <t xml:space="preserve">ROOF-AL x 38 @ 12,500; TIL-6060 x 29 @ 14,500; WIRE-25 x 10 @ 52,000</t>
  </si>
  <si>
    <t xml:space="preserve">2026-10-27T10:40:10.597417+00:00</t>
  </si>
  <si>
    <t xml:space="preserve">2026-10-27T10:40:10.59934+00:00</t>
  </si>
  <si>
    <t xml:space="preserve">2026-10-27T10:40:10.599667+00:00</t>
  </si>
  <si>
    <t xml:space="preserve">ORD-5007</t>
  </si>
  <si>
    <t xml:space="preserve">CEM-50 x 98 @ 9,500; PVC-2 x 2 @ 4,100; ROD-16 x 47 @ 11,800; XX-916 x None (not in the catalogue)</t>
  </si>
  <si>
    <t xml:space="preserve">Row 5: XX-916 - not in the catalogue | Cement, 50 kg bag: 98 is far above this customer's usual 23.</t>
  </si>
  <si>
    <t xml:space="preserve">2026-10-27T10:40:10.602172+00:00</t>
  </si>
  <si>
    <t xml:space="preserve">2026-10-27T10:40:10.6043+00:00</t>
  </si>
  <si>
    <t xml:space="preserve">2026-10-27T10:40:10.604612+00:00</t>
  </si>
  <si>
    <t xml:space="preserve">ORD-5008</t>
  </si>
  <si>
    <t xml:space="preserve">CEM-50 x 45 @ 9,500; PNT-20C x 10 @ 38,000; ROOF-AL x 33 @ 12,500; SAND-T x 1 @ 185,000</t>
  </si>
  <si>
    <t xml:space="preserve">2026-10-27T10:40:10.606748+00:00</t>
  </si>
  <si>
    <t xml:space="preserve">2026-10-27T10:40:10.609054+00:00</t>
  </si>
  <si>
    <t xml:space="preserve">2026-10-27T10:40:10.609443+00:00</t>
  </si>
  <si>
    <t xml:space="preserve">ORD-5009</t>
  </si>
  <si>
    <t xml:space="preserve">2026-10-27T10:40:10.611562+00:00</t>
  </si>
  <si>
    <t xml:space="preserve">2026-10-27T10:40:10.613279+00:00</t>
  </si>
  <si>
    <t xml:space="preserve">2026-10-27T10:40:10.613611+00:00</t>
  </si>
  <si>
    <t xml:space="preserve">ORD-5010</t>
  </si>
  <si>
    <t xml:space="preserve">Cement, 50 kg bag: 125 is far above this customer's usual 23.</t>
  </si>
  <si>
    <t xml:space="preserve">2026-10-27T10:40:10.616083+00:00</t>
  </si>
  <si>
    <t xml:space="preserve">2026-10-27T10:40:10.617792+00:00</t>
  </si>
  <si>
    <t xml:space="preserve">2026-10-27T10:40:10.618116+00:00</t>
  </si>
  <si>
    <t xml:space="preserve">ORD-5011</t>
  </si>
  <si>
    <t xml:space="preserve">ROD-16 x 48 @ 11,800; WIRE-25 x 7 @ 52,000</t>
  </si>
  <si>
    <t xml:space="preserve">2026-10-27T10:40:10.620668+00:00</t>
  </si>
  <si>
    <t xml:space="preserve">2026-10-27T10:40:10.622481+00:00</t>
  </si>
  <si>
    <t xml:space="preserve">2026-10-27T10:40:10.622799+00:00</t>
  </si>
  <si>
    <t xml:space="preserve">ORD-5012</t>
  </si>
  <si>
    <t xml:space="preserve">ROD-16 x 55 @ 11,800; WIRE-25 x 3 @ 52,000</t>
  </si>
  <si>
    <t xml:space="preserve">2026-10-27T10:40:10.625468+00:00</t>
  </si>
  <si>
    <t xml:space="preserve">2026-10-27T10:40:10.627581+00:00</t>
  </si>
  <si>
    <t xml:space="preserve">2026-10-27T10:40:10.627883+00:00</t>
  </si>
  <si>
    <t xml:space="preserve">ORD-5013</t>
  </si>
  <si>
    <t xml:space="preserve">PNT-20W x 12 @ 38,000; TIL-6060 x 43 @ 14,500; WIRE-25 x 7 @ 52,000</t>
  </si>
  <si>
    <t xml:space="preserve">2026-10-27T10:40:10.630243+00:00</t>
  </si>
  <si>
    <t xml:space="preserve">2026-10-27T10:40:10.632243+00:00</t>
  </si>
  <si>
    <t xml:space="preserve">2026-10-27T10:40:10.632554+00:00</t>
  </si>
  <si>
    <t xml:space="preserve">ORD-5014</t>
  </si>
  <si>
    <t xml:space="preserve">PVC-4 x 24 @ 8,600; ROD-12 x 90 @ 7,200</t>
  </si>
  <si>
    <t xml:space="preserve">2026-10-27T10:40:10.634686+00:00</t>
  </si>
  <si>
    <t xml:space="preserve">2026-10-27T10:40:10.636496+00:00</t>
  </si>
  <si>
    <t xml:space="preserve">2026-10-27T10:40:10.636813+00:00</t>
  </si>
  <si>
    <t xml:space="preserve">ORD-5015</t>
  </si>
  <si>
    <t xml:space="preserve">ROD-12 x 79 @ 7,200; SAND-T x 1 @ 185,000</t>
  </si>
  <si>
    <t xml:space="preserve">SAND-T is no longer sold. Remove it. | Sharp sand, 20 tonne trip is out of stock. | Iron rod, 12 mm: 79 is far above this customer's usual 13.</t>
  </si>
  <si>
    <t xml:space="preserve">2026-10-27T10:40:10.63946+00:00</t>
  </si>
  <si>
    <t xml:space="preserve">2026-10-27T10:40:10.641698+00:00</t>
  </si>
  <si>
    <t xml:space="preserve">2026-10-27T10:40:10.642004+00:00</t>
  </si>
  <si>
    <t xml:space="preserve">ORD-5016</t>
  </si>
  <si>
    <t xml:space="preserve">2026-10-27T10:40:10.644227+00:00</t>
  </si>
  <si>
    <t xml:space="preserve">2026-10-27T10:40:10.64586+00:00</t>
  </si>
  <si>
    <t xml:space="preserve">2026-10-27T10:40:10.646171+00:00</t>
  </si>
  <si>
    <t xml:space="preserve">ORD-5017</t>
  </si>
  <si>
    <t xml:space="preserve">ROD-12 x 12 @ 7,200</t>
  </si>
  <si>
    <t xml:space="preserve">2026-10-27T10:40:10.648772+00:00</t>
  </si>
  <si>
    <t xml:space="preserve">2026-10-27T10:40:10.650548+00:00</t>
  </si>
  <si>
    <t xml:space="preserve">2026-10-27T10:40:10.650856+00:00</t>
  </si>
  <si>
    <t xml:space="preserve">ORD-5018</t>
  </si>
  <si>
    <t xml:space="preserve">ROD-12 x 50 @ 7,200; XX-295 x None (not in the catalogue)</t>
  </si>
  <si>
    <t xml:space="preserve">Row 3: XX-295 - not in the catalogue | Iron rod, 12 mm: 50 is far above this customer's usual 13.</t>
  </si>
  <si>
    <t xml:space="preserve">2026-10-27T10:40:10.653113+00:00</t>
  </si>
  <si>
    <t xml:space="preserve">2026-10-27T10:40:10.654989+00:00</t>
  </si>
  <si>
    <t xml:space="preserve">2026-10-27T10:40:10.655351+00:00</t>
  </si>
  <si>
    <t xml:space="preserve">ORD-5019</t>
  </si>
  <si>
    <t xml:space="preserve">TIL-6060 x 34 @ 14,500; XX-452 x None (not in the catalogue)</t>
  </si>
  <si>
    <t xml:space="preserve">Row 3: XX-452 - not in the catalogue</t>
  </si>
  <si>
    <t xml:space="preserve">2026-10-27T10:40:10.657651+00:00</t>
  </si>
  <si>
    <t xml:space="preserve">2026-10-27T10:40:10.659384+00:00</t>
  </si>
  <si>
    <t xml:space="preserve">2026-10-27T10:40:10.659695+00:00</t>
  </si>
  <si>
    <t xml:space="preserve">ORD-5020</t>
  </si>
  <si>
    <t xml:space="preserve">CEM-50 x 51 @ 9,500; NAIL-3 x 3 @ 31,000; ROD-12 x 109 @ 7,200; ROOF-AL x 311 @ 12,500</t>
  </si>
  <si>
    <t xml:space="preserve">Aluminium roofing sheet, 0.55 mm: not enough stock for this quantity. Reduce it. | Iron rod, 12 mm: 109 is far above this customer's usual 28.</t>
  </si>
  <si>
    <t xml:space="preserve">2026-10-27T10:40:10.662011+00:00</t>
  </si>
  <si>
    <t xml:space="preserve">2026-10-27T10:40:10.664282+00:00</t>
  </si>
  <si>
    <t xml:space="preserve">2026-10-27T10:40:10.664593+00:00</t>
  </si>
  <si>
    <t xml:space="preserve">ORD-5021</t>
  </si>
  <si>
    <t xml:space="preserve">CEM-50 x 97 @ 9,500; XX-295 x None (not in the catalogue)</t>
  </si>
  <si>
    <t xml:space="preserve">Row 3: XX-295 - not in the catalogue</t>
  </si>
  <si>
    <t xml:space="preserve">2026-10-27T10:40:10.666871+00:00</t>
  </si>
  <si>
    <t xml:space="preserve">2026-10-27T10:40:10.668631+00:00</t>
  </si>
  <si>
    <t xml:space="preserve">2026-10-27T10:40:10.668929+00:00</t>
  </si>
  <si>
    <t xml:space="preserve">ORD-5022</t>
  </si>
  <si>
    <t xml:space="preserve">CEM-50 x 2026 @ 9,500; PVC-2 x 2 @ 4,100; TIL-6060 x 80 @ 14,500</t>
  </si>
  <si>
    <t xml:space="preserve">Cement, 50 kg bag: quantity must be between 10 and 2000. | Cement, 50 kg bag: not enough stock for this quantity. Reduce it. | Cement, 50 kg bag: 2026 is far above this customer's usual 23.</t>
  </si>
  <si>
    <t xml:space="preserve">2026-10-27T10:40:10.671291+00:00</t>
  </si>
  <si>
    <t xml:space="preserve">2026-10-27T10:40:10.673524+00:00</t>
  </si>
  <si>
    <t xml:space="preserve">2026-10-27T10:40:10.67383+00:00</t>
  </si>
  <si>
    <t xml:space="preserve">ORD-5023</t>
  </si>
  <si>
    <t xml:space="preserve">2026-10-27T10:40:10.67614+00:00</t>
  </si>
  <si>
    <t xml:space="preserve">2026-10-27T10:40:10.677927+00:00</t>
  </si>
  <si>
    <t xml:space="preserve">2026-10-27T10:40:10.67826+00:00</t>
  </si>
  <si>
    <t xml:space="preserve">ORD-5024</t>
  </si>
  <si>
    <t xml:space="preserve">NAIL-3 x 10 @ 31,000; ROD-12 x 144 @ 7,200</t>
  </si>
  <si>
    <t xml:space="preserve">2026-10-27T10:40:10.680611+00:00</t>
  </si>
  <si>
    <t xml:space="preserve">2026-10-27T10:40:10.682394+00:00</t>
  </si>
  <si>
    <t xml:space="preserve">2026-10-27T10:40:10.682711+00:00</t>
  </si>
  <si>
    <t xml:space="preserve">ORD-5025</t>
  </si>
  <si>
    <t xml:space="preserve">PVC-4 x 29 @ 8,600; ROD-16 x 35 @ 11,800; ROOF-AL x 10 @ 12,500</t>
  </si>
  <si>
    <t xml:space="preserve">2026-10-27T10:40:10.685599+00:00</t>
  </si>
  <si>
    <t xml:space="preserve">2026-10-27T10:40:10.687673+00:00</t>
  </si>
  <si>
    <t xml:space="preserve">2026-10-27T10:40:10.687974+00:00</t>
  </si>
  <si>
    <t xml:space="preserve">ORD-5026</t>
  </si>
  <si>
    <t xml:space="preserve">2026-10-27T10:40:10.690669+00:00</t>
  </si>
  <si>
    <t xml:space="preserve">2026-10-27T10:40:10.692383+00:00</t>
  </si>
  <si>
    <t xml:space="preserve">2026-10-27T10:40:10.692713+00:00</t>
  </si>
  <si>
    <t xml:space="preserve">ORD-5027</t>
  </si>
  <si>
    <t xml:space="preserve">PNT-20C x 3 @ 38,000; PNT-20W x 6 @ 38,000; ROD-16 x 57 @ 11,800</t>
  </si>
  <si>
    <t xml:space="preserve">2026-10-27T10:40:10.69559+00:00</t>
  </si>
  <si>
    <t xml:space="preserve">2026-10-27T10:40:10.697544+00:00</t>
  </si>
  <si>
    <t xml:space="preserve">2026-10-27T10:40:10.697867+00:00</t>
  </si>
  <si>
    <t xml:space="preserve">ORD-5028</t>
  </si>
  <si>
    <t xml:space="preserve">2026-10-27T10:40:10.700856+00:00</t>
  </si>
  <si>
    <t xml:space="preserve">2026-10-27T10:40:10.702765+00:00</t>
  </si>
  <si>
    <t xml:space="preserve">2026-10-27T10:40:10.70313+00:00</t>
  </si>
  <si>
    <t xml:space="preserve">ORD-5029</t>
  </si>
  <si>
    <t xml:space="preserve">PVC-2 x 2 @ 4,100; ROOF-AL x 311 @ 12,500</t>
  </si>
  <si>
    <t xml:space="preserve">2026-10-27T10:40:10.706267+00:00</t>
  </si>
  <si>
    <t xml:space="preserve">2026-10-27T10:40:10.70826+00:00</t>
  </si>
  <si>
    <t xml:space="preserve">2026-10-27T10:40:10.708581+00:00</t>
  </si>
  <si>
    <t xml:space="preserve">ORD-5030</t>
  </si>
  <si>
    <t xml:space="preserve">CEM-50 x 147 @ 9,500; ROD-16 x 18 @ 11,800</t>
  </si>
  <si>
    <t xml:space="preserve">Cement, 50 kg bag: 147 is far above this customer's usual 23.</t>
  </si>
  <si>
    <t xml:space="preserve">2026-10-27T10:40:10.711162+00:00</t>
  </si>
  <si>
    <t xml:space="preserve">2026-10-27T10:40:10.712992+00:00</t>
  </si>
  <si>
    <t xml:space="preserve">2026-10-27T10:40:10.713406+00:00</t>
  </si>
  <si>
    <t xml:space="preserve">ORD-5031</t>
  </si>
  <si>
    <t xml:space="preserve">CEM-50 x 49 @ 9,500; PNT-20C x 8 @ 38,000; PNT-20W x 22 @ 38,000</t>
  </si>
  <si>
    <t xml:space="preserve">2026-10-27T10:40:10.716296+00:00</t>
  </si>
  <si>
    <t xml:space="preserve">2026-10-27T10:40:10.718156+00:00</t>
  </si>
  <si>
    <t xml:space="preserve">2026-10-27T10:40:10.718495+00:00</t>
  </si>
  <si>
    <t xml:space="preserve">ORD-5032</t>
  </si>
  <si>
    <t xml:space="preserve">ROD-12 x 139 @ 7,200; TIL-6060 x 73 @ 14,500; WIRE-25 x 16 @ 52,000</t>
  </si>
  <si>
    <t xml:space="preserve">Iron rod, 12 mm: 139 is far above this customer's usual 13.</t>
  </si>
  <si>
    <t xml:space="preserve">2026-10-27T10:40:10.720993+00:00</t>
  </si>
  <si>
    <t xml:space="preserve">2026-10-27T10:40:10.722984+00:00</t>
  </si>
  <si>
    <t xml:space="preserve">2026-10-27T10:40:10.723343+00:00</t>
  </si>
  <si>
    <t xml:space="preserve">ORD-5033</t>
  </si>
  <si>
    <t xml:space="preserve">PVC-4 x 58 @ 8,600</t>
  </si>
  <si>
    <t xml:space="preserve">2026-10-27T10:40:10.726481+00:00</t>
  </si>
  <si>
    <t xml:space="preserve">2026-10-27T10:40:10.728572+00:00</t>
  </si>
  <si>
    <t xml:space="preserve">2026-10-27T10:40:10.728884+00:00</t>
  </si>
  <si>
    <t xml:space="preserve">ORD-5034</t>
  </si>
  <si>
    <t xml:space="preserve">ROD-12 x 110 @ 7,200; ROOF-AL x 55 @ 12,500</t>
  </si>
  <si>
    <t xml:space="preserve">Iron rod, 12 mm: 110 is far above this customer's usual 13.</t>
  </si>
  <si>
    <t xml:space="preserve">2026-10-27T10:40:10.731651+00:00</t>
  </si>
  <si>
    <t xml:space="preserve">2026-10-27T10:40:10.733572+00:00</t>
  </si>
  <si>
    <t xml:space="preserve">2026-10-27T10:40:10.733896+00:00</t>
  </si>
  <si>
    <t xml:space="preserve">ORD-5035</t>
  </si>
  <si>
    <t xml:space="preserve">CEM-50 x 79 @ 9,500</t>
  </si>
  <si>
    <t xml:space="preserve">2026-10-27T10:40:10.73685+00:00</t>
  </si>
  <si>
    <t xml:space="preserve">2026-10-27T10:40:10.738748+00:00</t>
  </si>
  <si>
    <t xml:space="preserve">2026-10-27T10:40:10.739081+00:00</t>
  </si>
  <si>
    <t xml:space="preserve">ORD-5036</t>
  </si>
  <si>
    <t xml:space="preserve">CEM-50 x 771 @ 9,500; ROD-12 x 70 @ 7,200; ROD-16 x 36 @ 11,800</t>
  </si>
  <si>
    <t xml:space="preserve">2026-10-27T10:40:10.741945+00:00</t>
  </si>
  <si>
    <t xml:space="preserve">2026-10-27T10:40:10.744052+00:00</t>
  </si>
  <si>
    <t xml:space="preserve">2026-10-27T10:40:10.744444+00:00</t>
  </si>
  <si>
    <t xml:space="preserve">ORD-5037</t>
  </si>
  <si>
    <t xml:space="preserve">CEM-50 x 140 @ 9,500; ROD-16 x 72 @ 11,800</t>
  </si>
  <si>
    <t xml:space="preserve">The delivery date is in the past. | Cement, 50 kg bag: 140 is far above this customer's usual 23.</t>
  </si>
  <si>
    <t xml:space="preserve">2026-10-27T10:40:10.747104+00:00</t>
  </si>
  <si>
    <t xml:space="preserve">2026-10-27T10:40:10.749168+00:00</t>
  </si>
  <si>
    <t xml:space="preserve">2026-10-27T10:40:10.749526+00:00</t>
  </si>
  <si>
    <t xml:space="preserve">ORD-5038</t>
  </si>
  <si>
    <t xml:space="preserve">PNT-20C x 3 @ 38,000; PNT-20W x 20 @ 38,000; ROD-16 x 22 @ 11,800; TIL-6060 x 23 @ 14,500</t>
  </si>
  <si>
    <t xml:space="preserve">2026-10-27T10:40:10.752282+00:00</t>
  </si>
  <si>
    <t xml:space="preserve">2026-10-27T10:40:10.754301+00:00</t>
  </si>
  <si>
    <t xml:space="preserve">2026-10-27T10:40:10.75463+00:00</t>
  </si>
  <si>
    <t xml:space="preserve">ORD-5039</t>
  </si>
  <si>
    <t xml:space="preserve">ROOF-AL x 52 @ 12,500</t>
  </si>
  <si>
    <t xml:space="preserve">2026-10-27T10:40:10.757717+00:00</t>
  </si>
  <si>
    <t xml:space="preserve">2026-10-27T10:40:10.7594+00:00</t>
  </si>
  <si>
    <t xml:space="preserve">2026-10-27T10:40:10.759722+00:00</t>
  </si>
  <si>
    <t xml:space="preserve">ORD-5040</t>
  </si>
  <si>
    <t xml:space="preserve">PVC-4 x 24 @ 8,600; ROOF-AL x 13 @ 12,500; WIRE-25 x 3 @ 52,000</t>
  </si>
  <si>
    <t xml:space="preserve">2026-10-27T10:40:10.762877+00:00</t>
  </si>
  <si>
    <t xml:space="preserve">2026-10-27T10:40:10.76478+00:00</t>
  </si>
  <si>
    <t xml:space="preserve">2026-10-27T10:40:10.765129+00:00</t>
  </si>
  <si>
    <t xml:space="preserve">ORD-5041</t>
  </si>
  <si>
    <t xml:space="preserve">CEM-50 x 69 @ 9,500; ROD-12 x 160 @ 7,200</t>
  </si>
  <si>
    <t xml:space="preserve">Iron rod, 12 mm: 160 is far above this customer's usual 13. | Cement, 50 kg bag: 69 is far above this customer's usual 23.</t>
  </si>
  <si>
    <t xml:space="preserve">2026-10-27T10:40:10.767866+00:00</t>
  </si>
  <si>
    <t xml:space="preserve">2026-10-27T10:40:10.769933+00:00</t>
  </si>
  <si>
    <t xml:space="preserve">2026-10-27T10:40:10.770295+00:00</t>
  </si>
  <si>
    <t xml:space="preserve">ORD-5042</t>
  </si>
  <si>
    <t xml:space="preserve">PVC-2 x 2 @ 4,100; ROOF-AL x 35 @ 12,500; TIL-6060 x 34 @ 14,500; XX-450 x None (not in the catalogue)</t>
  </si>
  <si>
    <t xml:space="preserve">Row 5: XX-450 - not in the catalogue</t>
  </si>
  <si>
    <t xml:space="preserve">2026-10-27T10:40:10.773656+00:00</t>
  </si>
  <si>
    <t xml:space="preserve">2026-10-27T10:40:10.775635+00:00</t>
  </si>
  <si>
    <t xml:space="preserve">2026-10-27T10:40:10.775934+00:00</t>
  </si>
  <si>
    <t xml:space="preserve">ORD-5043</t>
  </si>
  <si>
    <t xml:space="preserve">2026-10-27T10:40:10.778645+00:00</t>
  </si>
  <si>
    <t xml:space="preserve">2026-10-27T10:40:10.780413+00:00</t>
  </si>
  <si>
    <t xml:space="preserve">2026-10-27T10:40:10.780732+00:00</t>
  </si>
  <si>
    <t xml:space="preserve">ORD-5044</t>
  </si>
  <si>
    <t xml:space="preserve">PNT-20W x 10 @ 38,000</t>
  </si>
  <si>
    <t xml:space="preserve">2026-10-27T10:40:10.783961+00:00</t>
  </si>
  <si>
    <t xml:space="preserve">2026-10-27T10:40:10.785785+00:00</t>
  </si>
  <si>
    <t xml:space="preserve">2026-10-27T10:40:10.786076+00:00</t>
  </si>
  <si>
    <t xml:space="preserve">ORD-5045</t>
  </si>
  <si>
    <t xml:space="preserve">2026-10-27T10:40:10.788749+00:00</t>
  </si>
  <si>
    <t xml:space="preserve">2026-10-27T10:40:10.790462+00:00</t>
  </si>
  <si>
    <t xml:space="preserve">2026-10-27T10:40:10.79078+00:00</t>
  </si>
  <si>
    <t xml:space="preserve">ORD-5046</t>
  </si>
  <si>
    <t xml:space="preserve">PVC-2 x 2 @ 4,100; ROD-12 x 15 @ 7,200; ROOF-AL x 75 @ 12,500</t>
  </si>
  <si>
    <t xml:space="preserve">2026-10-27T10:40:10.794947+00:00</t>
  </si>
  <si>
    <t xml:space="preserve">2026-10-27T10:40:10.79685+00:00</t>
  </si>
  <si>
    <t xml:space="preserve">2026-10-27T10:40:10.797192+00:00</t>
  </si>
  <si>
    <t xml:space="preserve">ORD-5047</t>
  </si>
  <si>
    <t xml:space="preserve">CEM-50 x 142 @ 9,500; NAIL-3 x 3 @ 31,000; PVC-4 x 1 @ 8,600; ROD-12 x 133 @ 7,200</t>
  </si>
  <si>
    <t xml:space="preserve">PVC pipe, 4 inch, 6 m: quantity must be between 2 and 500. | Iron rod, 12 mm: 133 is far above this customer's usual 32. | Cement, 50 kg bag: 142 is far above this customer's usual 37.</t>
  </si>
  <si>
    <t xml:space="preserve">2026-10-27T10:40:10.800432+00:00</t>
  </si>
  <si>
    <t xml:space="preserve">2026-10-27T10:40:10.802617+00:00</t>
  </si>
  <si>
    <t xml:space="preserve">2026-10-27T10:40:10.802925+00:00</t>
  </si>
  <si>
    <t xml:space="preserve">ORD-5048</t>
  </si>
  <si>
    <t xml:space="preserve">PNT-20W x 17 @ 38,000; PVC-4 x 21 @ 8,600; ROOF-AL x 47 @ 12,500; SAND-T x 1 @ 185,000</t>
  </si>
  <si>
    <t xml:space="preserve">2026-10-27T10:40:10.805779+00:00</t>
  </si>
  <si>
    <t xml:space="preserve">2026-10-27T10:40:10.808184+00:00</t>
  </si>
  <si>
    <t xml:space="preserve">2026-10-27T10:40:10.808575+00:00</t>
  </si>
  <si>
    <t xml:space="preserve">ORD-5049</t>
  </si>
  <si>
    <t xml:space="preserve">2026-10-27T10:40:10.81142+00:00</t>
  </si>
  <si>
    <t xml:space="preserve">2026-10-27T10:40:10.813111+00:00</t>
  </si>
  <si>
    <t xml:space="preserve">2026-10-27T10:40:10.813461+00:00</t>
  </si>
  <si>
    <t xml:space="preserve">ORD-5050</t>
  </si>
  <si>
    <t xml:space="preserve">PNT-20W x 1 @ 38,000; TIL-6060 x 43 @ 14,500</t>
  </si>
  <si>
    <t xml:space="preserve">2026-10-27T10:40:10.816242+00:00</t>
  </si>
  <si>
    <t xml:space="preserve">2026-10-27T10:40:10.818137+00:00</t>
  </si>
  <si>
    <t xml:space="preserve">2026-10-27T10:40:10.818526+00:00</t>
  </si>
  <si>
    <t xml:space="preserve">ORD-5051</t>
  </si>
  <si>
    <t xml:space="preserve">2026-10-27T10:40:10.821722+00:00</t>
  </si>
  <si>
    <t xml:space="preserve">2026-10-27T10:40:10.823459+00:00</t>
  </si>
  <si>
    <t xml:space="preserve">2026-10-27T10:40:10.823794+00:00</t>
  </si>
  <si>
    <t xml:space="preserve">ORD-5052</t>
  </si>
  <si>
    <t xml:space="preserve">ROD-16 x 59 @ 11,800; ROOF-AL x 70 @ 12,500; SAND-T x 1 @ 185,000</t>
  </si>
  <si>
    <t xml:space="preserve">2026-10-27T10:40:10.82712+00:00</t>
  </si>
  <si>
    <t xml:space="preserve">2026-10-27T10:40:10.829267+00:00</t>
  </si>
  <si>
    <t xml:space="preserve">2026-10-27T10:40:10.829577+00:00</t>
  </si>
  <si>
    <t xml:space="preserve">ORD-5053</t>
  </si>
  <si>
    <t xml:space="preserve">ROOF-AL x 33 @ 12,500; TIL-6060 x 49 @ 14,500</t>
  </si>
  <si>
    <t xml:space="preserve">2026-10-27T10:40:10.832456+00:00</t>
  </si>
  <si>
    <t xml:space="preserve">2026-10-27T10:40:10.834288+00:00</t>
  </si>
  <si>
    <t xml:space="preserve">2026-10-27T10:40:10.834617+00:00</t>
  </si>
  <si>
    <t xml:space="preserve">ORD-5054</t>
  </si>
  <si>
    <t xml:space="preserve">CEM-50 x 68 @ 9,500; ROD-16 x 15 @ 11,800; ROOF-AL x 63 @ 12,500</t>
  </si>
  <si>
    <t xml:space="preserve">2026-10-27T10:40:10.837927+00:00</t>
  </si>
  <si>
    <t xml:space="preserve">2026-10-27T10:40:10.839922+00:00</t>
  </si>
  <si>
    <t xml:space="preserve">2026-10-27T10:40:10.840285+00:00</t>
  </si>
  <si>
    <t xml:space="preserve">ORD-5055</t>
  </si>
  <si>
    <t xml:space="preserve">PNT-20C x 9 @ 38,000; PNT-20W x 25 @ 38,000; ROD-16 x 4 @ 11,800; ROOF-AL x 42 @ 12,500</t>
  </si>
  <si>
    <t xml:space="preserve">2026-10-27T10:40:10.843667+00:00</t>
  </si>
  <si>
    <t xml:space="preserve">2026-10-27T10:40:10.845892+00:00</t>
  </si>
  <si>
    <t xml:space="preserve">2026-10-27T10:40:10.846227+00:00</t>
  </si>
  <si>
    <t xml:space="preserve">ORD-5056</t>
  </si>
  <si>
    <t xml:space="preserve">CEM-50 x 156 @ 9,500</t>
  </si>
  <si>
    <t xml:space="preserve">The delivery date is in the past. | Cement, 50 kg bag: 156 is far above this customer's usual 23.</t>
  </si>
  <si>
    <t xml:space="preserve">2026-10-27T10:40:10.849328+00:00</t>
  </si>
  <si>
    <t xml:space="preserve">2026-10-27T10:40:10.851174+00:00</t>
  </si>
  <si>
    <t xml:space="preserve">2026-10-27T10:40:10.851528+00:00</t>
  </si>
  <si>
    <t xml:space="preserve">ORD-5057</t>
  </si>
  <si>
    <t xml:space="preserve">CEM-50 x 45 @ 9,500; ROOF-AL x 14 @ 12,500</t>
  </si>
  <si>
    <t xml:space="preserve">2026-10-27T10:40:10.854623+00:00</t>
  </si>
  <si>
    <t xml:space="preserve">2026-10-27T10:40:10.85675+00:00</t>
  </si>
  <si>
    <t xml:space="preserve">2026-10-27T10:40:10.857082+00:00</t>
  </si>
  <si>
    <t xml:space="preserve">ORD-5058</t>
  </si>
  <si>
    <t xml:space="preserve">CEM-50 x 250 @ 9,500; ROOF-AL x 34 @ 12,500</t>
  </si>
  <si>
    <t xml:space="preserve">2026-10-27T10:40:10.860327+00:00</t>
  </si>
  <si>
    <t xml:space="preserve">2026-10-27T10:40:10.86218+00:00</t>
  </si>
  <si>
    <t xml:space="preserve">2026-10-27T10:40:10.862568+00:00</t>
  </si>
  <si>
    <t xml:space="preserve">ORD-5059</t>
  </si>
  <si>
    <t xml:space="preserve">PVC-2 x 529 @ 4,100; ROD-12 x 68 @ 7,200</t>
  </si>
  <si>
    <t xml:space="preserve">PVC pipe, 2 inch, 6 m: quantity must be between 2 and 500. | PVC pipe, 2 inch, 6 m: only 9 left. Reduce the quantity. | Iron rod, 12 mm: 68 is far above this customer's usual 13.</t>
  </si>
  <si>
    <t xml:space="preserve">2026-10-27T10:40:10.866018+00:00</t>
  </si>
  <si>
    <t xml:space="preserve">2026-10-27T10:40:10.868379+00:00</t>
  </si>
  <si>
    <t xml:space="preserve">2026-10-27T10:40:10.868689+00:00</t>
  </si>
  <si>
    <t xml:space="preserve">ORD-5060</t>
  </si>
  <si>
    <t xml:space="preserve">PVC-2 x 2 @ 4,100; ROD-16 x 68 @ 11,800</t>
  </si>
  <si>
    <t xml:space="preserve">2026-10-27T10:40:10.871769+00:00</t>
  </si>
  <si>
    <t xml:space="preserve">2026-10-27T10:40:10.873758+00:00</t>
  </si>
  <si>
    <t xml:space="preserve">2026-10-27T10:40:10.874091+00:00</t>
  </si>
  <si>
    <t xml:space="preserve">ORD-5061</t>
  </si>
  <si>
    <t xml:space="preserve">PNT-20W x 7 @ 38,000; ROD-16 x 38 @ 11,800; TIL-6060 x 36 @ 14,500</t>
  </si>
  <si>
    <t xml:space="preserve">2026-10-27T10:40:10.877604+00:00</t>
  </si>
  <si>
    <t xml:space="preserve">2026-10-27T10:40:10.879603+00:00</t>
  </si>
  <si>
    <t xml:space="preserve">2026-10-27T10:40:10.879914+00:00</t>
  </si>
  <si>
    <t xml:space="preserve">ORD-5062</t>
  </si>
  <si>
    <t xml:space="preserve">PVC-2 x 2 @ 4,100; ROD-16 x 59 @ 11,800; TIL-6060 x 81 @ 14,500</t>
  </si>
  <si>
    <t xml:space="preserve">2026-10-27T10:40:10.883033+00:00</t>
  </si>
  <si>
    <t xml:space="preserve">2026-10-27T10:40:10.885175+00:00</t>
  </si>
  <si>
    <t xml:space="preserve">2026-10-27T10:40:10.885556+00:00</t>
  </si>
  <si>
    <t xml:space="preserve">ORD-5063</t>
  </si>
  <si>
    <t xml:space="preserve">2026-10-27T10:40:10.889023+00:00</t>
  </si>
  <si>
    <t xml:space="preserve">2026-10-27T10:40:10.891029+00:00</t>
  </si>
  <si>
    <t xml:space="preserve">2026-10-27T10:40:10.891376+00:00</t>
  </si>
  <si>
    <t xml:space="preserve">ORD-5064</t>
  </si>
  <si>
    <t xml:space="preserve">PNT-20C x 3 @ 38,000; PVC-4 x 45 @ 8,600</t>
  </si>
  <si>
    <t xml:space="preserve">2026-10-27T10:40:10.894609+00:00</t>
  </si>
  <si>
    <t xml:space="preserve">2026-10-27T10:40:10.896592+00:00</t>
  </si>
  <si>
    <t xml:space="preserve">2026-10-27T10:40:10.896929+00:00</t>
  </si>
  <si>
    <t xml:space="preserve">ORD-5065</t>
  </si>
  <si>
    <t xml:space="preserve">PVC-4 x 10 @ 8,600; SAND-T x 1 @ 185,000</t>
  </si>
  <si>
    <t xml:space="preserve">2026-10-27T10:40:10.900449+00:00</t>
  </si>
  <si>
    <t xml:space="preserve">2026-10-27T10:40:10.902463+00:00</t>
  </si>
  <si>
    <t xml:space="preserve">2026-10-27T10:40:10.902769+00:00</t>
  </si>
  <si>
    <t xml:space="preserve">ORD-5066</t>
  </si>
  <si>
    <t xml:space="preserve">2026-10-27T10:40:10.905812+00:00</t>
  </si>
  <si>
    <t xml:space="preserve">2026-10-27T10:40:10.907754+00:00</t>
  </si>
  <si>
    <t xml:space="preserve">2026-10-27T10:40:10.90808+00:00</t>
  </si>
  <si>
    <t xml:space="preserve">ORD-5067</t>
  </si>
  <si>
    <t xml:space="preserve">PNT-20W x 18 @ 38,000; ROD-12 x 65 @ 7,200</t>
  </si>
  <si>
    <t xml:space="preserve">2026-10-27T10:40:10.911752+00:00</t>
  </si>
  <si>
    <t xml:space="preserve">2026-10-27T10:40:10.913678+00:00</t>
  </si>
  <si>
    <t xml:space="preserve">2026-10-27T10:40:10.914001+00:00</t>
  </si>
  <si>
    <t xml:space="preserve">ORD-5068</t>
  </si>
  <si>
    <t xml:space="preserve">2026-10-27T10:40:10.917513+00:00</t>
  </si>
  <si>
    <t xml:space="preserve">2026-10-27T10:40:10.919243+00:00</t>
  </si>
  <si>
    <t xml:space="preserve">2026-10-27T10:40:10.91956+00:00</t>
  </si>
  <si>
    <t xml:space="preserve">ORD-5069</t>
  </si>
  <si>
    <t xml:space="preserve">PNT-20C x 10 @ 38,000; ROOF-AL x 72 @ 12,500; WIRE-25 x 1 @ 52,000</t>
  </si>
  <si>
    <t xml:space="preserve">2026-10-27T10:40:10.922545+00:00</t>
  </si>
  <si>
    <t xml:space="preserve">2026-10-27T10:40:10.924493+00:00</t>
  </si>
  <si>
    <t xml:space="preserve">2026-10-27T10:40:10.92483+00:00</t>
  </si>
  <si>
    <t xml:space="preserve">ORD-5070</t>
  </si>
  <si>
    <t xml:space="preserve">CEM-50 x 51 @ 9,500; ROD-16 x 42 @ 11,800</t>
  </si>
  <si>
    <t xml:space="preserve">2026-10-27T10:40:10.92836+00:00</t>
  </si>
  <si>
    <t xml:space="preserve">2026-10-27T10:40:10.930299+00:00</t>
  </si>
  <si>
    <t xml:space="preserve">2026-10-27T10:40:10.930629+00:00</t>
  </si>
  <si>
    <t xml:space="preserve">ORD-5071</t>
  </si>
  <si>
    <t xml:space="preserve">CEM-50 x 159 @ 9,500; ROD-16 x 73 @ 11,800; WIRE-25 x 3 @ 52,000</t>
  </si>
  <si>
    <t xml:space="preserve">Cement, 50 kg bag: price changed from 9500.00 to 10000.00. Save the order again to update it. | Cement, 50 kg bag: 159 is far above this customer's usual 49.</t>
  </si>
  <si>
    <t xml:space="preserve">2026-10-27T10:40:10.93431+00:00</t>
  </si>
  <si>
    <t xml:space="preserve">2026-10-27T10:40:10.936571+00:00</t>
  </si>
  <si>
    <t xml:space="preserve">2026-10-27T10:40:10.936874+00:00</t>
  </si>
  <si>
    <t xml:space="preserve">ORD-5072</t>
  </si>
  <si>
    <t xml:space="preserve">PNT-20W x 16 @ 38,000; ROOF-AL x 13 @ 12,500; TIL-6060 x 3 @ 14,500; WIRE-25 x 15 @ 52,000</t>
  </si>
  <si>
    <t xml:space="preserve">2026-10-27T10:40:10.940304+00:00</t>
  </si>
  <si>
    <t xml:space="preserve">2026-10-27T10:40:10.942411+00:00</t>
  </si>
  <si>
    <t xml:space="preserve">2026-10-27T10:40:10.942737+00:00</t>
  </si>
  <si>
    <t xml:space="preserve">ORD-5073</t>
  </si>
  <si>
    <t xml:space="preserve">NAIL-3 x 9 @ 31,000; PNT-20W x 20 @ 38,000; ROOF-AL x 73 @ 12,500</t>
  </si>
  <si>
    <t xml:space="preserve">2026-10-27T10:40:10.946388+00:00</t>
  </si>
  <si>
    <t xml:space="preserve">2026-10-27T10:40:10.94835+00:00</t>
  </si>
  <si>
    <t xml:space="preserve">2026-10-27T10:40:10.948698+00:00</t>
  </si>
  <si>
    <t xml:space="preserve">ORD-5074</t>
  </si>
  <si>
    <t xml:space="preserve">ROD-12 x 28 @ 7,200; XX-393 x None (not in the catalogue)</t>
  </si>
  <si>
    <t xml:space="preserve">Row 3: XX-393 - not in the catalogue</t>
  </si>
  <si>
    <t xml:space="preserve">2026-10-27T10:40:10.951961+00:00</t>
  </si>
  <si>
    <t xml:space="preserve">2026-10-27T10:40:10.953962+00:00</t>
  </si>
  <si>
    <t xml:space="preserve">2026-10-27T10:40:10.95431+00:00</t>
  </si>
  <si>
    <t xml:space="preserve">ORD-5075</t>
  </si>
  <si>
    <t xml:space="preserve">CEM-50 x 146 @ 9,500; NAIL-3 x 8 @ 31,000; SAND-T x 1 @ 185,000; WIRE-25 x 6 @ 52,000</t>
  </si>
  <si>
    <t xml:space="preserve">SAND-T is no longer sold. Remove it. | Sharp sand, 20 tonne trip is out of stock. | Cement, 50 kg bag: 146 is far above this customer's usual 32.</t>
  </si>
  <si>
    <t xml:space="preserve">2026-10-27T10:40:10.95762+00:00</t>
  </si>
  <si>
    <t xml:space="preserve">2026-10-27T10:40:10.959934+00:00</t>
  </si>
  <si>
    <t xml:space="preserve">2026-10-27T10:40:10.960279+00:00</t>
  </si>
  <si>
    <t xml:space="preserve">ORD-5076</t>
  </si>
  <si>
    <t xml:space="preserve">ROD-12 x 34 @ 7,200; TIL-6060 x 21 @ 14,500; WIRE-25 x 11 @ 52,000</t>
  </si>
  <si>
    <t xml:space="preserve">2026-10-27T10:40:10.96382+00:00</t>
  </si>
  <si>
    <t xml:space="preserve">2026-10-27T10:40:10.965847+00:00</t>
  </si>
  <si>
    <t xml:space="preserve">2026-10-27T10:40:10.966176+00:00</t>
  </si>
  <si>
    <t xml:space="preserve">ORD-5077</t>
  </si>
  <si>
    <t xml:space="preserve">PNT-20C x 9 @ 38,000; ROD-16 x 69 @ 11,800</t>
  </si>
  <si>
    <t xml:space="preserve">2026-10-27T10:40:10.970023+00:00</t>
  </si>
  <si>
    <t xml:space="preserve">2026-10-27T10:40:10.972058+00:00</t>
  </si>
  <si>
    <t xml:space="preserve">2026-10-27T10:40:10.972443+00:00</t>
  </si>
  <si>
    <t xml:space="preserve">ORD-5078</t>
  </si>
  <si>
    <t xml:space="preserve">2026-10-27T10:40:10.976147+00:00</t>
  </si>
  <si>
    <t xml:space="preserve">2026-10-27T10:40:10.978085+00:00</t>
  </si>
  <si>
    <t xml:space="preserve">2026-10-27T10:40:10.978458+00:00</t>
  </si>
  <si>
    <t xml:space="preserve">ORD-5079</t>
  </si>
  <si>
    <t xml:space="preserve">PNT-20W x 18 @ 38,000; TIL-6060 x 18 @ 14,500; WIRE-25 x 13 @ 52,000</t>
  </si>
  <si>
    <t xml:space="preserve">2026-10-27T10:40:10.982488+00:00</t>
  </si>
  <si>
    <t xml:space="preserve">2026-10-27T10:40:10.984557+00:00</t>
  </si>
  <si>
    <t xml:space="preserve">2026-10-27T10:40:10.984886+00:00</t>
  </si>
  <si>
    <t xml:space="preserve">ORD-5080</t>
  </si>
  <si>
    <t xml:space="preserve">NAIL-3 x 9 @ 31,000; PNT-20C x 11 @ 38,000; ROD-16 x 10 @ 11,800</t>
  </si>
  <si>
    <t xml:space="preserve">2026-10-27T10:40:10.988824+00:00</t>
  </si>
  <si>
    <t xml:space="preserve">2026-10-27T10:40:10.990874+00:00</t>
  </si>
  <si>
    <t xml:space="preserve">2026-10-27T10:40:10.991238+00:00</t>
  </si>
  <si>
    <t xml:space="preserve">ORD-5081</t>
  </si>
  <si>
    <t xml:space="preserve">PNT-20C x 8 @ 38,000; PNT-20W x 26 @ 38,000; ROD-16 x 13 @ 11,800</t>
  </si>
  <si>
    <t xml:space="preserve">2026-10-27T10:40:10.994991+00:00</t>
  </si>
  <si>
    <t xml:space="preserve">2026-10-27T10:40:10.996969+00:00</t>
  </si>
  <si>
    <t xml:space="preserve">2026-10-27T10:40:10.99736+00:00</t>
  </si>
  <si>
    <t xml:space="preserve">ORD-5082</t>
  </si>
  <si>
    <t xml:space="preserve">NAIL-3 x 6 @ 31,000; PVC-4 x 46 @ 8,600; WIRE-25 x 2 @ 52,000</t>
  </si>
  <si>
    <t xml:space="preserve">2026-10-27T10:40:11.001325+00:00</t>
  </si>
  <si>
    <t xml:space="preserve">2026-10-27T10:40:11.00354+00:00</t>
  </si>
  <si>
    <t xml:space="preserve">2026-10-27T10:40:11.003874+00:00</t>
  </si>
  <si>
    <t xml:space="preserve">ORD-5083</t>
  </si>
  <si>
    <t xml:space="preserve">2026-10-27T10:40:11.007787+00:00</t>
  </si>
  <si>
    <t xml:space="preserve">2026-10-27T10:40:11.009591+00:00</t>
  </si>
  <si>
    <t xml:space="preserve">2026-10-27T10:40:11.009918+00:00</t>
  </si>
  <si>
    <t xml:space="preserve">ORD-5084</t>
  </si>
  <si>
    <t xml:space="preserve">NAIL-3 x 9 @ 31,000; ROD-12 x 5 @ 7,200; TIL-6060 x 33 @ 14,500; WIRE-25 x 10 @ 52,000</t>
  </si>
  <si>
    <t xml:space="preserve">2026-10-27T10:40:11.013929+00:00</t>
  </si>
  <si>
    <t xml:space="preserve">2026-10-27T10:40:11.016086+00:00</t>
  </si>
  <si>
    <t xml:space="preserve">2026-10-27T10:40:11.01646+00:00</t>
  </si>
  <si>
    <t xml:space="preserve">ORD-5085</t>
  </si>
  <si>
    <t xml:space="preserve">TIL-6060 x 8 @ 14,500</t>
  </si>
  <si>
    <t xml:space="preserve">2026-10-27T10:40:11.020454+00:00</t>
  </si>
  <si>
    <t xml:space="preserve">2026-10-27T10:40:11.022305+00:00</t>
  </si>
  <si>
    <t xml:space="preserve">2026-10-27T10:40:11.022631+00:00</t>
  </si>
  <si>
    <t xml:space="preserve">ORD-5086</t>
  </si>
  <si>
    <t xml:space="preserve">ROD-16 x 34 @ 11,800; ROOF-AL x 37 @ 12,500</t>
  </si>
  <si>
    <t xml:space="preserve">2026-10-27T10:40:11.026014+00:00</t>
  </si>
  <si>
    <t xml:space="preserve">2026-10-27T10:40:11.027955+00:00</t>
  </si>
  <si>
    <t xml:space="preserve">2026-10-27T10:40:11.028444+00:00</t>
  </si>
  <si>
    <t xml:space="preserve">ORD-5087</t>
  </si>
  <si>
    <t xml:space="preserve">PNT-20W x 11 @ 38,000; TIL-6060 x 5 @ 14,500</t>
  </si>
  <si>
    <t xml:space="preserve">2026-10-27T10:40:11.032014+00:00</t>
  </si>
  <si>
    <t xml:space="preserve">2026-10-27T10:40:11.034034+00:00</t>
  </si>
  <si>
    <t xml:space="preserve">2026-10-27T10:40:11.034388+00:00</t>
  </si>
  <si>
    <t xml:space="preserve">ORD-5088</t>
  </si>
  <si>
    <t xml:space="preserve">PNT-20W x 12 @ 38,000; ROOF-AL x 34 @ 12,500; XX-470 x None (not in the catalogue)</t>
  </si>
  <si>
    <t xml:space="preserve">Row 4: XX-470 - not in the catalogue</t>
  </si>
  <si>
    <t xml:space="preserve">2026-10-27T10:40:11.038043+00:00</t>
  </si>
  <si>
    <t xml:space="preserve">2026-10-27T10:40:11.040084+00:00</t>
  </si>
  <si>
    <t xml:space="preserve">2026-10-27T10:40:11.040438+00:00</t>
  </si>
  <si>
    <t xml:space="preserve">ORD-5089</t>
  </si>
  <si>
    <t xml:space="preserve">2026-10-27T10:40:11.044051+00:00</t>
  </si>
  <si>
    <t xml:space="preserve">2026-10-27T10:40:11.045942+00:00</t>
  </si>
  <si>
    <t xml:space="preserve">2026-10-27T10:40:11.046308+00:00</t>
  </si>
  <si>
    <t xml:space="preserve">ORD-5090</t>
  </si>
  <si>
    <t xml:space="preserve">PNT-20W x 22 @ 38,000; ROD-12 x 4 @ 7,200</t>
  </si>
  <si>
    <t xml:space="preserve">2026-10-27T10:40:11.050172+00:00</t>
  </si>
  <si>
    <t xml:space="preserve">2026-10-27T10:40:11.052142+00:00</t>
  </si>
  <si>
    <t xml:space="preserve">2026-10-27T10:40:11.052511+00:00</t>
  </si>
  <si>
    <t xml:space="preserve">ORD-5091</t>
  </si>
  <si>
    <t xml:space="preserve">2026-10-27T10:40:11.056114+00:00</t>
  </si>
  <si>
    <t xml:space="preserve">2026-10-27T10:40:11.058056+00:00</t>
  </si>
  <si>
    <t xml:space="preserve">2026-10-27T10:40:11.058515+00:00</t>
  </si>
  <si>
    <t xml:space="preserve">ORD-5092</t>
  </si>
  <si>
    <t xml:space="preserve">PVC-4 x 251 @ 8,600; ROD-12 x 39 @ 7,200; ROD-16 x 50 @ 11,800; TIL-6060 x 63 @ 14,500</t>
  </si>
  <si>
    <t xml:space="preserve">2026-10-27T10:40:11.062306+00:00</t>
  </si>
  <si>
    <t xml:space="preserve">2026-10-27T10:40:11.064583+00:00</t>
  </si>
  <si>
    <t xml:space="preserve">2026-10-27T10:40:11.064883+00:00</t>
  </si>
  <si>
    <t xml:space="preserve">ORD-5093</t>
  </si>
  <si>
    <t xml:space="preserve">PNT-20C x 9 @ 38,000; SAND-T x 1 @ 185,000; TIL-6060 x 13 @ 14,500</t>
  </si>
  <si>
    <t xml:space="preserve">2026-10-27T10:40:11.068525+00:00</t>
  </si>
  <si>
    <t xml:space="preserve">2026-10-27T10:40:11.07073+00:00</t>
  </si>
  <si>
    <t xml:space="preserve">2026-10-27T10:40:11.071045+00:00</t>
  </si>
  <si>
    <t xml:space="preserve">ORD-5094</t>
  </si>
  <si>
    <t xml:space="preserve">2026-10-27T10:40:11.074747+00:00</t>
  </si>
  <si>
    <t xml:space="preserve">2026-10-27T10:40:11.07649+00:00</t>
  </si>
  <si>
    <t xml:space="preserve">2026-10-27T10:40:11.076805+00:00</t>
  </si>
  <si>
    <t xml:space="preserve">ORD-5095</t>
  </si>
  <si>
    <t xml:space="preserve">CEM-50 x 111 @ 9,500</t>
  </si>
  <si>
    <t xml:space="preserve">Cement, 50 kg bag: 111 is far above this customer's usual 30.</t>
  </si>
  <si>
    <t xml:space="preserve">2026-10-27T10:40:11.080789+00:00</t>
  </si>
  <si>
    <t xml:space="preserve">2026-10-27T10:40:11.082651+00:00</t>
  </si>
  <si>
    <t xml:space="preserve">2026-10-27T10:40:11.082982+00:00</t>
  </si>
  <si>
    <t xml:space="preserve">ORD-5096</t>
  </si>
  <si>
    <t xml:space="preserve">PNT-20C x 10 @ 38,000; TIL-6060 x 54 @ 14,500</t>
  </si>
  <si>
    <t xml:space="preserve">2026-10-27T10:40:11.08694+00:00</t>
  </si>
  <si>
    <t xml:space="preserve">2026-10-27T10:40:11.088844+00:00</t>
  </si>
  <si>
    <t xml:space="preserve">2026-10-27T10:40:11.089189+00:00</t>
  </si>
  <si>
    <t xml:space="preserve">ORD-5097</t>
  </si>
  <si>
    <t xml:space="preserve">PVC-2 x 1 @ 4,100; PVC-4 x 24 @ 8,600; TIL-6060 x 80 @ 14,500</t>
  </si>
  <si>
    <t xml:space="preserve">2026-10-27T10:40:11.093353+00:00</t>
  </si>
  <si>
    <t xml:space="preserve">2026-10-27T10:40:11.095297+00:00</t>
  </si>
  <si>
    <t xml:space="preserve">2026-10-27T10:40:11.095619+00:00</t>
  </si>
  <si>
    <t xml:space="preserve">ORD-5098</t>
  </si>
  <si>
    <t xml:space="preserve">CEM-50 x 270 @ 9,500; NAIL-3 x 12 @ 31,000; ROD-16 x 34 @ 11,800</t>
  </si>
  <si>
    <t xml:space="preserve">2026-10-27T10:40:11.099348+00:00</t>
  </si>
  <si>
    <t xml:space="preserve">2026-10-27T10:40:11.101471+00:00</t>
  </si>
  <si>
    <t xml:space="preserve">2026-10-27T10:40:11.101806+00:00</t>
  </si>
  <si>
    <t xml:space="preserve">ORD-5099</t>
  </si>
  <si>
    <t xml:space="preserve">NAIL-3 x 4 @ 31,000; PNT-20C x 5 @ 38,000; SAND-T x 1 @ 185,000</t>
  </si>
  <si>
    <t xml:space="preserve">2026-10-27T10:40:11.105919+00:00</t>
  </si>
  <si>
    <t xml:space="preserve">2026-10-27T10:40:11.108077+00:00</t>
  </si>
  <si>
    <t xml:space="preserve">2026-10-27T10:40:11.108426+00:00</t>
  </si>
  <si>
    <t xml:space="preserve">ORD-5100</t>
  </si>
  <si>
    <t xml:space="preserve">CEM-50 x 9 @ 9,500; PVC-2 x 2 @ 4,100; ROD-12 x 103 @ 7,200; TIL-6060 x 4 @ 14,500</t>
  </si>
  <si>
    <t xml:space="preserve">Cement, 50 kg bag: quantity must be between 10 and 2000. | Iron rod, 12 mm: 103 is far above this customer's usual 13.</t>
  </si>
  <si>
    <t xml:space="preserve">2026-10-27T10:40:11.11236+00:00</t>
  </si>
  <si>
    <t xml:space="preserve">2026-10-27T10:40:11.114667+00:00</t>
  </si>
  <si>
    <t xml:space="preserve">2026-10-27T10:40:11.114975+00:00</t>
  </si>
  <si>
    <t xml:space="preserve">ORD-5101</t>
  </si>
  <si>
    <t xml:space="preserve">CEM-50 x 38 @ 9,500; PNT-20C x 5 @ 38,000; ROD-16 x 56 @ 11,800</t>
  </si>
  <si>
    <t xml:space="preserve">2026-10-27T10:40:11.118722+00:00</t>
  </si>
  <si>
    <t xml:space="preserve">2026-10-27T10:40:11.12078+00:00</t>
  </si>
  <si>
    <t xml:space="preserve">2026-10-27T10:40:11.121319+00:00</t>
  </si>
  <si>
    <t xml:space="preserve">ORD-5102</t>
  </si>
  <si>
    <t xml:space="preserve">PNT-20W x 4 @ 38,000; PVC-2 x 2 @ 4,100; PVC-4 x 26 @ 8,600</t>
  </si>
  <si>
    <t xml:space="preserve">2026-10-27T10:40:11.125524+00:00</t>
  </si>
  <si>
    <t xml:space="preserve">2026-10-27T10:40:11.1277+00:00</t>
  </si>
  <si>
    <t xml:space="preserve">2026-10-27T10:40:11.128008+00:00</t>
  </si>
  <si>
    <t xml:space="preserve">ORD-5103</t>
  </si>
  <si>
    <t xml:space="preserve">PNT-20W x 9 @ 38,000; SAND-T x 1 @ 185,000; WIRE-25 x 13 @ 52,000</t>
  </si>
  <si>
    <t xml:space="preserve">2026-10-27T10:40:11.132096+00:00</t>
  </si>
  <si>
    <t xml:space="preserve">2026-10-27T10:40:11.134287+00:00</t>
  </si>
  <si>
    <t xml:space="preserve">2026-10-27T10:40:11.134621+00:00</t>
  </si>
  <si>
    <t xml:space="preserve">ORD-5104</t>
  </si>
  <si>
    <t xml:space="preserve">PNT-20C x 8 @ 38,000; XX-891 x None (not in the catalogue)</t>
  </si>
  <si>
    <t xml:space="preserve">Row 3: XX-891 - not in the catalogue</t>
  </si>
  <si>
    <t xml:space="preserve">2026-10-27T10:40:11.138399+00:00</t>
  </si>
  <si>
    <t xml:space="preserve">2026-10-27T10:40:11.14016+00:00</t>
  </si>
  <si>
    <t xml:space="preserve">2026-10-27T10:40:11.140568+00:00</t>
  </si>
  <si>
    <t xml:space="preserve">ORD-5105</t>
  </si>
  <si>
    <t xml:space="preserve">ROD-16 x 30 @ 11,800</t>
  </si>
  <si>
    <t xml:space="preserve">2026-10-27T10:40:11.144216+00:00</t>
  </si>
  <si>
    <t xml:space="preserve">2026-10-27T10:40:11.14603+00:00</t>
  </si>
  <si>
    <t xml:space="preserve">2026-10-27T10:40:11.146395+00:00</t>
  </si>
  <si>
    <t xml:space="preserve">ORD-5106</t>
  </si>
  <si>
    <t xml:space="preserve">CEM-50 x 136 @ 9,500; SAND-T x 1 @ 185,000; WIRE-25 x 11 @ 52,000</t>
  </si>
  <si>
    <t xml:space="preserve">2026-10-27T10:40:11.150905+00:00</t>
  </si>
  <si>
    <t xml:space="preserve">2026-10-27T10:40:11.153168+00:00</t>
  </si>
  <si>
    <t xml:space="preserve">2026-10-27T10:40:11.153677+00:00</t>
  </si>
  <si>
    <t xml:space="preserve">ORD-5107</t>
  </si>
  <si>
    <t xml:space="preserve">PNT-20W x 7 @ 38,000; PVC-4 x 6 @ 8,600; ROD-12 x 113 @ 7,200</t>
  </si>
  <si>
    <t xml:space="preserve">Iron rod, 12 mm: 113 is far above this customer's usual 21.</t>
  </si>
  <si>
    <t xml:space="preserve">2026-10-27T10:40:11.157576+00:00</t>
  </si>
  <si>
    <t xml:space="preserve">2026-10-27T10:40:11.159696+00:00</t>
  </si>
  <si>
    <t xml:space="preserve">2026-10-27T10:40:11.160127+00:00</t>
  </si>
  <si>
    <t xml:space="preserve">ORD-5108</t>
  </si>
  <si>
    <t xml:space="preserve">NAIL-3 x 1 @ 31,000; PNT-20C x 7 @ 38,000; ROD-12 x 99 @ 7,200</t>
  </si>
  <si>
    <t xml:space="preserve">Iron rod, 12 mm: 99 is far above this customer's usual 32.</t>
  </si>
  <si>
    <t xml:space="preserve">2026-10-27T10:40:11.16357+00:00</t>
  </si>
  <si>
    <t xml:space="preserve">2026-10-27T10:40:11.165719+00:00</t>
  </si>
  <si>
    <t xml:space="preserve">2026-10-27T10:40:11.166053+00:00</t>
  </si>
  <si>
    <t xml:space="preserve">ORD-5109</t>
  </si>
  <si>
    <t xml:space="preserve">PNT-20C x 7 @ 38,000; ROOF-AL x 16 @ 12,500; TIL-6060 x 42 @ 14,500</t>
  </si>
  <si>
    <t xml:space="preserve">2026-10-27T10:40:11.17068+00:00</t>
  </si>
  <si>
    <t xml:space="preserve">2026-10-27T10:40:11.172724+00:00</t>
  </si>
  <si>
    <t xml:space="preserve">2026-10-27T10:40:11.173043+00:00</t>
  </si>
  <si>
    <t xml:space="preserve">ORD-5110</t>
  </si>
  <si>
    <t xml:space="preserve">CEM-50 x 160 @ 9,500</t>
  </si>
  <si>
    <t xml:space="preserve">2026-10-27T10:40:11.177158+00:00</t>
  </si>
  <si>
    <t xml:space="preserve">2026-10-27T10:40:11.179066+00:00</t>
  </si>
  <si>
    <t xml:space="preserve">2026-10-27T10:40:11.179451+00:00</t>
  </si>
  <si>
    <t xml:space="preserve">ORD-5111</t>
  </si>
  <si>
    <t xml:space="preserve">2026-10-27T10:40:11.18388+00:00</t>
  </si>
  <si>
    <t xml:space="preserve">2026-10-27T10:40:11.185853+00:00</t>
  </si>
  <si>
    <t xml:space="preserve">2026-10-27T10:40:11.186381+00:00</t>
  </si>
  <si>
    <t xml:space="preserve">ORD-5112</t>
  </si>
  <si>
    <t xml:space="preserve">ROD-12 x 54 @ 7,200</t>
  </si>
  <si>
    <t xml:space="preserve">2026-10-27T10:40:11.191076+00:00</t>
  </si>
  <si>
    <t xml:space="preserve">2026-10-27T10:40:11.193246+00:00</t>
  </si>
  <si>
    <t xml:space="preserve">2026-10-27T10:40:11.193582+00:00</t>
  </si>
  <si>
    <t xml:space="preserve">ORD-5113</t>
  </si>
  <si>
    <t xml:space="preserve">CEM-50 x 21 @ 9,500</t>
  </si>
  <si>
    <t xml:space="preserve">2026-10-27T10:40:11.197722+00:00</t>
  </si>
  <si>
    <t xml:space="preserve">2026-10-27T10:40:11.199578+00:00</t>
  </si>
  <si>
    <t xml:space="preserve">2026-10-27T10:40:11.19991+00:00</t>
  </si>
  <si>
    <t xml:space="preserve">ORD-5114</t>
  </si>
  <si>
    <t xml:space="preserve">PVC-4 x 11 @ 8,600; XX-717 x None (not in the catalogue)</t>
  </si>
  <si>
    <t xml:space="preserve">Row 3: XX-717 - not in the catalogue</t>
  </si>
  <si>
    <t xml:space="preserve">2026-10-27T10:40:11.204382+00:00</t>
  </si>
  <si>
    <t xml:space="preserve">2026-10-27T10:40:11.206299+00:00</t>
  </si>
  <si>
    <t xml:space="preserve">2026-10-27T10:40:11.206629+00:00</t>
  </si>
  <si>
    <t xml:space="preserve">ORD-5115</t>
  </si>
  <si>
    <t xml:space="preserve">PVC-4 x 23 @ 8,600; ROD-12 x 5.5 (Quantity must be a whole number)</t>
  </si>
  <si>
    <t xml:space="preserve">2026-10-27T10:40:11.210813+00:00</t>
  </si>
  <si>
    <t xml:space="preserve">2026-10-27T10:40:11.212781+00:00</t>
  </si>
  <si>
    <t xml:space="preserve">2026-10-27T10:40:11.213173+00:00</t>
  </si>
  <si>
    <t xml:space="preserve">ORD-5116</t>
  </si>
  <si>
    <t xml:space="preserve">PVC-4 x 7 @ 8,600; ROD-12 x 71 @ 7,200</t>
  </si>
  <si>
    <t xml:space="preserve">2026-10-27T10:40:11.217317+00:00</t>
  </si>
  <si>
    <t xml:space="preserve">2026-10-27T10:40:11.219355+00:00</t>
  </si>
  <si>
    <t xml:space="preserve">2026-10-27T10:40:11.219679+00:00</t>
  </si>
  <si>
    <t xml:space="preserve">ORD-5117</t>
  </si>
  <si>
    <t xml:space="preserve">2026-10-27T10:40:11.223648+00:00</t>
  </si>
  <si>
    <t xml:space="preserve">2026-10-27T10:40:11.225629+00:00</t>
  </si>
  <si>
    <t xml:space="preserve">2026-10-27T10:40:11.225943+00:00</t>
  </si>
  <si>
    <t xml:space="preserve">ORD-5118</t>
  </si>
  <si>
    <t xml:space="preserve">ROD-16 x 29 @ 11,800; PVC-2 x 2.5 (Quantity must be a whole number)</t>
  </si>
  <si>
    <t xml:space="preserve">2026-10-27T10:40:11.23012+00:00</t>
  </si>
  <si>
    <t xml:space="preserve">2026-10-27T10:40:11.232129+00:00</t>
  </si>
  <si>
    <t xml:space="preserve">2026-10-27T10:40:11.232488+00:00</t>
  </si>
  <si>
    <t xml:space="preserve">ORD-5119</t>
  </si>
  <si>
    <t xml:space="preserve">ROD-16 x 6 @ 11,800</t>
  </si>
  <si>
    <t xml:space="preserve">2026-10-27T10:40:11.236557+00:00</t>
  </si>
  <si>
    <t xml:space="preserve">2026-10-27T10:40:11.238326+00:00</t>
  </si>
  <si>
    <t xml:space="preserve">2026-10-27T10:40:11.238668+00:00</t>
  </si>
  <si>
    <t xml:space="preserve">ORD-5120</t>
  </si>
  <si>
    <t xml:space="preserve">PNT-20W x 9 @ 38,000; ROD-12 x 140 @ 7,200; ROOF-AL x 19 @ 12,500</t>
  </si>
  <si>
    <t xml:space="preserve">Iron rod, 12 mm: 140 is far above this customer's usual 30.</t>
  </si>
  <si>
    <t xml:space="preserve">2026-10-27T10:40:11.243133+00:00</t>
  </si>
  <si>
    <t xml:space="preserve">2026-10-27T10:40:11.24593+00:00</t>
  </si>
  <si>
    <t xml:space="preserve">2026-10-27T10:40:11.246346+00:00</t>
  </si>
  <si>
    <t xml:space="preserve">ORD-5121</t>
  </si>
  <si>
    <t xml:space="preserve">NAIL-3 x 9 @ 31,000; PVC-2 x 2 @ 4,100; WIRE-25 x 16 @ 52,000</t>
  </si>
  <si>
    <t xml:space="preserve">2026-10-27T10:40:11.250953+00:00</t>
  </si>
  <si>
    <t xml:space="preserve">2026-10-27T10:40:11.252961+00:00</t>
  </si>
  <si>
    <t xml:space="preserve">2026-10-27T10:40:11.253356+00:00</t>
  </si>
  <si>
    <t xml:space="preserve">ORD-5122</t>
  </si>
  <si>
    <t xml:space="preserve">CEM-50 x 40 @ 9,500; NAIL-3 x 1 @ 31,000</t>
  </si>
  <si>
    <t xml:space="preserve">2026-10-27T10:40:11.25789+00:00</t>
  </si>
  <si>
    <t xml:space="preserve">2026-10-27T10:40:11.259802+00:00</t>
  </si>
  <si>
    <t xml:space="preserve">2026-10-27T10:40:11.260136+00:00</t>
  </si>
  <si>
    <t xml:space="preserve">ORD-5123</t>
  </si>
  <si>
    <t xml:space="preserve">NAIL-3 x 4 @ 31,000; PVC-4 x 32 @ 8,600; ROOF-AL x 10.5 (Quantity must be a whole number)</t>
  </si>
  <si>
    <t xml:space="preserve">2026-10-27T10:40:11.264807+00:00</t>
  </si>
  <si>
    <t xml:space="preserve">2026-10-27T10:40:11.266983+00:00</t>
  </si>
  <si>
    <t xml:space="preserve">2026-10-27T10:40:11.26734+00:00</t>
  </si>
  <si>
    <t xml:space="preserve">ORD-5124</t>
  </si>
  <si>
    <t xml:space="preserve">2026-10-27T10:40:11.271794+00:00</t>
  </si>
  <si>
    <t xml:space="preserve">2026-10-27T10:40:11.273754+00:00</t>
  </si>
  <si>
    <t xml:space="preserve">2026-10-27T10:40:11.274278+00:00</t>
  </si>
  <si>
    <t xml:space="preserve">ORD-5125</t>
  </si>
  <si>
    <t xml:space="preserve">NAIL-3 x 2 @ 31,000; PNT-20C x 5 @ 38,000; TIL-6060 x 80 @ 14,500; XX-100 x None (not in the catalogue)</t>
  </si>
  <si>
    <t xml:space="preserve">Row 5: XX-100 - not in the catalogue</t>
  </si>
  <si>
    <t xml:space="preserve">2026-10-27T10:40:11.279239+00:00</t>
  </si>
  <si>
    <t xml:space="preserve">2026-10-27T10:40:11.281545+00:00</t>
  </si>
  <si>
    <t xml:space="preserve">2026-10-27T10:40:11.281873+00:00</t>
  </si>
  <si>
    <t xml:space="preserve">ORD-5126</t>
  </si>
  <si>
    <t xml:space="preserve">CEM-50 x 160 @ 9,500; WIRE-25 x 2 @ 52,000</t>
  </si>
  <si>
    <t xml:space="preserve">2026-10-27T10:40:11.286375+00:00</t>
  </si>
  <si>
    <t xml:space="preserve">2026-10-27T10:40:11.288443+00:00</t>
  </si>
  <si>
    <t xml:space="preserve">2026-10-27T10:40:11.288785+00:00</t>
  </si>
  <si>
    <t xml:space="preserve">ORD-5127</t>
  </si>
  <si>
    <t xml:space="preserve">ROD-12 x 66 @ 7,200; ROOF-AL x 10.5 (Quantity must be a whole number)</t>
  </si>
  <si>
    <t xml:space="preserve">2026-10-27T10:40:11.293904+00:00</t>
  </si>
  <si>
    <t xml:space="preserve">2026-10-27T10:40:11.295968+00:00</t>
  </si>
  <si>
    <t xml:space="preserve">2026-10-27T10:40:11.296513+00:00</t>
  </si>
  <si>
    <t xml:space="preserve">ORD-5128</t>
  </si>
  <si>
    <t xml:space="preserve">CEM-50 x 11 @ 9,500; NAIL-3 x 9 @ 31,000; PVC-4 x 25 @ 8,600</t>
  </si>
  <si>
    <t xml:space="preserve">2026-10-27T10:40:11.301111+00:00</t>
  </si>
  <si>
    <t xml:space="preserve">2026-10-27T10:40:11.303361+00:00</t>
  </si>
  <si>
    <t xml:space="preserve">2026-10-27T10:40:11.303702+00:00</t>
  </si>
  <si>
    <t xml:space="preserve">ORD-5129</t>
  </si>
  <si>
    <t xml:space="preserve">CEM-50 x 184 @ 9,500; PVC-4 x 19 @ 8,600</t>
  </si>
  <si>
    <t xml:space="preserve">2026-10-27T10:40:11.308443+00:00</t>
  </si>
  <si>
    <t xml:space="preserve">2026-10-27T10:40:11.310499+00:00</t>
  </si>
  <si>
    <t xml:space="preserve">2026-10-27T10:40:11.310905+00:00</t>
  </si>
  <si>
    <t xml:space="preserve">ORD-5130</t>
  </si>
  <si>
    <t xml:space="preserve">PVC-2 x 2 @ 4,100; ROD-16 x 55 @ 11,800; ROOF-AL x 20 @ 12,500</t>
  </si>
  <si>
    <t xml:space="preserve">2026-10-27T10:40:11.315957+00:00</t>
  </si>
  <si>
    <t xml:space="preserve">2026-10-27T10:40:11.31813+00:00</t>
  </si>
  <si>
    <t xml:space="preserve">2026-10-27T10:40:11.318522+00:00</t>
  </si>
  <si>
    <t xml:space="preserve">ORD-5131</t>
  </si>
  <si>
    <t xml:space="preserve">NAIL-3 x 10 @ 31,000; ROD-16 x 26 @ 11,800</t>
  </si>
  <si>
    <t xml:space="preserve">2026-10-27T10:40:11.323437+00:00</t>
  </si>
  <si>
    <t xml:space="preserve">2026-10-27T10:40:11.325404+00:00</t>
  </si>
  <si>
    <t xml:space="preserve">2026-10-27T10:40:11.325788+00:00</t>
  </si>
  <si>
    <t xml:space="preserve">ORD-5132</t>
  </si>
  <si>
    <t xml:space="preserve">NAIL-3 x 9 @ 31,000</t>
  </si>
  <si>
    <t xml:space="preserve">2026-10-27T10:40:11.330621+00:00</t>
  </si>
  <si>
    <t xml:space="preserve">2026-10-27T10:40:11.332725+00:00</t>
  </si>
  <si>
    <t xml:space="preserve">2026-10-27T10:40:11.333041+00:00</t>
  </si>
  <si>
    <t xml:space="preserve">ORD-5133</t>
  </si>
  <si>
    <t xml:space="preserve">CEM-50 x 113 @ 9,500; ROD-12 x 150 @ 7,200</t>
  </si>
  <si>
    <t xml:space="preserve">Iron rod, 12 mm: 150 is far above this customer's usual 32. | Cement, 50 kg bag: 113 is far above this customer's usual 23.</t>
  </si>
  <si>
    <t xml:space="preserve">2026-10-27T10:40:11.337447+00:00</t>
  </si>
  <si>
    <t xml:space="preserve">2026-10-27T10:40:11.339602+00:00</t>
  </si>
  <si>
    <t xml:space="preserve">2026-10-27T10:40:11.339935+00:00</t>
  </si>
  <si>
    <t xml:space="preserve">ORD-5134</t>
  </si>
  <si>
    <t xml:space="preserve">ROD-16 x 4 @ 11,800; WIRE-25 x 3 @ 52,000</t>
  </si>
  <si>
    <t xml:space="preserve">2026-10-27T10:40:11.344749+00:00</t>
  </si>
  <si>
    <t xml:space="preserve">2026-10-27T10:40:11.346792+00:00</t>
  </si>
  <si>
    <t xml:space="preserve">2026-10-27T10:40:11.347115+00:00</t>
  </si>
  <si>
    <t xml:space="preserve">ORD-5135</t>
  </si>
  <si>
    <t xml:space="preserve">PVC-2 x 2 @ 4,100; ROOF-AL x 17 @ 12,500; WIRE-25 x 11 @ 52,000</t>
  </si>
  <si>
    <t xml:space="preserve">2026-10-27T10:40:11.351584+00:00</t>
  </si>
  <si>
    <t xml:space="preserve">2026-10-27T10:40:11.354408+00:00</t>
  </si>
  <si>
    <t xml:space="preserve">2026-10-27T10:40:11.354725+00:00</t>
  </si>
  <si>
    <t xml:space="preserve">ORD-5136</t>
  </si>
  <si>
    <t xml:space="preserve">PNT-20C x 8 @ 38,000; ROD-16 x 36 @ 11,800; XX-942 x None (not in the catalogue)</t>
  </si>
  <si>
    <t xml:space="preserve">Row 4: XX-942 - not in the catalogue</t>
  </si>
  <si>
    <t xml:space="preserve">2026-10-27T10:40:11.359004+00:00</t>
  </si>
  <si>
    <t xml:space="preserve">2026-10-27T10:40:11.36113+00:00</t>
  </si>
  <si>
    <t xml:space="preserve">2026-10-27T10:40:11.36149+00:00</t>
  </si>
  <si>
    <t xml:space="preserve">ORD-5137</t>
  </si>
  <si>
    <t xml:space="preserve">PNT-20W x 8 @ 38,000</t>
  </si>
  <si>
    <t xml:space="preserve">2026-10-27T10:40:11.365835+00:00</t>
  </si>
  <si>
    <t xml:space="preserve">2026-10-27T10:40:11.367904+00:00</t>
  </si>
  <si>
    <t xml:space="preserve">2026-10-27T10:40:11.368252+00:00</t>
  </si>
  <si>
    <t xml:space="preserve">ORD-5138</t>
  </si>
  <si>
    <t xml:space="preserve">2026-10-27T10:40:11.372634+00:00</t>
  </si>
  <si>
    <t xml:space="preserve">2026-10-27T10:40:11.37452+00:00</t>
  </si>
  <si>
    <t xml:space="preserve">2026-10-27T10:40:11.374834+00:00</t>
  </si>
  <si>
    <t xml:space="preserve">ORD-5139</t>
  </si>
  <si>
    <t xml:space="preserve">CEM-50 x 163 @ 9,500; PNT-20C x 10 @ 38,000; ROD-12 x 61 @ 7,200</t>
  </si>
  <si>
    <t xml:space="preserve">Cement, 50 kg bag: 163 is far above this customer's usual 23.</t>
  </si>
  <si>
    <t xml:space="preserve">2026-10-27T10:40:11.379111+00:00</t>
  </si>
  <si>
    <t xml:space="preserve">2026-10-27T10:40:11.381247+00:00</t>
  </si>
  <si>
    <t xml:space="preserve">2026-10-27T10:40:11.381595+00:00</t>
  </si>
  <si>
    <t xml:space="preserve">ORD-5140</t>
  </si>
  <si>
    <t xml:space="preserve">2026-10-27T10:40:11.386466+00:00</t>
  </si>
  <si>
    <t xml:space="preserve">2026-10-27T10:40:11.388383+00:00</t>
  </si>
  <si>
    <t xml:space="preserve">2026-10-27T10:40:11.388717+00:00</t>
  </si>
  <si>
    <t xml:space="preserve">ORD-5141</t>
  </si>
  <si>
    <t xml:space="preserve">ROD-16 x 50 @ 11,800</t>
  </si>
  <si>
    <t xml:space="preserve">2026-10-27T10:40:11.393431+00:00</t>
  </si>
  <si>
    <t xml:space="preserve">2026-10-27T10:40:11.395222+00:00</t>
  </si>
  <si>
    <t xml:space="preserve">2026-10-27T10:40:11.395576+00:00</t>
  </si>
  <si>
    <t xml:space="preserve">ORD-5142</t>
  </si>
  <si>
    <t xml:space="preserve">CEM-50 x 110 @ 9,500; ROD-16 x 14 @ 11,800; ROOF-AL x 48 @ 12,500</t>
  </si>
  <si>
    <t xml:space="preserve">Cement, 50 kg bag: 110 is far above this customer's usual 23.</t>
  </si>
  <si>
    <t xml:space="preserve">2026-10-27T10:40:11.400222+00:00</t>
  </si>
  <si>
    <t xml:space="preserve">2026-10-27T10:40:11.402264+00:00</t>
  </si>
  <si>
    <t xml:space="preserve">2026-10-27T10:40:11.402603+00:00</t>
  </si>
  <si>
    <t xml:space="preserve">ORD-5143</t>
  </si>
  <si>
    <t xml:space="preserve">NAIL-3 x 13 @ 31,000; ROD-12 x 32 @ 7,200</t>
  </si>
  <si>
    <t xml:space="preserve">2026-10-27T10:40:11.407477+00:00</t>
  </si>
  <si>
    <t xml:space="preserve">2026-10-27T10:40:11.409555+00:00</t>
  </si>
  <si>
    <t xml:space="preserve">2026-10-27T10:40:11.409887+00:00</t>
  </si>
  <si>
    <t xml:space="preserve">ORD-5144</t>
  </si>
  <si>
    <t xml:space="preserve">PVC-2 x 4 @ 4,100; WIRE-25 x 11 @ 52,000</t>
  </si>
  <si>
    <t xml:space="preserve">2026-10-27T10:40:11.414805+00:00</t>
  </si>
  <si>
    <t xml:space="preserve">2026-10-27T10:40:11.416779+00:00</t>
  </si>
  <si>
    <t xml:space="preserve">2026-10-27T10:40:11.417289+00:00</t>
  </si>
  <si>
    <t xml:space="preserve">ORD-5145</t>
  </si>
  <si>
    <t xml:space="preserve">This looks like a repeat of ORD-5143. Confirm it is a new order.</t>
  </si>
  <si>
    <t xml:space="preserve">2026-10-27T10:40:11.421977+00:00</t>
  </si>
  <si>
    <t xml:space="preserve">ORD-5146</t>
  </si>
  <si>
    <t xml:space="preserve">NAIL-3 x 5 @ 31,000; ROD-16 x 48 @ 11,800; TIL-6060 x 88 @ 14,500</t>
  </si>
  <si>
    <t xml:space="preserve">2026-10-27T10:40:11.428183+00:00</t>
  </si>
  <si>
    <t xml:space="preserve">2026-10-27T10:40:11.430355+00:00</t>
  </si>
  <si>
    <t xml:space="preserve">2026-10-27T10:40:11.430723+00:00</t>
  </si>
  <si>
    <t xml:space="preserve">ORD-5147</t>
  </si>
  <si>
    <t xml:space="preserve">CEM-50 x 51 @ 9,500; PNT-20C x 6 @ 38,000; ROD-16 x 33 @ 11,800</t>
  </si>
  <si>
    <t xml:space="preserve">2026-10-27T10:40:11.435678+00:00</t>
  </si>
  <si>
    <t xml:space="preserve">2026-10-27T10:40:11.437757+00:00</t>
  </si>
  <si>
    <t xml:space="preserve">2026-10-27T10:40:11.438255+00:00</t>
  </si>
  <si>
    <t xml:space="preserve">ORD-5148</t>
  </si>
  <si>
    <t xml:space="preserve">This looks like a repeat of ORD-5146. Confirm it is a new order.</t>
  </si>
  <si>
    <t xml:space="preserve">2026-10-27T10:40:11.442682+00:00</t>
  </si>
  <si>
    <t xml:space="preserve">ORD-5149</t>
  </si>
  <si>
    <t xml:space="preserve">CEM-50 x 169 @ 9,500; PNT-20C x 3 @ 38,000; ROD-16 x 64 @ 11,800</t>
  </si>
  <si>
    <t xml:space="preserve">Cement, 50 kg bag: 169 is far above this customer's usual 28.</t>
  </si>
  <si>
    <t xml:space="preserve">2026-10-27T10:40:11.449097+00:00</t>
  </si>
  <si>
    <t xml:space="preserve">2026-10-27T10:40:11.451431+00:00</t>
  </si>
  <si>
    <t xml:space="preserve">2026-10-27T10:40:11.451779+00:00</t>
  </si>
  <si>
    <t xml:space="preserve">ORD-5150</t>
  </si>
  <si>
    <t xml:space="preserve">CEM-50 x 114 @ 9,500</t>
  </si>
  <si>
    <t xml:space="preserve">2026-10-27T10:40:11.456772+00:00</t>
  </si>
  <si>
    <t xml:space="preserve">2026-10-27T10:40:11.458783+00:00</t>
  </si>
  <si>
    <t xml:space="preserve">2026-10-27T10:40:11.459098+00:00</t>
  </si>
  <si>
    <t xml:space="preserve">ORD-5151</t>
  </si>
  <si>
    <t xml:space="preserve">PVC-2 x 2 @ 4,100; ROD-16 x 23 @ 11,800</t>
  </si>
  <si>
    <t xml:space="preserve">2026-10-27T10:40:11.46364+00:00</t>
  </si>
  <si>
    <t xml:space="preserve">2026-10-27T10:40:11.465774+00:00</t>
  </si>
  <si>
    <t xml:space="preserve">2026-10-27T10:40:11.46611+00:00</t>
  </si>
  <si>
    <t xml:space="preserve">ORD-5152</t>
  </si>
  <si>
    <t xml:space="preserve">CEM-50 x 42 @ 9,500; PNT-20W x 11 @ 38,000; WIRE-25 x 15 @ 52,000</t>
  </si>
  <si>
    <t xml:space="preserve">2026-10-27T10:40:11.471173+00:00</t>
  </si>
  <si>
    <t xml:space="preserve">2026-10-27T10:40:11.473335+00:00</t>
  </si>
  <si>
    <t xml:space="preserve">2026-10-27T10:40:11.473723+00:00</t>
  </si>
  <si>
    <t xml:space="preserve">ORD-5153</t>
  </si>
  <si>
    <t xml:space="preserve">TIL-6060 x 55 @ 14,500</t>
  </si>
  <si>
    <t xml:space="preserve">2026-10-27T10:40:11.4788+00:00</t>
  </si>
  <si>
    <t xml:space="preserve">2026-10-27T10:40:11.480764+00:00</t>
  </si>
  <si>
    <t xml:space="preserve">2026-10-27T10:40:11.48111+00:00</t>
  </si>
  <si>
    <t xml:space="preserve">ORD-5154</t>
  </si>
  <si>
    <t xml:space="preserve">CEM-50 x 54 @ 9,500</t>
  </si>
  <si>
    <t xml:space="preserve">2026-10-27T10:40:11.486119+00:00</t>
  </si>
  <si>
    <t xml:space="preserve">2026-10-27T10:40:11.487934+00:00</t>
  </si>
  <si>
    <t xml:space="preserve">2026-10-27T10:40:11.488284+00:00</t>
  </si>
  <si>
    <t xml:space="preserve">ORD-5155</t>
  </si>
  <si>
    <t xml:space="preserve">PNT-20C x 2 @ 38,000; ROD-12 x 49 @ 7,200</t>
  </si>
  <si>
    <t xml:space="preserve">The customer account is not active. | Iron rod, 12 mm: 49 is far above this customer's usual 13.</t>
  </si>
  <si>
    <t xml:space="preserve">2026-10-27T10:40:11.492952+00:00</t>
  </si>
  <si>
    <t xml:space="preserve">2026-10-27T10:40:11.495119+00:00</t>
  </si>
  <si>
    <t xml:space="preserve">2026-10-27T10:40:11.495481+00:00</t>
  </si>
  <si>
    <t xml:space="preserve">ORD-5156</t>
  </si>
  <si>
    <t xml:space="preserve">PVC-2 x 10 @ 4,100; ROOF-AL x 38 @ 12,500</t>
  </si>
  <si>
    <t xml:space="preserve">2026-10-27T10:40:11.500191+00:00</t>
  </si>
  <si>
    <t xml:space="preserve">2026-10-27T10:40:11.502392+00:00</t>
  </si>
  <si>
    <t xml:space="preserve">2026-10-27T10:40:11.502718+00:00</t>
  </si>
  <si>
    <t xml:space="preserve">ORD-5157</t>
  </si>
  <si>
    <t xml:space="preserve">NAIL-3 x 3 @ 31,000; PNT-20W x 23 @ 38,000; PVC-4 x 6 @ 8,600; ROOF-AL x 59 @ 12,500</t>
  </si>
  <si>
    <t xml:space="preserve">2026-10-27T10:40:11.507573+00:00</t>
  </si>
  <si>
    <t xml:space="preserve">2026-10-27T10:40:11.509821+00:00</t>
  </si>
  <si>
    <t xml:space="preserve">2026-10-27T10:40:11.51016+00:00</t>
  </si>
  <si>
    <t xml:space="preserve">ORD-5158</t>
  </si>
  <si>
    <t xml:space="preserve">CEM-50 x 116 @ 9,500; ROD-16 x 48 @ 11,800; WIRE-25 x 8 @ 52,000</t>
  </si>
  <si>
    <t xml:space="preserve">2026-10-27T10:40:11.515673+00:00</t>
  </si>
  <si>
    <t xml:space="preserve">2026-10-27T10:40:11.517987+00:00</t>
  </si>
  <si>
    <t xml:space="preserve">2026-10-27T10:40:11.518429+00:00</t>
  </si>
  <si>
    <t xml:space="preserve">ORD-5159</t>
  </si>
  <si>
    <t xml:space="preserve">2026-10-27T10:40:11.523788+00:00</t>
  </si>
  <si>
    <t xml:space="preserve">2026-10-27T10:40:11.525666+00:00</t>
  </si>
  <si>
    <t xml:space="preserve">2026-10-27T10:40:11.52606+00:00</t>
  </si>
  <si>
    <t xml:space="preserve">ORD-5160</t>
  </si>
  <si>
    <t xml:space="preserve">NAIL-3 x 5 @ 31,000; ROD-16 x 5.5 (Quantity must be a whole number)</t>
  </si>
  <si>
    <t xml:space="preserve">2026-10-27T10:40:11.531178+00:00</t>
  </si>
  <si>
    <t xml:space="preserve">2026-10-27T10:40:11.53311+00:00</t>
  </si>
  <si>
    <t xml:space="preserve">2026-10-27T10:40:11.533472+00:00</t>
  </si>
  <si>
    <t xml:space="preserve">ORD-5161</t>
  </si>
  <si>
    <t xml:space="preserve">CEM-50 x 2011 @ 9,500; TIL-6060 x 36 @ 14,500; WIRE-25 x 4 @ 52,000</t>
  </si>
  <si>
    <t xml:space="preserve">Cement, 50 kg bag: quantity must be between 10 and 2000. | Cement, 50 kg bag: not enough stock for this quantity. Reduce it. | Cement, 50 kg bag: 2011 is far above this customer's usual 32.</t>
  </si>
  <si>
    <t xml:space="preserve">2026-10-27T10:40:11.538338+00:00</t>
  </si>
  <si>
    <t xml:space="preserve">2026-10-27T10:40:11.541632+00:00</t>
  </si>
  <si>
    <t xml:space="preserve">2026-10-27T10:40:11.541953+00:00</t>
  </si>
  <si>
    <t xml:space="preserve">ORD-5162</t>
  </si>
  <si>
    <t xml:space="preserve">CEM-50 x 9 @ 9,500; ROOF-AL x 40 @ 12,500</t>
  </si>
  <si>
    <t xml:space="preserve">2026-10-27T10:40:11.546958+00:00</t>
  </si>
  <si>
    <t xml:space="preserve">2026-10-27T10:40:11.549027+00:00</t>
  </si>
  <si>
    <t xml:space="preserve">2026-10-27T10:40:11.54944+00:00</t>
  </si>
  <si>
    <t xml:space="preserve">ORD-5163</t>
  </si>
  <si>
    <t xml:space="preserve">This looks like a repeat of ORD-5159. Confirm it is a new order.</t>
  </si>
  <si>
    <t xml:space="preserve">2026-10-27T10:40:11.554344+00:00</t>
  </si>
  <si>
    <t xml:space="preserve">ORD-5164</t>
  </si>
  <si>
    <t xml:space="preserve">PNT-20C x 4 @ 38,000; PVC-2 x 2.5 (Quantity must be a whole number)</t>
  </si>
  <si>
    <t xml:space="preserve">2026-10-27T10:40:11.560897+00:00</t>
  </si>
  <si>
    <t xml:space="preserve">2026-10-27T10:40:11.562835+00:00</t>
  </si>
  <si>
    <t xml:space="preserve">2026-10-27T10:40:11.563276+00:00</t>
  </si>
  <si>
    <t xml:space="preserve">ORD-5165</t>
  </si>
  <si>
    <t xml:space="preserve">CEM-50 x 74 @ 9,500; ROD-12 x 80 @ 7,200</t>
  </si>
  <si>
    <t xml:space="preserve">Iron rod, 12 mm: 80 is far above this customer's usual 13. | Cement, 50 kg bag: 74 is far above this customer's usual 23.</t>
  </si>
  <si>
    <t xml:space="preserve">2026-10-27T10:40:11.56803+00:00</t>
  </si>
  <si>
    <t xml:space="preserve">2026-10-27T10:40:11.570121+00:00</t>
  </si>
  <si>
    <t xml:space="preserve">2026-10-27T10:40:11.570649+00:00</t>
  </si>
  <si>
    <t xml:space="preserve">ORD-5166</t>
  </si>
  <si>
    <t xml:space="preserve">PNT-20C x 6 @ 38,000; ROD-12 x 44 @ 7,200</t>
  </si>
  <si>
    <t xml:space="preserve">2026-10-27T10:40:11.576005+00:00</t>
  </si>
  <si>
    <t xml:space="preserve">2026-10-27T10:40:11.578126+00:00</t>
  </si>
  <si>
    <t xml:space="preserve">2026-10-27T10:40:11.57854+00:00</t>
  </si>
  <si>
    <t xml:space="preserve">ORD-5167</t>
  </si>
  <si>
    <t xml:space="preserve">2026-10-27T10:40:11.583889+00:00</t>
  </si>
  <si>
    <t xml:space="preserve">2026-10-27T10:40:11.585924+00:00</t>
  </si>
  <si>
    <t xml:space="preserve">2026-10-27T10:40:11.586297+00:00</t>
  </si>
  <si>
    <t xml:space="preserve">ORD-5168</t>
  </si>
  <si>
    <t xml:space="preserve">PNT-20W x 8 @ 38,000; PVC-2 x 523 @ 4,100</t>
  </si>
  <si>
    <t xml:space="preserve">2026-10-27T10:40:11.59172+00:00</t>
  </si>
  <si>
    <t xml:space="preserve">2026-10-27T10:40:11.594009+00:00</t>
  </si>
  <si>
    <t xml:space="preserve">2026-10-27T10:40:11.594362+00:00</t>
  </si>
  <si>
    <t xml:space="preserve">ORD-5169</t>
  </si>
  <si>
    <t xml:space="preserve">ROD-12 x 6 @ 7,200</t>
  </si>
  <si>
    <t xml:space="preserve">2026-10-27T10:40:11.599143+00:00</t>
  </si>
  <si>
    <t xml:space="preserve">2026-10-27T10:40:11.601171+00:00</t>
  </si>
  <si>
    <t xml:space="preserve">2026-10-27T10:40:11.601555+00:00</t>
  </si>
  <si>
    <t xml:space="preserve">ORD-5170</t>
  </si>
  <si>
    <t xml:space="preserve">PNT-20W x 5 @ 38,000; SAND-T x 1 @ 185,000; WIRE-25 x 12 @ 52,000</t>
  </si>
  <si>
    <t xml:space="preserve">2026-10-27T10:40:11.607025+00:00</t>
  </si>
  <si>
    <t xml:space="preserve">2026-10-27T10:40:11.609469+00:00</t>
  </si>
  <si>
    <t xml:space="preserve">2026-10-27T10:40:11.609788+00:00</t>
  </si>
  <si>
    <t xml:space="preserve">ORD-5171</t>
  </si>
  <si>
    <t xml:space="preserve">CEM-50 x 173 @ 9,500; PNT-20C x 3 @ 38,000; ROD-12 x 54 @ 7,200</t>
  </si>
  <si>
    <t xml:space="preserve">Cement, 50 kg bag: 173 is far above this customer's usual 55.</t>
  </si>
  <si>
    <t xml:space="preserve">2026-10-27T10:40:11.61485+00:00</t>
  </si>
  <si>
    <t xml:space="preserve">2026-10-27T10:40:11.617074+00:00</t>
  </si>
  <si>
    <t xml:space="preserve">2026-10-27T10:40:11.61747+00:00</t>
  </si>
  <si>
    <t xml:space="preserve">ORD-5172</t>
  </si>
  <si>
    <t xml:space="preserve">CEM-50 x 126 @ 9,500; PNT-20W x 19 @ 38,000; ROD-16 x 74 @ 11,800; SAND-T x 1 @ 185,000</t>
  </si>
  <si>
    <t xml:space="preserve">SAND-T is no longer sold. Remove it. | Sharp sand, 20 tonne trip is out of stock. | Cement, 50 kg bag: 126 is far above this customer's usual 32.</t>
  </si>
  <si>
    <t xml:space="preserve">2026-10-27T10:40:11.622864+00:00</t>
  </si>
  <si>
    <t xml:space="preserve">2026-10-27T10:40:11.62552+00:00</t>
  </si>
  <si>
    <t xml:space="preserve">2026-10-27T10:40:11.625844+00:00</t>
  </si>
  <si>
    <t xml:space="preserve">ORD-5173</t>
  </si>
  <si>
    <t xml:space="preserve">2026-10-27T10:40:11.630977+00:00</t>
  </si>
  <si>
    <t xml:space="preserve">2026-10-27T10:40:11.633001+00:00</t>
  </si>
  <si>
    <t xml:space="preserve">2026-10-27T10:40:11.633399+00:00</t>
  </si>
  <si>
    <t xml:space="preserve">ORD-5174</t>
  </si>
  <si>
    <t xml:space="preserve">2026-10-27T10:40:11.639076+00:00</t>
  </si>
  <si>
    <t xml:space="preserve">2026-10-27T10:40:11.64104+00:00</t>
  </si>
  <si>
    <t xml:space="preserve">2026-10-27T10:40:11.64158+00:00</t>
  </si>
  <si>
    <t xml:space="preserve">ORD-5175</t>
  </si>
  <si>
    <t xml:space="preserve">PNT-20W x 4 @ 38,000; ROOF-AL x 39 @ 12,500; WIRE-25 x 3 @ 52,000</t>
  </si>
  <si>
    <t xml:space="preserve">2026-10-27T10:40:11.646685+00:00</t>
  </si>
  <si>
    <t xml:space="preserve">2026-10-27T10:40:11.648856+00:00</t>
  </si>
  <si>
    <t xml:space="preserve">2026-10-27T10:40:11.649323+00:00</t>
  </si>
  <si>
    <t xml:space="preserve">ORD-5176</t>
  </si>
  <si>
    <t xml:space="preserve">TIL-6060 x 73 @ 14,500</t>
  </si>
  <si>
    <t xml:space="preserve">2026-10-27T10:40:11.655019+00:00</t>
  </si>
  <si>
    <t xml:space="preserve">2026-10-27T10:40:11.656998+00:00</t>
  </si>
  <si>
    <t xml:space="preserve">2026-10-27T10:40:11.657368+00:00</t>
  </si>
  <si>
    <t xml:space="preserve">ORD-5177</t>
  </si>
  <si>
    <t xml:space="preserve">This looks like a repeat of ORD-5173. Confirm it is a new order.</t>
  </si>
  <si>
    <t xml:space="preserve">2026-10-27T10:40:11.662531+00:00</t>
  </si>
  <si>
    <t xml:space="preserve">ORD-5178</t>
  </si>
  <si>
    <t xml:space="preserve">PNT-20C x 8 @ 38,000; ROD-16 x 20 @ 11,800; ROOF-AL x 39 @ 12,500</t>
  </si>
  <si>
    <t xml:space="preserve">2026-10-27T10:40:11.669254+00:00</t>
  </si>
  <si>
    <t xml:space="preserve">2026-10-27T10:40:11.671377+00:00</t>
  </si>
  <si>
    <t xml:space="preserve">2026-10-27T10:40:11.671733+00:00</t>
  </si>
  <si>
    <t xml:space="preserve">ORD-5179</t>
  </si>
  <si>
    <t xml:space="preserve">TIL-6060 x 46 @ 14,500</t>
  </si>
  <si>
    <t xml:space="preserve">2026-10-27T10:40:11.677672+00:00</t>
  </si>
  <si>
    <t xml:space="preserve">2026-10-27T10:40:11.679592+00:00</t>
  </si>
  <si>
    <t xml:space="preserve">2026-10-27T10:40:11.680136+00:00</t>
  </si>
  <si>
    <t xml:space="preserve">ORD-5180</t>
  </si>
  <si>
    <t xml:space="preserve">PVC-4 x 59 @ 8,600; ROOF-AL x 60 @ 12,500</t>
  </si>
  <si>
    <t xml:space="preserve">2026-10-27T10:40:11.68578+00:00</t>
  </si>
  <si>
    <t xml:space="preserve">2026-10-27T10:40:11.687766+00:00</t>
  </si>
  <si>
    <t xml:space="preserve">2026-10-27T10:40:11.688095+00:00</t>
  </si>
  <si>
    <t xml:space="preserve">ORD-5181</t>
  </si>
  <si>
    <t xml:space="preserve">Choose a delivery date. | Iron rod, 12 mm: 114 is far above this customer's usual 17.</t>
  </si>
  <si>
    <t xml:space="preserve">2026-10-27T10:40:11.693788+00:00</t>
  </si>
  <si>
    <t xml:space="preserve">2026-10-27T10:40:11.695863+00:00</t>
  </si>
  <si>
    <t xml:space="preserve">2026-10-27T10:40:11.696184+00:00</t>
  </si>
  <si>
    <t xml:space="preserve">ORD-5182</t>
  </si>
  <si>
    <t xml:space="preserve">NAIL-3 x 13 @ 31,000; ROD-12 x 586 @ 7,200; ROD-16 x 16 @ 11,800</t>
  </si>
  <si>
    <t xml:space="preserve">Iron rod, 12 mm: not enough stock for this quantity. Reduce it. | Iron rod, 12 mm: 586 is far above this customer's usual 34.</t>
  </si>
  <si>
    <t xml:space="preserve">2026-10-27T10:40:11.701795+00:00</t>
  </si>
  <si>
    <t xml:space="preserve">2026-10-27T10:40:11.70414+00:00</t>
  </si>
  <si>
    <t xml:space="preserve">2026-10-27T10:40:11.704505+00:00</t>
  </si>
  <si>
    <t xml:space="preserve">ORD-5183</t>
  </si>
  <si>
    <t xml:space="preserve">2026-10-27T10:40:11.709793+00:00</t>
  </si>
  <si>
    <t xml:space="preserve">2026-10-27T10:40:11.711729+00:00</t>
  </si>
  <si>
    <t xml:space="preserve">2026-10-27T10:40:11.712073+00:00</t>
  </si>
  <si>
    <t xml:space="preserve">ORD-5184</t>
  </si>
  <si>
    <t xml:space="preserve">ROD-12 x 19 @ 7,200; TIL-6060 x 32 @ 14,500</t>
  </si>
  <si>
    <t xml:space="preserve">2026-10-27T10:40:11.717602+00:00</t>
  </si>
  <si>
    <t xml:space="preserve">2026-10-27T10:40:11.719799+00:00</t>
  </si>
  <si>
    <t xml:space="preserve">2026-10-27T10:40:11.720136+00:00</t>
  </si>
  <si>
    <t xml:space="preserve">ORD-5185</t>
  </si>
  <si>
    <t xml:space="preserve">2026-10-27T10:40:11.72604+00:00</t>
  </si>
  <si>
    <t xml:space="preserve">2026-10-27T10:40:11.727891+00:00</t>
  </si>
  <si>
    <t xml:space="preserve">2026-10-27T10:40:11.728417+00:00</t>
  </si>
  <si>
    <t xml:space="preserve">ORD-5186</t>
  </si>
  <si>
    <t xml:space="preserve">CEM-50 x 161 @ 9,500; WIRE-25 x 10 @ 52,000</t>
  </si>
  <si>
    <t xml:space="preserve">2026-10-27T10:40:11.73413+00:00</t>
  </si>
  <si>
    <t xml:space="preserve">2026-10-27T10:40:11.736174+00:00</t>
  </si>
  <si>
    <t xml:space="preserve">2026-10-27T10:40:11.736532+00:00</t>
  </si>
  <si>
    <t xml:space="preserve">ORD-5187</t>
  </si>
  <si>
    <t xml:space="preserve">PNT-20C x 3 @ 38,000; ROD-16 x 27 @ 11,800</t>
  </si>
  <si>
    <t xml:space="preserve">2026-10-27T10:40:11.74166+00:00</t>
  </si>
  <si>
    <t xml:space="preserve">2026-10-27T10:40:11.743721+00:00</t>
  </si>
  <si>
    <t xml:space="preserve">2026-10-27T10:40:11.744095+00:00</t>
  </si>
  <si>
    <t xml:space="preserve">ORD-5188</t>
  </si>
  <si>
    <t xml:space="preserve">2026-10-27T10:40:11.75004+00:00</t>
  </si>
  <si>
    <t xml:space="preserve">2026-10-27T10:40:11.752113+00:00</t>
  </si>
  <si>
    <t xml:space="preserve">2026-10-27T10:40:11.752499+00:00</t>
  </si>
  <si>
    <t xml:space="preserve">ORD-5189</t>
  </si>
  <si>
    <t xml:space="preserve">2026-10-27T10:40:11.758441+00:00</t>
  </si>
  <si>
    <t xml:space="preserve">2026-10-27T10:40:11.760516+00:00</t>
  </si>
  <si>
    <t xml:space="preserve">2026-10-27T10:40:11.760861+00:00</t>
  </si>
  <si>
    <t xml:space="preserve">ORD-5190</t>
  </si>
  <si>
    <t xml:space="preserve">CEM-50 x 178 @ 9,500; PVC-2 x 2 @ 4,100; WIRE-25 x 2 @ 52,000; PVC-4 x 2.5 (Quantity must be a whole number)</t>
  </si>
  <si>
    <t xml:space="preserve">PVC-4 - Quantity must be a whole number | Cement, 50 kg bag: 178 is far above this customer's usual 41.</t>
  </si>
  <si>
    <t xml:space="preserve">2026-10-27T10:40:11.766828+00:00</t>
  </si>
  <si>
    <t xml:space="preserve">2026-10-27T10:40:11.769367+00:00</t>
  </si>
  <si>
    <t xml:space="preserve">2026-10-27T10:40:11.769701+00:00</t>
  </si>
  <si>
    <t xml:space="preserve">ORD-5191</t>
  </si>
  <si>
    <t xml:space="preserve">ROOF-AL x 35 @ 12,500; WIRE-25 x 8 @ 52,000</t>
  </si>
  <si>
    <t xml:space="preserve">2026-10-27T10:40:11.775294+00:00</t>
  </si>
  <si>
    <t xml:space="preserve">2026-10-27T10:40:11.77722+00:00</t>
  </si>
  <si>
    <t xml:space="preserve">2026-10-27T10:40:11.777683+00:00</t>
  </si>
  <si>
    <t xml:space="preserve">ORD-5192</t>
  </si>
  <si>
    <t xml:space="preserve">ROOF-AL x 59 @ 12,500; PVC-2 x 2.5 (Quantity must be a whole number)</t>
  </si>
  <si>
    <t xml:space="preserve">2026-10-27T10:40:11.783314+00:00</t>
  </si>
  <si>
    <t xml:space="preserve">2026-10-27T10:40:11.785336+00:00</t>
  </si>
  <si>
    <t xml:space="preserve">2026-10-27T10:40:11.785731+00:00</t>
  </si>
  <si>
    <t xml:space="preserve">ORD-5193</t>
  </si>
  <si>
    <t xml:space="preserve">2026-10-27T10:40:11.791051+00:00</t>
  </si>
  <si>
    <t xml:space="preserve">2026-10-27T10:40:11.792999+00:00</t>
  </si>
  <si>
    <t xml:space="preserve">2026-10-27T10:40:11.793391+00:00</t>
  </si>
  <si>
    <t xml:space="preserve">ORD-5194</t>
  </si>
  <si>
    <t xml:space="preserve">2026-10-27T10:40:11.799466+00:00</t>
  </si>
  <si>
    <t xml:space="preserve">2026-10-27T10:40:11.801448+00:00</t>
  </si>
  <si>
    <t xml:space="preserve">2026-10-27T10:40:11.801791+00:00</t>
  </si>
  <si>
    <t xml:space="preserve">ORD-5195</t>
  </si>
  <si>
    <t xml:space="preserve">PNT-20C x 8 @ 38,000; ROD-12 x 107 @ 7,200; TIL-6060 x 68 @ 14,500; WIRE-25 x 6 @ 52,000</t>
  </si>
  <si>
    <t xml:space="preserve">2026-10-27T10:40:11.80799+00:00</t>
  </si>
  <si>
    <t xml:space="preserve">2026-10-27T10:40:11.810511+00:00</t>
  </si>
  <si>
    <t xml:space="preserve">2026-10-27T10:40:11.810868+00:00</t>
  </si>
  <si>
    <t xml:space="preserve">ORD-5196</t>
  </si>
  <si>
    <t xml:space="preserve">CEM-50 x 158 @ 9,500; PNT-20W x 11 @ 38,000; TIL-6060 x 63 @ 14,500</t>
  </si>
  <si>
    <t xml:space="preserve">2026-10-27T10:40:11.816787+00:00</t>
  </si>
  <si>
    <t xml:space="preserve">2026-10-27T10:40:11.819037+00:00</t>
  </si>
  <si>
    <t xml:space="preserve">2026-10-27T10:40:11.819411+00:00</t>
  </si>
  <si>
    <t xml:space="preserve">ORD-5197</t>
  </si>
  <si>
    <t xml:space="preserve">CEM-50 x 48 @ 9,500; PNT-20C x 7 @ 38,000</t>
  </si>
  <si>
    <t xml:space="preserve">2026-10-27T10:40:11.825583+00:00</t>
  </si>
  <si>
    <t xml:space="preserve">2026-10-27T10:40:11.827763+00:00</t>
  </si>
  <si>
    <t xml:space="preserve">2026-10-27T10:40:11.82811+00:00</t>
  </si>
  <si>
    <t xml:space="preserve">ORD-5198</t>
  </si>
  <si>
    <t xml:space="preserve">PVC-4 x 16 @ 8,600; WIRE-25 x 11 @ 52,000</t>
  </si>
  <si>
    <t xml:space="preserve">2026-10-27T10:40:11.834338+00:00</t>
  </si>
  <si>
    <t xml:space="preserve">2026-10-27T10:40:11.836577+00:00</t>
  </si>
  <si>
    <t xml:space="preserve">2026-10-27T10:40:11.836925+00:00</t>
  </si>
  <si>
    <t xml:space="preserve">ORD-5199</t>
  </si>
  <si>
    <t xml:space="preserve">PVC-4 x 13 @ 8,600; TIL-6060 x 845 @ 14,500</t>
  </si>
  <si>
    <t xml:space="preserve">2026-10-27T10:40:11.84302+00:00</t>
  </si>
  <si>
    <t xml:space="preserve">2026-10-27T10:40:11.845652+00:00</t>
  </si>
  <si>
    <t xml:space="preserve">2026-10-27T10:40:11.845981+00:00</t>
  </si>
  <si>
    <t xml:space="preserve">ORD-5200</t>
  </si>
  <si>
    <t xml:space="preserve">CEM-50 x 2012 @ 9,500; PNT-20W x 5 @ 38,000; PVC-4 x 61 @ 8,600; ROD-12 x 71 @ 7,200</t>
  </si>
  <si>
    <t xml:space="preserve">Cement, 50 kg bag: quantity must be between 10 and 2000. | Cement, 50 kg bag: not enough stock for this quantity. Reduce it. | Cement, 50 kg bag: 2012 is far above this customer's usual 79.</t>
  </si>
  <si>
    <t xml:space="preserve">2026-10-27T10:40:11.851922+00:00</t>
  </si>
  <si>
    <t xml:space="preserve">2026-10-27T10:40:11.854753+00:00</t>
  </si>
  <si>
    <t xml:space="preserve">2026-10-27T10:40:11.855138+00:00</t>
  </si>
  <si>
    <t xml:space="preserve">ORD-5201</t>
  </si>
  <si>
    <t xml:space="preserve">ROOF-AL x 10 @ 12,500</t>
  </si>
  <si>
    <t xml:space="preserve">2026-10-27T10:40:11.861117+00:00</t>
  </si>
  <si>
    <t xml:space="preserve">2026-10-27T10:40:11.863151+00:00</t>
  </si>
  <si>
    <t xml:space="preserve">2026-10-27T10:40:11.863538+00:00</t>
  </si>
  <si>
    <t xml:space="preserve">ORD-5202</t>
  </si>
  <si>
    <t xml:space="preserve">PVC-4 x 38 @ 8,600; ROD-12 x 116 @ 7,200; WIRE-25 x 3 @ 52,000</t>
  </si>
  <si>
    <t xml:space="preserve">Iron rod, 12 mm: 116 is far above this customer's usual 11.</t>
  </si>
  <si>
    <t xml:space="preserve">2026-10-27T10:40:11.869688+00:00</t>
  </si>
  <si>
    <t xml:space="preserve">2026-10-27T10:40:11.871942+00:00</t>
  </si>
  <si>
    <t xml:space="preserve">2026-10-27T10:40:11.872412+00:00</t>
  </si>
  <si>
    <t xml:space="preserve">ORD-5203</t>
  </si>
  <si>
    <t xml:space="preserve">ROD-12 x 109 @ 7,200</t>
  </si>
  <si>
    <t xml:space="preserve">2026-10-27T10:40:11.8789+00:00</t>
  </si>
  <si>
    <t xml:space="preserve">2026-10-27T10:40:11.880952+00:00</t>
  </si>
  <si>
    <t xml:space="preserve">2026-10-27T10:40:11.88135+00:00</t>
  </si>
  <si>
    <t xml:space="preserve">ORD-5204</t>
  </si>
  <si>
    <t xml:space="preserve">CEM-50 x 147 @ 9,500; NAIL-3 x 3 @ 31,000; PVC-4 x 32 @ 8,600</t>
  </si>
  <si>
    <t xml:space="preserve">Cement, 50 kg bag: 147 is far above this customer's usual 43.</t>
  </si>
  <si>
    <t xml:space="preserve">2026-10-27T10:40:11.887818+00:00</t>
  </si>
  <si>
    <t xml:space="preserve">2026-10-27T10:40:11.89003+00:00</t>
  </si>
  <si>
    <t xml:space="preserve">2026-10-27T10:40:11.890561+00:00</t>
  </si>
  <si>
    <t xml:space="preserve">ORD-5205</t>
  </si>
  <si>
    <t xml:space="preserve">SAND-T x 1 @ 185,000; TIL-6060 x 33 @ 14,500</t>
  </si>
  <si>
    <t xml:space="preserve">2026-10-27T10:40:11.896958+00:00</t>
  </si>
  <si>
    <t xml:space="preserve">2026-10-27T10:40:11.899248+00:00</t>
  </si>
  <si>
    <t xml:space="preserve">2026-10-27T10:40:11.899603+00:00</t>
  </si>
  <si>
    <t xml:space="preserve">ORD-5206</t>
  </si>
  <si>
    <t xml:space="preserve">CEM-50 x 122 @ 9,500; ROD-16 x 25 @ 11,800; PVC-2 x 2.5 (Quantity must be a whole number)</t>
  </si>
  <si>
    <t xml:space="preserve">2026-10-27T10:40:11.905824+00:00</t>
  </si>
  <si>
    <t xml:space="preserve">2026-10-27T10:40:11.908119+00:00</t>
  </si>
  <si>
    <t xml:space="preserve">2026-10-27T10:40:11.908488+00:00</t>
  </si>
  <si>
    <t xml:space="preserve">ORD-5207</t>
  </si>
  <si>
    <t xml:space="preserve">CEM-50 x 144 @ 9,500; NAIL-3 x 6 @ 31,000; PNT-20C x 10 @ 38,000</t>
  </si>
  <si>
    <t xml:space="preserve">Cement, 50 kg bag: price changed from 9500.00 to 10000.00. Save the order again to update it. | Cement, 50 kg bag: 144 is far above this customer's usual 32.</t>
  </si>
  <si>
    <t xml:space="preserve">2026-10-27T10:40:11.914625+00:00</t>
  </si>
  <si>
    <t xml:space="preserve">2026-10-27T10:40:11.917321+00:00</t>
  </si>
  <si>
    <t xml:space="preserve">2026-10-27T10:40:11.91765+00:00</t>
  </si>
  <si>
    <t xml:space="preserve">ORD-5208</t>
  </si>
  <si>
    <t xml:space="preserve">PNT-20W x 21 @ 38,000; ROD-16 x 22 @ 11,800; TIL-6060 x 67 @ 14,500</t>
  </si>
  <si>
    <t xml:space="preserve">2026-10-27T10:40:11.924003+00:00</t>
  </si>
  <si>
    <t xml:space="preserve">2026-10-27T10:40:11.92637+00:00</t>
  </si>
  <si>
    <t xml:space="preserve">2026-10-27T10:40:11.926722+00:00</t>
  </si>
  <si>
    <t xml:space="preserve">ORD-5209</t>
  </si>
  <si>
    <t xml:space="preserve">2026-10-27T10:40:11.933957+00:00</t>
  </si>
  <si>
    <t xml:space="preserve">2026-10-27T10:40:11.936129+00:00</t>
  </si>
  <si>
    <t xml:space="preserve">2026-10-27T10:40:11.936519+00:00</t>
  </si>
  <si>
    <t xml:space="preserve">ORD-5210</t>
  </si>
  <si>
    <t xml:space="preserve">ROD-16 x 44 @ 11,800</t>
  </si>
  <si>
    <t xml:space="preserve">2026-10-27T10:40:11.943084+00:00</t>
  </si>
  <si>
    <t xml:space="preserve">2026-10-27T10:40:11.945217+00:00</t>
  </si>
  <si>
    <t xml:space="preserve">2026-10-27T10:40:11.945576+00:00</t>
  </si>
  <si>
    <t xml:space="preserve">ORD-5211</t>
  </si>
  <si>
    <t xml:space="preserve">PVC-4 x 10 @ 8,600; ROD-16 x 28 @ 11,800; TIL-6060 x 52 @ 14,500</t>
  </si>
  <si>
    <t xml:space="preserve">2026-10-27T10:40:11.95143+00:00</t>
  </si>
  <si>
    <t xml:space="preserve">2026-10-27T10:40:11.953717+00:00</t>
  </si>
  <si>
    <t xml:space="preserve">2026-10-27T10:40:11.954068+00:00</t>
  </si>
  <si>
    <t xml:space="preserve">ORD-5212</t>
  </si>
  <si>
    <t xml:space="preserve">ROOF-AL x 311 @ 12,500; TIL-6060 x 90 @ 14,500</t>
  </si>
  <si>
    <t xml:space="preserve">2026-10-27T10:40:11.960912+00:00</t>
  </si>
  <si>
    <t xml:space="preserve">2026-10-27T10:40:11.963354+00:00</t>
  </si>
  <si>
    <t xml:space="preserve">2026-10-27T10:40:11.963689+00:00</t>
  </si>
  <si>
    <t xml:space="preserve">ORD-5213</t>
  </si>
  <si>
    <t xml:space="preserve">NAIL-3 x 3 @ 31,000; ROD-12 x 19 @ 7,200</t>
  </si>
  <si>
    <t xml:space="preserve">2026-10-27T10:40:11.969705+00:00</t>
  </si>
  <si>
    <t xml:space="preserve">2026-10-27T10:40:11.97193+00:00</t>
  </si>
  <si>
    <t xml:space="preserve">2026-10-27T10:40:11.972456+00:00</t>
  </si>
  <si>
    <t xml:space="preserve">ORD-5214</t>
  </si>
  <si>
    <t xml:space="preserve">PVC-2 x 10 @ 4,100; ROD-12 x 5 @ 7,200</t>
  </si>
  <si>
    <t xml:space="preserve">2026-10-27T10:40:11.979048+00:00</t>
  </si>
  <si>
    <t xml:space="preserve">2026-10-27T10:40:11.981411+00:00</t>
  </si>
  <si>
    <t xml:space="preserve">2026-10-27T10:40:11.981738+00:00</t>
  </si>
  <si>
    <t xml:space="preserve">ORD-5215</t>
  </si>
  <si>
    <t xml:space="preserve">TIL-6060 x 69 @ 14,500</t>
  </si>
  <si>
    <t xml:space="preserve">Floor tile 60x60, carton: 69 is far above this customer's usual 22.</t>
  </si>
  <si>
    <t xml:space="preserve">2026-10-27T10:40:11.98783+00:00</t>
  </si>
  <si>
    <t xml:space="preserve">2026-10-27T10:40:11.989936+00:00</t>
  </si>
  <si>
    <t xml:space="preserve">2026-10-27T10:40:11.990314+00:00</t>
  </si>
  <si>
    <t xml:space="preserve">ORD-5216</t>
  </si>
  <si>
    <t xml:space="preserve">PNT-20C x 3 @ 38,000; ROD-12 x 4 @ 7,200</t>
  </si>
  <si>
    <t xml:space="preserve">2026-10-27T10:40:11.997016+00:00</t>
  </si>
  <si>
    <t xml:space="preserve">2026-10-27T10:40:11.999263+00:00</t>
  </si>
  <si>
    <t xml:space="preserve">2026-10-27T10:40:11.999613+00:00</t>
  </si>
  <si>
    <t xml:space="preserve">ORD-5217</t>
  </si>
  <si>
    <t xml:space="preserve">PVC-2 x 2 @ 4,100; TIL-6060 x 51 @ 14,500</t>
  </si>
  <si>
    <t xml:space="preserve">2026-10-27T10:40:12.005658+00:00</t>
  </si>
  <si>
    <t xml:space="preserve">2026-10-27T10:40:12.007803+00:00</t>
  </si>
  <si>
    <t xml:space="preserve">2026-10-27T10:40:12.008143+00:00</t>
  </si>
  <si>
    <t xml:space="preserve">ORD-5218</t>
  </si>
  <si>
    <t xml:space="preserve">2026-10-27T10:40:12.01486+00:00</t>
  </si>
  <si>
    <t xml:space="preserve">2026-10-27T10:40:12.017105+00:00</t>
  </si>
  <si>
    <t xml:space="preserve">2026-10-27T10:40:12.017504+00:00</t>
  </si>
  <si>
    <t xml:space="preserve">ORD-5219</t>
  </si>
  <si>
    <t xml:space="preserve">CEM-50 x 290 @ 9,500; ROOF-AL x 59 @ 12,500</t>
  </si>
  <si>
    <t xml:space="preserve">Cement, 50 kg bag: 290 is far above this customer's usual 23.</t>
  </si>
  <si>
    <t xml:space="preserve">2026-10-27T10:40:12.024121+00:00</t>
  </si>
  <si>
    <t xml:space="preserve">2026-10-27T10:40:12.026345+00:00</t>
  </si>
  <si>
    <t xml:space="preserve">2026-10-27T10:40:12.026699+00:00</t>
  </si>
  <si>
    <t xml:space="preserve">ORD-5220</t>
  </si>
  <si>
    <t xml:space="preserve">NAIL-3 x 10 @ 31,000; ROD-16 x 45 @ 11,800; ROOF-AL x 28 @ 12,500</t>
  </si>
  <si>
    <t xml:space="preserve">2026-10-27T10:40:12.033028+00:00</t>
  </si>
  <si>
    <t xml:space="preserve">2026-10-27T10:40:12.035348+00:00</t>
  </si>
  <si>
    <t xml:space="preserve">2026-10-27T10:40:12.035711+00:00</t>
  </si>
  <si>
    <t xml:space="preserve">ORD-5221</t>
  </si>
  <si>
    <t xml:space="preserve">2026-10-27T10:40:12.042401+00:00</t>
  </si>
  <si>
    <t xml:space="preserve">2026-10-27T10:40:12.044496+00:00</t>
  </si>
  <si>
    <t xml:space="preserve">2026-10-27T10:40:12.044841+00:00</t>
  </si>
  <si>
    <t xml:space="preserve">ORD-5222</t>
  </si>
  <si>
    <t xml:space="preserve">PVC-4 x 39 @ 8,600</t>
  </si>
  <si>
    <t xml:space="preserve">2026-10-27T10:40:12.051499+00:00</t>
  </si>
  <si>
    <t xml:space="preserve">2026-10-27T10:40:12.053582+00:00</t>
  </si>
  <si>
    <t xml:space="preserve">2026-10-27T10:40:12.053923+00:00</t>
  </si>
  <si>
    <t xml:space="preserve">ORD-5223</t>
  </si>
  <si>
    <t xml:space="preserve">PVC-2 x 2 @ 4,100; ROD-12 x 43 @ 7,200; ROD-16 x 24 @ 11,800</t>
  </si>
  <si>
    <t xml:space="preserve">2026-10-27T10:40:12.059951+00:00</t>
  </si>
  <si>
    <t xml:space="preserve">2026-10-27T10:40:12.062267+00:00</t>
  </si>
  <si>
    <t xml:space="preserve">2026-10-27T10:40:12.062779+00:00</t>
  </si>
  <si>
    <t xml:space="preserve">ORD-5224</t>
  </si>
  <si>
    <t xml:space="preserve">This looks like a repeat of ORD-5051. Confirm it is a new order.</t>
  </si>
  <si>
    <t xml:space="preserve">2026-10-27T10:40:12.06904+00:00</t>
  </si>
  <si>
    <t xml:space="preserve">ORD-5225</t>
  </si>
  <si>
    <t xml:space="preserve">PNT-20W x 17 @ 38,000; PVC-4 x 17 @ 8,600; ROOF-AL x 54 @ 12,500</t>
  </si>
  <si>
    <t xml:space="preserve">2026-10-27T10:40:12.07722+00:00</t>
  </si>
  <si>
    <t xml:space="preserve">2026-10-27T10:40:12.079454+00:00</t>
  </si>
  <si>
    <t xml:space="preserve">2026-10-27T10:40:12.079802+00:00</t>
  </si>
  <si>
    <t xml:space="preserve">ORD-5226</t>
  </si>
  <si>
    <t xml:space="preserve">NAIL-3 x 6 @ 31,000; PVC-2 x 2 @ 4,100; ROOF-AL x 58 @ 12,500</t>
  </si>
  <si>
    <t xml:space="preserve">2026-10-27T10:40:12.086255+00:00</t>
  </si>
  <si>
    <t xml:space="preserve">2026-10-27T10:40:12.088625+00:00</t>
  </si>
  <si>
    <t xml:space="preserve">2026-10-27T10:40:12.088957+00:00</t>
  </si>
  <si>
    <t xml:space="preserve">ORD-5227</t>
  </si>
  <si>
    <t xml:space="preserve">NAIL-3 x 5 @ 31,000; PNT-20C x 13 @ 38,000; ROOF-AL x 32 @ 12,500</t>
  </si>
  <si>
    <t xml:space="preserve">2026-10-27T10:40:12.095192+00:00</t>
  </si>
  <si>
    <t xml:space="preserve">2026-10-27T10:40:12.097464+00:00</t>
  </si>
  <si>
    <t xml:space="preserve">2026-10-27T10:40:12.097958+00:00</t>
  </si>
  <si>
    <t xml:space="preserve">ORD-5228</t>
  </si>
  <si>
    <t xml:space="preserve">CEM-50 x 143 @ 9,500</t>
  </si>
  <si>
    <t xml:space="preserve">2026-10-27T10:40:12.104664+00:00</t>
  </si>
  <si>
    <t xml:space="preserve">2026-10-27T10:40:12.106661+00:00</t>
  </si>
  <si>
    <t xml:space="preserve">2026-10-27T10:40:12.107162+00:00</t>
  </si>
  <si>
    <t xml:space="preserve">ORD-5229</t>
  </si>
  <si>
    <t xml:space="preserve">PVC-4 x 33 @ 8,600; ROD-16 x 1010 @ 11,800</t>
  </si>
  <si>
    <t xml:space="preserve">Iron rod, 16 mm: quantity must be between 5 and 1000. | Iron rod, 16 mm: not enough stock for this quantity. Reduce it. | Iron rod, 16 mm: 1010 is far above this customer's usual 50.</t>
  </si>
  <si>
    <t xml:space="preserve">2026-10-27T10:40:12.113122+00:00</t>
  </si>
  <si>
    <t xml:space="preserve">2026-10-27T10:40:12.115668+00:00</t>
  </si>
  <si>
    <t xml:space="preserve">2026-10-27T10:40:12.116073+00:00</t>
  </si>
  <si>
    <t xml:space="preserve">ORD-5230</t>
  </si>
  <si>
    <t xml:space="preserve">CEM-50 x 771 @ 9,500; PVC-4 x 37 @ 8,600; ROD-12 x 48 @ 7,200</t>
  </si>
  <si>
    <t xml:space="preserve">Cement, 50 kg bag: not enough stock for this quantity. Reduce it. | Cement, 50 kg bag: 771 is far above this customer's usual 32.</t>
  </si>
  <si>
    <t xml:space="preserve">2026-10-27T10:40:12.122486+00:00</t>
  </si>
  <si>
    <t xml:space="preserve">2026-10-27T10:40:12.125363+00:00</t>
  </si>
  <si>
    <t xml:space="preserve">2026-10-27T10:40:12.125699+00:00</t>
  </si>
  <si>
    <t xml:space="preserve">ORD-5231</t>
  </si>
  <si>
    <t xml:space="preserve">PVC-2 x 2 @ 4,100; ROD-16 x 64 @ 11,800; ROOF-AL x 28 @ 12,500; SAND-T x 1 @ 185,000</t>
  </si>
  <si>
    <t xml:space="preserve">2026-10-27T10:40:12.132105+00:00</t>
  </si>
  <si>
    <t xml:space="preserve">2026-10-27T10:40:12.134742+00:00</t>
  </si>
  <si>
    <t xml:space="preserve">2026-10-27T10:40:12.13508+00:00</t>
  </si>
  <si>
    <t xml:space="preserve">ORD-5232</t>
  </si>
  <si>
    <t xml:space="preserve">CEM-50 x 66 @ 9,500</t>
  </si>
  <si>
    <t xml:space="preserve">2026-10-27T10:40:12.141144+00:00</t>
  </si>
  <si>
    <t xml:space="preserve">2026-10-27T10:40:12.143144+00:00</t>
  </si>
  <si>
    <t xml:space="preserve">2026-10-27T10:40:12.143687+00:00</t>
  </si>
  <si>
    <t xml:space="preserve">ORD-5233</t>
  </si>
  <si>
    <t xml:space="preserve">CEM-50 x 161 @ 9,500; NAIL-3 x 1 @ 31,000; PNT-20C x 3 @ 38,000; PVC-4 x 544 @ 8,600</t>
  </si>
  <si>
    <t xml:space="preserve">2026-10-27T10:40:12.150677+00:00</t>
  </si>
  <si>
    <t xml:space="preserve">2026-10-27T10:40:12.153458+00:00</t>
  </si>
  <si>
    <t xml:space="preserve">2026-10-27T10:40:12.15378+00:00</t>
  </si>
  <si>
    <t xml:space="preserve">ORD-5234</t>
  </si>
  <si>
    <t xml:space="preserve">NAIL-3 x 11 @ 31,000; PVC-2 x 2 @ 4,100; TIL-6060 x 49 @ 14,500</t>
  </si>
  <si>
    <t xml:space="preserve">2026-10-27T10:40:12.159994+00:00</t>
  </si>
  <si>
    <t xml:space="preserve">2026-10-27T10:40:12.162405+00:00</t>
  </si>
  <si>
    <t xml:space="preserve">2026-10-27T10:40:12.162752+00:00</t>
  </si>
  <si>
    <t xml:space="preserve">ORD-5235</t>
  </si>
  <si>
    <t xml:space="preserve">NAIL-3 x 11 @ 31,000; ROD-12 x 98 @ 7,200; XX-464 x None (not in the catalogue)</t>
  </si>
  <si>
    <t xml:space="preserve">Row 4: XX-464 - not in the catalogue</t>
  </si>
  <si>
    <t xml:space="preserve">2026-10-27T10:40:12.169317+00:00</t>
  </si>
  <si>
    <t xml:space="preserve">2026-10-27T10:40:12.171912+00:00</t>
  </si>
  <si>
    <t xml:space="preserve">2026-10-27T10:40:12.17229+00:00</t>
  </si>
  <si>
    <t xml:space="preserve">ORD-5236</t>
  </si>
  <si>
    <t xml:space="preserve">CEM-50 x 55 @ 9,500; PNT-20C x 8 @ 38,000; ROD-16 x 46 @ 11,800; ROOF-AL x 10.5 (Quantity must be a whole number)</t>
  </si>
  <si>
    <t xml:space="preserve">ROOF-AL - Quantity must be a whole number | Iron rod, 16 mm: 46 is far above this customer's usual 12.</t>
  </si>
  <si>
    <t xml:space="preserve">2026-10-27T10:40:12.178749+00:00</t>
  </si>
  <si>
    <t xml:space="preserve">2026-10-27T10:40:12.181335+00:00</t>
  </si>
  <si>
    <t xml:space="preserve">2026-10-27T10:40:12.181662+00:00</t>
  </si>
  <si>
    <t xml:space="preserve">ORD-5237</t>
  </si>
  <si>
    <t xml:space="preserve">This looks like a repeat of ORD-5234. Confirm it is a new order.</t>
  </si>
  <si>
    <t xml:space="preserve">2026-10-27T10:40:12.188142+00:00</t>
  </si>
  <si>
    <t xml:space="preserve">ORD-5238</t>
  </si>
  <si>
    <t xml:space="preserve">NAIL-3 x 6 @ 31,000; XX-648 x None (not in the catalogue)</t>
  </si>
  <si>
    <t xml:space="preserve">Row 3: XX-648 - not in the catalogue</t>
  </si>
  <si>
    <t xml:space="preserve">2026-10-27T10:40:12.196397+00:00</t>
  </si>
  <si>
    <t xml:space="preserve">2026-10-27T10:40:12.198462+00:00</t>
  </si>
  <si>
    <t xml:space="preserve">2026-10-27T10:40:12.1988+00:00</t>
  </si>
  <si>
    <t xml:space="preserve">ORD-5239</t>
  </si>
  <si>
    <t xml:space="preserve">2026-10-27T10:40:12.20539+00:00</t>
  </si>
  <si>
    <t xml:space="preserve">ORD-5240</t>
  </si>
  <si>
    <t xml:space="preserve">CEM-50 x 200 @ 9,500; PVC-2 x 2 @ 4,100; TIL-6060 x 55 @ 14,500</t>
  </si>
  <si>
    <t xml:space="preserve">Cement, 50 kg bag: 200 is far above this customer's usual 33.</t>
  </si>
  <si>
    <t xml:space="preserve">2026-10-27T10:40:12.213865+00:00</t>
  </si>
  <si>
    <t xml:space="preserve">2026-10-27T10:40:12.216164+00:00</t>
  </si>
  <si>
    <t xml:space="preserve">2026-10-27T10:40:12.216554+00:00</t>
  </si>
  <si>
    <t xml:space="preserve">ORD-5241</t>
  </si>
  <si>
    <t xml:space="preserve">PNT-20W x 4 @ 38,000; ROD-12 x 4 @ 7,200; TIL-6060 x 17 @ 14,500; WIRE-25 x 4 @ 52,000</t>
  </si>
  <si>
    <t xml:space="preserve">2026-10-27T10:40:12.223155+00:00</t>
  </si>
  <si>
    <t xml:space="preserve">2026-10-27T10:40:12.225539+00:00</t>
  </si>
  <si>
    <t xml:space="preserve">2026-10-27T10:40:12.225871+00:00</t>
  </si>
  <si>
    <t xml:space="preserve">ORD-5242</t>
  </si>
  <si>
    <t xml:space="preserve">PNT-20W x 16 @ 38,000; ROD-16 x 28 @ 11,800</t>
  </si>
  <si>
    <t xml:space="preserve">2026-10-27T10:40:12.232569+00:00</t>
  </si>
  <si>
    <t xml:space="preserve">2026-10-27T10:40:12.23481+00:00</t>
  </si>
  <si>
    <t xml:space="preserve">2026-10-27T10:40:12.235299+00:00</t>
  </si>
  <si>
    <t xml:space="preserve">ORD-5243</t>
  </si>
  <si>
    <t xml:space="preserve">2026-10-27T10:40:12.242066+00:00</t>
  </si>
  <si>
    <t xml:space="preserve">2026-10-27T10:40:12.244111+00:00</t>
  </si>
  <si>
    <t xml:space="preserve">2026-10-27T10:40:12.244473+00:00</t>
  </si>
  <si>
    <t xml:space="preserve">ORD-5244</t>
  </si>
  <si>
    <t xml:space="preserve">2026-10-27T10:40:12.250479+00:00</t>
  </si>
  <si>
    <t xml:space="preserve">2026-10-27T10:40:12.252574+00:00</t>
  </si>
  <si>
    <t xml:space="preserve">2026-10-27T10:40:12.252919+00:00</t>
  </si>
  <si>
    <t xml:space="preserve">ORD-5245</t>
  </si>
  <si>
    <t xml:space="preserve">This looks like a repeat of ORD-5244. Confirm it is a new order.</t>
  </si>
  <si>
    <t xml:space="preserve">2026-10-27T10:40:12.259849+00:00</t>
  </si>
  <si>
    <t xml:space="preserve">ORD-5246</t>
  </si>
  <si>
    <t xml:space="preserve">2026-10-27T10:40:12.268061+00:00</t>
  </si>
  <si>
    <t xml:space="preserve">2026-10-27T10:40:12.270154+00:00</t>
  </si>
  <si>
    <t xml:space="preserve">2026-10-27T10:40:12.270546+00:00</t>
  </si>
  <si>
    <t xml:space="preserve">ORD-5247</t>
  </si>
  <si>
    <t xml:space="preserve">ROOF-AL x 70 @ 12,500; WIRE-25 x 10 @ 52,000; ROD-16 x 5.5 (Quantity must be a whole number)</t>
  </si>
  <si>
    <t xml:space="preserve">2026-10-27T10:40:12.277282+00:00</t>
  </si>
  <si>
    <t xml:space="preserve">2026-10-27T10:40:12.279501+00:00</t>
  </si>
  <si>
    <t xml:space="preserve">2026-10-27T10:40:12.2799+00:00</t>
  </si>
  <si>
    <t xml:space="preserve">ORD-5248</t>
  </si>
  <si>
    <t xml:space="preserve">PVC-2 x 2 @ 4,100; PVC-4 x 535 @ 8,600</t>
  </si>
  <si>
    <t xml:space="preserve">2026-10-27T10:40:12.286456+00:00</t>
  </si>
  <si>
    <t xml:space="preserve">2026-10-27T10:40:12.288826+00:00</t>
  </si>
  <si>
    <t xml:space="preserve">2026-10-27T10:40:12.289174+00:00</t>
  </si>
  <si>
    <t xml:space="preserve">ORD-5249</t>
  </si>
  <si>
    <t xml:space="preserve">PNT-20W x 24 @ 38,000; ROD-16 x 32 @ 11,800; TIL-6060 x 26 @ 14,500</t>
  </si>
  <si>
    <t xml:space="preserve">2026-10-27T10:40:12.295738+00:00</t>
  </si>
  <si>
    <t xml:space="preserve">2026-10-27T10:40:12.298121+00:00</t>
  </si>
  <si>
    <t xml:space="preserve">2026-10-27T10:40:12.29851+00:00</t>
  </si>
  <si>
    <t xml:space="preserve">ORD-5250</t>
  </si>
  <si>
    <t xml:space="preserve">2026-10-27T10:40:12.305233+00:00</t>
  </si>
  <si>
    <t xml:space="preserve">2026-10-27T10:40:12.307618+00:00</t>
  </si>
  <si>
    <t xml:space="preserve">2026-10-27T10:40:12.307945+00:00</t>
  </si>
  <si>
    <t xml:space="preserve">ORD-5251</t>
  </si>
  <si>
    <t xml:space="preserve">PNT-20W x 4 @ 38,000; PVC-2 x 2 @ 4,100; PVC-4 x 29 @ 8,600; ROD-12 x 5.5 (Quantity must be a whole number)</t>
  </si>
  <si>
    <t xml:space="preserve">2026-10-27T10:40:12.314869+00:00</t>
  </si>
  <si>
    <t xml:space="preserve">2026-10-27T10:40:12.317275+00:00</t>
  </si>
  <si>
    <t xml:space="preserve">2026-10-27T10:40:12.317616+00:00</t>
  </si>
  <si>
    <t xml:space="preserve">ORD-5252</t>
  </si>
  <si>
    <t xml:space="preserve">PVC-4 x 36 @ 8,600; TIL-6060 x 36 @ 14,500</t>
  </si>
  <si>
    <t xml:space="preserve">2026-10-27T10:40:12.324475+00:00</t>
  </si>
  <si>
    <t xml:space="preserve">2026-10-27T10:40:12.326732+00:00</t>
  </si>
  <si>
    <t xml:space="preserve">2026-10-27T10:40:12.3271+00:00</t>
  </si>
  <si>
    <t xml:space="preserve">ORD-5253</t>
  </si>
  <si>
    <t xml:space="preserve">2026-10-27T10:40:12.334414+00:00</t>
  </si>
  <si>
    <t xml:space="preserve">2026-10-27T10:40:12.336453+00:00</t>
  </si>
  <si>
    <t xml:space="preserve">2026-10-27T10:40:12.336797+00:00</t>
  </si>
  <si>
    <t xml:space="preserve">ORD-5254</t>
  </si>
  <si>
    <t xml:space="preserve">ROOF-AL x 11 @ 12,500</t>
  </si>
  <si>
    <t xml:space="preserve">2026-10-27T10:40:12.343996+00:00</t>
  </si>
  <si>
    <t xml:space="preserve">2026-10-27T10:40:12.346138+00:00</t>
  </si>
  <si>
    <t xml:space="preserve">2026-10-27T10:40:12.346511+00:00</t>
  </si>
  <si>
    <t xml:space="preserve">ORD-5255</t>
  </si>
  <si>
    <t xml:space="preserve">2026-10-27T10:40:12.35331+00:00</t>
  </si>
  <si>
    <t xml:space="preserve">2026-10-27T10:40:12.355446+00:00</t>
  </si>
  <si>
    <t xml:space="preserve">2026-10-27T10:40:12.355798+00:00</t>
  </si>
  <si>
    <t xml:space="preserve">ORD-5256</t>
  </si>
  <si>
    <t xml:space="preserve">PNT-20C x 8 @ 38,000; PVC-2 x 2 @ 4,100; WIRE-25 x 3 @ 52,000</t>
  </si>
  <si>
    <t xml:space="preserve">2026-10-27T10:40:12.36281+00:00</t>
  </si>
  <si>
    <t xml:space="preserve">2026-10-27T10:40:12.364995+00:00</t>
  </si>
  <si>
    <t xml:space="preserve">2026-10-27T10:40:12.36538+00:00</t>
  </si>
  <si>
    <t xml:space="preserve">ORD-5257</t>
  </si>
  <si>
    <t xml:space="preserve">2026-10-27T10:40:12.372179+00:00</t>
  </si>
  <si>
    <t xml:space="preserve">2026-10-27T10:40:12.374295+00:00</t>
  </si>
  <si>
    <t xml:space="preserve">2026-10-27T10:40:12.37463+00:00</t>
  </si>
  <si>
    <t xml:space="preserve">ORD-5258</t>
  </si>
  <si>
    <t xml:space="preserve">ROD-12 x 22 @ 7,200</t>
  </si>
  <si>
    <t xml:space="preserve">2026-10-27T10:40:12.381471+00:00</t>
  </si>
  <si>
    <t xml:space="preserve">2026-10-27T10:40:12.383593+00:00</t>
  </si>
  <si>
    <t xml:space="preserve">2026-10-27T10:40:12.38394+00:00</t>
  </si>
  <si>
    <t xml:space="preserve">ORD-5259</t>
  </si>
  <si>
    <t xml:space="preserve">NAIL-3 x 3 @ 31,000; PNT-20W x 11 @ 38,000</t>
  </si>
  <si>
    <t xml:space="preserve">2026-10-27T10:40:12.390872+00:00</t>
  </si>
  <si>
    <t xml:space="preserve">2026-10-27T10:40:12.393118+00:00</t>
  </si>
  <si>
    <t xml:space="preserve">2026-10-27T10:40:12.393496+00:00</t>
  </si>
  <si>
    <t xml:space="preserve">ORD-5260</t>
  </si>
  <si>
    <t xml:space="preserve">CEM-50 x 9 @ 9,500; ROD-12 x 135 @ 7,200; WIRE-25 x 12 @ 52,000</t>
  </si>
  <si>
    <t xml:space="preserve">Cement, 50 kg bag: quantity must be between 10 and 2000. | Iron rod, 12 mm: 135 is far above this customer's usual 26.</t>
  </si>
  <si>
    <t xml:space="preserve">2026-10-27T10:40:12.400331+00:00</t>
  </si>
  <si>
    <t xml:space="preserve">2026-10-27T10:40:12.402788+00:00</t>
  </si>
  <si>
    <t xml:space="preserve">2026-10-27T10:40:12.403119+00:00</t>
  </si>
  <si>
    <t xml:space="preserve">ORD-5261</t>
  </si>
  <si>
    <t xml:space="preserve">PNT-20C x 9 @ 38,000; PNT-20W x 6 @ 38,000; TIL-6060 x 38 @ 14,500</t>
  </si>
  <si>
    <t xml:space="preserve">2026-10-27T10:40:12.409755+00:00</t>
  </si>
  <si>
    <t xml:space="preserve">2026-10-27T10:40:12.412027+00:00</t>
  </si>
  <si>
    <t xml:space="preserve">2026-10-27T10:40:12.412426+00:00</t>
  </si>
  <si>
    <t xml:space="preserve">ORD-5262</t>
  </si>
  <si>
    <t xml:space="preserve">NAIL-3 x 9 @ 31,000; PNT-20W x 4 @ 38,000; TIL-6060 x 70 @ 14,500; XX-570 x None (not in the catalogue)</t>
  </si>
  <si>
    <t xml:space="preserve">Row 5: XX-570 - not in the catalogue</t>
  </si>
  <si>
    <t xml:space="preserve">2026-10-27T10:40:12.419698+00:00</t>
  </si>
  <si>
    <t xml:space="preserve">2026-10-27T10:40:12.422162+00:00</t>
  </si>
  <si>
    <t xml:space="preserve">2026-10-27T10:40:12.422546+00:00</t>
  </si>
  <si>
    <t xml:space="preserve">ORD-5263</t>
  </si>
  <si>
    <t xml:space="preserve">PNT-20W x 16 @ 38,000; WIRE-25 x 10 @ 52,000</t>
  </si>
  <si>
    <t xml:space="preserve">2026-10-27T10:40:12.428925+00:00</t>
  </si>
  <si>
    <t xml:space="preserve">2026-10-27T10:40:12.431117+00:00</t>
  </si>
  <si>
    <t xml:space="preserve">2026-10-27T10:40:12.431564+00:00</t>
  </si>
  <si>
    <t xml:space="preserve">ORD-5264</t>
  </si>
  <si>
    <t xml:space="preserve">CEM-50 x 134 @ 9,500; PVC-4 x 27 @ 8,600; TIL-6060 x 376 @ 14,500</t>
  </si>
  <si>
    <t xml:space="preserve">Floor tile 60x60, carton: not enough stock for this quantity. Reduce it. | Cement, 50 kg bag: 134 is far above this customer's usual 26.</t>
  </si>
  <si>
    <t xml:space="preserve">2026-10-27T10:40:12.439017+00:00</t>
  </si>
  <si>
    <t xml:space="preserve">2026-10-27T10:40:12.442364+00:00</t>
  </si>
  <si>
    <t xml:space="preserve">2026-10-27T10:40:12.442712+00:00</t>
  </si>
  <si>
    <t xml:space="preserve">ORD-5265</t>
  </si>
  <si>
    <t xml:space="preserve">PNT-20C x 3 @ 38,000; PVC-4 x 30 @ 8,600; ROD-16 x 67 @ 11,800</t>
  </si>
  <si>
    <t xml:space="preserve">2026-10-27T10:40:12.449655+00:00</t>
  </si>
  <si>
    <t xml:space="preserve">2026-10-27T10:40:12.451984+00:00</t>
  </si>
  <si>
    <t xml:space="preserve">2026-10-27T10:40:12.452362+00:00</t>
  </si>
  <si>
    <t xml:space="preserve">ORD-5266</t>
  </si>
  <si>
    <t xml:space="preserve">PVC-4 x 39 @ 8,600; ROD-12 x 4 @ 7,200; WIRE-25 x 1 @ 52,000</t>
  </si>
  <si>
    <t xml:space="preserve">2026-10-27T10:40:12.459382+00:00</t>
  </si>
  <si>
    <t xml:space="preserve">2026-10-27T10:40:12.461679+00:00</t>
  </si>
  <si>
    <t xml:space="preserve">2026-10-27T10:40:12.462021+00:00</t>
  </si>
  <si>
    <t xml:space="preserve">ORD-5267</t>
  </si>
  <si>
    <t xml:space="preserve">NAIL-3 x 11 @ 31,000; ROD-16 x 48 @ 11,800; ROOF-AL x 11 @ 12,500; SAND-T x 1 @ 185,000</t>
  </si>
  <si>
    <t xml:space="preserve">2026-10-27T10:40:12.468768+00:00</t>
  </si>
  <si>
    <t xml:space="preserve">2026-10-27T10:40:12.471319+00:00</t>
  </si>
  <si>
    <t xml:space="preserve">2026-10-27T10:40:12.47165+00:00</t>
  </si>
  <si>
    <t xml:space="preserve">ORD-5268</t>
  </si>
  <si>
    <t xml:space="preserve">CEM-50 x 270 @ 9,500; PVC-2 x 2 @ 4,100</t>
  </si>
  <si>
    <t xml:space="preserve">Cement, 50 kg bag: 270 is far above this customer's usual 36.</t>
  </si>
  <si>
    <t xml:space="preserve">2026-10-27T10:40:12.47858+00:00</t>
  </si>
  <si>
    <t xml:space="preserve">2026-10-27T10:40:12.480696+00:00</t>
  </si>
  <si>
    <t xml:space="preserve">2026-10-27T10:40:12.481044+00:00</t>
  </si>
  <si>
    <t xml:space="preserve">ORD-5269</t>
  </si>
  <si>
    <t xml:space="preserve">PNT-20C x 3 @ 38,000; ROD-16 x 68 @ 11,800</t>
  </si>
  <si>
    <t xml:space="preserve">2026-10-27T10:40:12.48807+00:00</t>
  </si>
  <si>
    <t xml:space="preserve">2026-10-27T10:40:12.490301+00:00</t>
  </si>
  <si>
    <t xml:space="preserve">2026-10-27T10:40:12.490663+00:00</t>
  </si>
  <si>
    <t xml:space="preserve">ORD-5270</t>
  </si>
  <si>
    <t xml:space="preserve">CEM-50 x 117 @ 9,500; NAIL-3 x 3 @ 31,000; ROD-16 x 73 @ 11,800</t>
  </si>
  <si>
    <t xml:space="preserve">2026-10-27T10:40:12.497982+00:00</t>
  </si>
  <si>
    <t xml:space="preserve">2026-10-27T10:40:12.50077+00:00</t>
  </si>
  <si>
    <t xml:space="preserve">2026-10-27T10:40:12.501102+00:00</t>
  </si>
  <si>
    <t xml:space="preserve">ORD-5271</t>
  </si>
  <si>
    <t xml:space="preserve">PVC-4 x 8 @ 8,600; ROD-12 x 43 @ 7,200; TIL-6060 x 28 @ 14,500</t>
  </si>
  <si>
    <t xml:space="preserve">2026-10-27T10:40:12.508032+00:00</t>
  </si>
  <si>
    <t xml:space="preserve">2026-10-27T10:40:12.510305+00:00</t>
  </si>
  <si>
    <t xml:space="preserve">2026-10-27T10:40:12.510662+00:00</t>
  </si>
  <si>
    <t xml:space="preserve">ORD-5272</t>
  </si>
  <si>
    <t xml:space="preserve">2026-10-27T10:40:12.517621+00:00</t>
  </si>
  <si>
    <t xml:space="preserve">2026-10-27T10:40:12.519798+00:00</t>
  </si>
  <si>
    <t xml:space="preserve">2026-10-27T10:40:12.520147+00:00</t>
  </si>
  <si>
    <t xml:space="preserve">ORD-5273</t>
  </si>
  <si>
    <t xml:space="preserve">This looks like a repeat of ORD-5272. Confirm it is a new order.</t>
  </si>
  <si>
    <t xml:space="preserve">2026-10-27T10:40:12.527393+00:00</t>
  </si>
  <si>
    <t xml:space="preserve">ORD-5274</t>
  </si>
  <si>
    <t xml:space="preserve">2026-10-27T10:40:12.536368+00:00</t>
  </si>
  <si>
    <t xml:space="preserve">2026-10-27T10:40:12.538464+00:00</t>
  </si>
  <si>
    <t xml:space="preserve">2026-10-27T10:40:12.538817+00:00</t>
  </si>
  <si>
    <t xml:space="preserve">ORD-5275</t>
  </si>
  <si>
    <t xml:space="preserve">PVC-4 x 49 @ 8,600; ROD-12 x 6 @ 7,200; TIL-6060 x 57 @ 14,500</t>
  </si>
  <si>
    <t xml:space="preserve">2026-10-27T10:40:12.546233+00:00</t>
  </si>
  <si>
    <t xml:space="preserve">2026-10-27T10:40:12.548721+00:00</t>
  </si>
  <si>
    <t xml:space="preserve">2026-10-27T10:40:12.549109+00:00</t>
  </si>
  <si>
    <t xml:space="preserve">ORD-5276</t>
  </si>
  <si>
    <t xml:space="preserve">2026-10-27T10:40:12.55704+00:00</t>
  </si>
  <si>
    <t xml:space="preserve">2026-10-27T10:40:12.559439+00:00</t>
  </si>
  <si>
    <t xml:space="preserve">2026-10-27T10:40:12.559788+00:00</t>
  </si>
  <si>
    <t xml:space="preserve">ORD-5277</t>
  </si>
  <si>
    <t xml:space="preserve">NAIL-3 x 7 @ 31,000; PNT-20W x 8 @ 38,000; ROOF-AL x 70 @ 12,500; TIL-6060 x 817 @ 14,500</t>
  </si>
  <si>
    <t xml:space="preserve">Floor tile 60x60, carton: quantity must be between 2 and 800. | Floor tile 60x60, carton: not enough stock for this quantity. Reduce it. | Floor tile 60x60, carton: 817 is far above this customer's usual 31.</t>
  </si>
  <si>
    <t xml:space="preserve">2026-10-27T10:40:12.567452+00:00</t>
  </si>
  <si>
    <t xml:space="preserve">2026-10-27T10:40:12.570385+00:00</t>
  </si>
  <si>
    <t xml:space="preserve">2026-10-27T10:40:12.570715+00:00</t>
  </si>
  <si>
    <t xml:space="preserve">ORD-5278</t>
  </si>
  <si>
    <t xml:space="preserve">This looks like a repeat of ORD-5276. Confirm it is a new order.</t>
  </si>
  <si>
    <t xml:space="preserve">2026-10-27T10:40:12.578006+00:00</t>
  </si>
  <si>
    <t xml:space="preserve">ORD-5279</t>
  </si>
  <si>
    <t xml:space="preserve">TIL-6060 x 46 @ 14,500; WIRE-25 x 5 @ 52,000</t>
  </si>
  <si>
    <t xml:space="preserve">2026-10-27T10:40:12.586728+00:00</t>
  </si>
  <si>
    <t xml:space="preserve">2026-10-27T10:40:12.588868+00:00</t>
  </si>
  <si>
    <t xml:space="preserve">2026-10-27T10:40:12.589258+00:00</t>
  </si>
  <si>
    <t xml:space="preserve">ORD-5280</t>
  </si>
  <si>
    <t xml:space="preserve">CEM-50 x 180 @ 9,500; ROOF-AL x 16 @ 12,500</t>
  </si>
  <si>
    <t xml:space="preserve">Cement, 50 kg bag: 180 is far above this customer's usual 55.</t>
  </si>
  <si>
    <t xml:space="preserve">2026-10-27T10:40:12.59688+00:00</t>
  </si>
  <si>
    <t xml:space="preserve">2026-10-27T10:40:12.599127+00:00</t>
  </si>
  <si>
    <t xml:space="preserve">2026-10-27T10:40:12.59952+00:00</t>
  </si>
  <si>
    <t xml:space="preserve">ORD-5281</t>
  </si>
  <si>
    <t xml:space="preserve">2026-10-27T10:40:12.606915+00:00</t>
  </si>
  <si>
    <t xml:space="preserve">2026-10-27T10:40:12.60907+00:00</t>
  </si>
  <si>
    <t xml:space="preserve">2026-10-27T10:40:12.609474+00:00</t>
  </si>
  <si>
    <t xml:space="preserve">ORD-5282</t>
  </si>
  <si>
    <t xml:space="preserve">PVC-4 x 56 @ 8,600; ROD-12 x 586 @ 7,200; ROOF-AL x 52 @ 12,500; TIL-6060 x 78 @ 14,500</t>
  </si>
  <si>
    <t xml:space="preserve">2026-10-27T10:40:12.61501+00:00</t>
  </si>
  <si>
    <t xml:space="preserve">2026-10-27T10:40:12.617727+00:00</t>
  </si>
  <si>
    <t xml:space="preserve">2026-10-27T10:40:12.618055+00:00</t>
  </si>
  <si>
    <t xml:space="preserve">ORD-5283</t>
  </si>
  <si>
    <t xml:space="preserve">CEM-50 x 9 @ 9,500; TIL-6060 x 50 @ 14,500</t>
  </si>
  <si>
    <t xml:space="preserve">2026-10-27T10:40:12.625429+00:00</t>
  </si>
  <si>
    <t xml:space="preserve">2026-10-27T10:40:12.627657+00:00</t>
  </si>
  <si>
    <t xml:space="preserve">2026-10-27T10:40:12.627986+00:00</t>
  </si>
  <si>
    <t xml:space="preserve">ORD-5284</t>
  </si>
  <si>
    <t xml:space="preserve">PNT-20W x 24 @ 38,000; ROD-16 x 72 @ 11,800; ROOF-AL x 47 @ 12,500; CEM-50 x 10.5 (Quantity must be a whole number)</t>
  </si>
  <si>
    <t xml:space="preserve">2026-10-27T10:40:12.635557+00:00</t>
  </si>
  <si>
    <t xml:space="preserve">2026-10-27T10:40:12.637952+00:00</t>
  </si>
  <si>
    <t xml:space="preserve">2026-10-27T10:40:12.638323+00:00</t>
  </si>
  <si>
    <t xml:space="preserve">ORD-5285</t>
  </si>
  <si>
    <t xml:space="preserve">2026-10-27T10:40:12.645683+00:00</t>
  </si>
  <si>
    <t xml:space="preserve">2026-10-27T10:40:12.647919+00:00</t>
  </si>
  <si>
    <t xml:space="preserve">2026-10-27T10:40:12.648311+00:00</t>
  </si>
  <si>
    <t xml:space="preserve">ORD-5286</t>
  </si>
  <si>
    <t xml:space="preserve">This looks like a repeat of ORD-5285. Confirm it is a new order.</t>
  </si>
  <si>
    <t xml:space="preserve">2026-10-27T10:40:12.656174+00:00</t>
  </si>
  <si>
    <t xml:space="preserve">ORD-5287</t>
  </si>
  <si>
    <t xml:space="preserve">ROD-16 x 65 @ 11,800</t>
  </si>
  <si>
    <t xml:space="preserve">2026-10-27T10:40:12.665227+00:00</t>
  </si>
  <si>
    <t xml:space="preserve">2026-10-27T10:40:12.667334+00:00</t>
  </si>
  <si>
    <t xml:space="preserve">2026-10-27T10:40:12.667688+00:00</t>
  </si>
  <si>
    <t xml:space="preserve">ORD-5288</t>
  </si>
  <si>
    <t xml:space="preserve">2026-10-27T10:40:12.675451+00:00</t>
  </si>
  <si>
    <t xml:space="preserve">2026-10-27T10:40:12.677501+00:00</t>
  </si>
  <si>
    <t xml:space="preserve">2026-10-27T10:40:12.677961+00:00</t>
  </si>
  <si>
    <t xml:space="preserve">ORD-5289</t>
  </si>
  <si>
    <t xml:space="preserve">PNT-20W x 27 @ 38,000; ROD-16 x 37 @ 11,800</t>
  </si>
  <si>
    <t xml:space="preserve">2026-10-27T10:40:12.68493+00:00</t>
  </si>
  <si>
    <t xml:space="preserve">2026-10-27T10:40:12.687125+00:00</t>
  </si>
  <si>
    <t xml:space="preserve">2026-10-27T10:40:12.687521+00:00</t>
  </si>
  <si>
    <t xml:space="preserve">ORD-5290</t>
  </si>
  <si>
    <t xml:space="preserve">NAIL-3 x 2 @ 31,000; PVC-2 x 2 @ 4,100; ROD-12 x 104 @ 7,200</t>
  </si>
  <si>
    <t xml:space="preserve">2026-10-27T10:40:12.6954+00:00</t>
  </si>
  <si>
    <t xml:space="preserve">2026-10-27T10:40:12.69787+00:00</t>
  </si>
  <si>
    <t xml:space="preserve">2026-10-27T10:40:12.698192+00:00</t>
  </si>
  <si>
    <t xml:space="preserve">ORD-5291</t>
  </si>
  <si>
    <t xml:space="preserve">ROD-12 x 39 @ 7,200; ROD-16 x 40 @ 11,800</t>
  </si>
  <si>
    <t xml:space="preserve">2026-10-27T10:40:12.705744+00:00</t>
  </si>
  <si>
    <t xml:space="preserve">2026-10-27T10:40:12.707947+00:00</t>
  </si>
  <si>
    <t xml:space="preserve">2026-10-27T10:40:12.708328+00:00</t>
  </si>
  <si>
    <t xml:space="preserve">ORD-5292</t>
  </si>
  <si>
    <t xml:space="preserve">CEM-50 x 270 @ 9,500; PNT-20C x 4 @ 38,000; PVC-2 x 2 @ 4,100</t>
  </si>
  <si>
    <t xml:space="preserve">Cement, 50 kg bag: 270 is far above this customer's usual 75.</t>
  </si>
  <si>
    <t xml:space="preserve">2026-10-27T10:40:12.715995+00:00</t>
  </si>
  <si>
    <t xml:space="preserve">2026-10-27T10:40:12.718486+00:00</t>
  </si>
  <si>
    <t xml:space="preserve">2026-10-27T10:40:12.718896+00:00</t>
  </si>
  <si>
    <t xml:space="preserve">ORD-5293</t>
  </si>
  <si>
    <t xml:space="preserve">PNT-20C x 5 @ 38,000; PNT-20W x 10 @ 38,000; WIRE-25 x 13 @ 52,000</t>
  </si>
  <si>
    <t xml:space="preserve">2026-10-27T10:40:12.726228+00:00</t>
  </si>
  <si>
    <t xml:space="preserve">2026-10-27T10:40:12.728622+00:00</t>
  </si>
  <si>
    <t xml:space="preserve">2026-10-27T10:40:12.728985+00:00</t>
  </si>
  <si>
    <t xml:space="preserve">ORD-5294</t>
  </si>
  <si>
    <t xml:space="preserve">PVC-4 x 41 @ 8,600; ROD-16 x 30 @ 11,800; TIL-6060 x 79 @ 14,500</t>
  </si>
  <si>
    <t xml:space="preserve">2026-10-27T10:40:12.736605+00:00</t>
  </si>
  <si>
    <t xml:space="preserve">2026-10-27T10:40:12.738941+00:00</t>
  </si>
  <si>
    <t xml:space="preserve">2026-10-27T10:40:12.739318+00:00</t>
  </si>
  <si>
    <t xml:space="preserve">ORD-5295</t>
  </si>
  <si>
    <t xml:space="preserve">CEM-50 x 100 @ 9,500; PVC-4 x 20 @ 8,600; WIRE-25 x 2 @ 52,000</t>
  </si>
  <si>
    <t xml:space="preserve">2026-10-27T10:40:12.74693+00:00</t>
  </si>
  <si>
    <t xml:space="preserve">2026-10-27T10:40:12.749372+00:00</t>
  </si>
  <si>
    <t xml:space="preserve">2026-10-27T10:40:12.749717+00:00</t>
  </si>
  <si>
    <t xml:space="preserve">ORD-5296</t>
  </si>
  <si>
    <t xml:space="preserve">This looks like a repeat of ORD-5295. Confirm it is a new order.</t>
  </si>
  <si>
    <t xml:space="preserve">2026-10-27T10:40:12.757414+00:00</t>
  </si>
  <si>
    <t xml:space="preserve">ORD-5297</t>
  </si>
  <si>
    <t xml:space="preserve">NAIL-3 x 12 @ 31,000; ROD-12 x 32 @ 7,200</t>
  </si>
  <si>
    <t xml:space="preserve">2026-10-27T10:40:12.766901+00:00</t>
  </si>
  <si>
    <t xml:space="preserve">2026-10-27T10:40:12.769329+00:00</t>
  </si>
  <si>
    <t xml:space="preserve">2026-10-27T10:40:12.769683+00:00</t>
  </si>
  <si>
    <t xml:space="preserve">ORD-5298</t>
  </si>
  <si>
    <t xml:space="preserve">NAIL-3 x 1 @ 31,000; ROD-16 x 63 @ 11,800</t>
  </si>
  <si>
    <t xml:space="preserve">2026-10-27T10:40:12.777388+00:00</t>
  </si>
  <si>
    <t xml:space="preserve">2026-10-27T10:40:12.779661+00:00</t>
  </si>
  <si>
    <t xml:space="preserve">2026-10-27T10:40:12.780005+00:00</t>
  </si>
  <si>
    <t xml:space="preserve">ORD-5299</t>
  </si>
  <si>
    <t xml:space="preserve">PVC-4 x 54 @ 8,600; ROD-12 x 112 @ 7,200; WIRE-25 x 16 @ 52,000</t>
  </si>
  <si>
    <t xml:space="preserve">Iron rod, 12 mm: 112 is far above this customer's usual 29.</t>
  </si>
  <si>
    <t xml:space="preserve">2026-10-27T10:40:12.787514+00:00</t>
  </si>
  <si>
    <t xml:space="preserve">2026-10-27T10:40:12.789884+00:00</t>
  </si>
  <si>
    <t xml:space="preserve">2026-10-27T10:40:12.790273+00:00</t>
  </si>
  <si>
    <t xml:space="preserve">ORD-5300</t>
  </si>
  <si>
    <t xml:space="preserve">2026-10-27T10:40:12.798277+00:00</t>
  </si>
  <si>
    <t xml:space="preserve">2026-10-27T10:40:12.800311+00:00</t>
  </si>
  <si>
    <t xml:space="preserve">2026-10-27T10:40:12.800652+00:00</t>
  </si>
  <si>
    <t xml:space="preserve">ORD-5301</t>
  </si>
  <si>
    <t xml:space="preserve">CEM-50 x 133 @ 9,500; PVC-2 x 2 @ 4,100; ROD-16 x 8 @ 11,800</t>
  </si>
  <si>
    <t xml:space="preserve">2026-10-27T10:40:12.808225+00:00</t>
  </si>
  <si>
    <t xml:space="preserve">2026-10-27T10:40:12.810664+00:00</t>
  </si>
  <si>
    <t xml:space="preserve">2026-10-27T10:40:12.811139+00:00</t>
  </si>
  <si>
    <t xml:space="preserve">ORD-5302</t>
  </si>
  <si>
    <t xml:space="preserve">2026-10-27T10:40:12.818194+00:00</t>
  </si>
  <si>
    <t xml:space="preserve">2026-10-27T10:40:12.820304+00:00</t>
  </si>
  <si>
    <t xml:space="preserve">2026-10-27T10:40:12.820649+00:00</t>
  </si>
  <si>
    <t xml:space="preserve">ORD-5303</t>
  </si>
  <si>
    <t xml:space="preserve">CEM-50 x 87 @ 9,500; PVC-4 x 33 @ 8,600; ROD-12 x 16 @ 7,200; ROOF-AL x 26 @ 12,500</t>
  </si>
  <si>
    <t xml:space="preserve">2026-10-27T10:40:12.828639+00:00</t>
  </si>
  <si>
    <t xml:space="preserve">2026-10-27T10:40:12.831401+00:00</t>
  </si>
  <si>
    <t xml:space="preserve">2026-10-27T10:40:12.831779+00:00</t>
  </si>
  <si>
    <t xml:space="preserve">ORD-5304</t>
  </si>
  <si>
    <t xml:space="preserve">2026-10-27T10:40:12.839564+00:00</t>
  </si>
  <si>
    <t xml:space="preserve">2026-10-27T10:40:12.841634+00:00</t>
  </si>
  <si>
    <t xml:space="preserve">2026-10-27T10:40:12.842039+00:00</t>
  </si>
  <si>
    <t xml:space="preserve">ORD-5305</t>
  </si>
  <si>
    <t xml:space="preserve">PNT-20W x 13 @ 38,000; ROD-16 x 26 @ 11,800</t>
  </si>
  <si>
    <t xml:space="preserve">2026-10-27T10:40:12.849565+00:00</t>
  </si>
  <si>
    <t xml:space="preserve">2026-10-27T10:40:12.851756+00:00</t>
  </si>
  <si>
    <t xml:space="preserve">2026-10-27T10:40:12.8521+00:00</t>
  </si>
  <si>
    <t xml:space="preserve">ORD-5306</t>
  </si>
  <si>
    <t xml:space="preserve">2026-10-27T10:40:12.860191+00:00</t>
  </si>
  <si>
    <t xml:space="preserve">2026-10-27T10:40:12.862126+00:00</t>
  </si>
  <si>
    <t xml:space="preserve">2026-10-27T10:40:12.86251+00:00</t>
  </si>
  <si>
    <t xml:space="preserve">ORD-5307</t>
  </si>
  <si>
    <t xml:space="preserve">PVC-4 x 5 @ 8,600; ROOF-AL x 14 @ 12,500</t>
  </si>
  <si>
    <t xml:space="preserve">2026-10-27T10:40:12.870034+00:00</t>
  </si>
  <si>
    <t xml:space="preserve">2026-10-27T10:40:12.872341+00:00</t>
  </si>
  <si>
    <t xml:space="preserve">2026-10-27T10:40:12.872701+00:00</t>
  </si>
  <si>
    <t xml:space="preserve">ORD-5308</t>
  </si>
  <si>
    <t xml:space="preserve">PVC-2 x 2 @ 4,100; TIL-6060 x 24 @ 14,500</t>
  </si>
  <si>
    <t xml:space="preserve">2026-10-27T10:40:12.880693+00:00</t>
  </si>
  <si>
    <t xml:space="preserve">2026-10-27T10:40:12.88316+00:00</t>
  </si>
  <si>
    <t xml:space="preserve">2026-10-27T10:40:12.883561+00:00</t>
  </si>
  <si>
    <t xml:space="preserve">ORD-5309</t>
  </si>
  <si>
    <t xml:space="preserve">PNT-20C x 10 @ 38,000; XX-254 x None (not in the catalogue)</t>
  </si>
  <si>
    <t xml:space="preserve">Row 3: XX-254 - not in the catalogue</t>
  </si>
  <si>
    <t xml:space="preserve">2026-10-27T10:40:12.891989+00:00</t>
  </si>
  <si>
    <t xml:space="preserve">2026-10-27T10:40:12.894513+00:00</t>
  </si>
  <si>
    <t xml:space="preserve">2026-10-27T10:40:12.89486+00:00</t>
  </si>
  <si>
    <t xml:space="preserve">ORD-5310</t>
  </si>
  <si>
    <t xml:space="preserve">PVC-2 x 2 @ 4,100; ROOF-AL x 21 @ 12,500</t>
  </si>
  <si>
    <t xml:space="preserve">2026-10-27T10:40:12.902823+00:00</t>
  </si>
  <si>
    <t xml:space="preserve">2026-10-27T10:40:12.905331+00:00</t>
  </si>
  <si>
    <t xml:space="preserve">2026-10-27T10:40:12.905666+00:00</t>
  </si>
  <si>
    <t xml:space="preserve">ORD-5311</t>
  </si>
  <si>
    <t xml:space="preserve">PVC-2 x 2 @ 4,100; ROD-12 x 29 @ 7,200; WIRE-25 x 14 @ 52,000</t>
  </si>
  <si>
    <t xml:space="preserve">2026-10-27T10:40:12.913632+00:00</t>
  </si>
  <si>
    <t xml:space="preserve">2026-10-27T10:40:12.916178+00:00</t>
  </si>
  <si>
    <t xml:space="preserve">2026-10-27T10:40:12.916554+00:00</t>
  </si>
  <si>
    <t xml:space="preserve">ORD-5312</t>
  </si>
  <si>
    <t xml:space="preserve">NAIL-3 x 1 @ 31,000; PNT-20W x 6 @ 38,000; SAND-T x 1 @ 185,000; TIL-6060 x 43 @ 14,500</t>
  </si>
  <si>
    <t xml:space="preserve">2026-10-27T10:40:12.92452+00:00</t>
  </si>
  <si>
    <t xml:space="preserve">2026-10-27T10:40:12.927026+00:00</t>
  </si>
  <si>
    <t xml:space="preserve">2026-10-27T10:40:12.927386+00:00</t>
  </si>
  <si>
    <t xml:space="preserve">ORD-5313</t>
  </si>
  <si>
    <t xml:space="preserve">PNT-20W x 11 @ 38,000; TIL-6060 x 51 @ 14,500; WIRE-25 x 7 @ 52,000</t>
  </si>
  <si>
    <t xml:space="preserve">2026-10-27T10:40:12.93502+00:00</t>
  </si>
  <si>
    <t xml:space="preserve">2026-10-27T10:40:12.937368+00:00</t>
  </si>
  <si>
    <t xml:space="preserve">2026-10-27T10:40:12.937716+00:00</t>
  </si>
  <si>
    <t xml:space="preserve">ORD-5314</t>
  </si>
  <si>
    <t xml:space="preserve">CEM-50 x 43 @ 9,500; PVC-2 x 2 @ 4,100; ROD-16 x 19 @ 11,800</t>
  </si>
  <si>
    <t xml:space="preserve">2026-10-27T10:40:12.945601+00:00</t>
  </si>
  <si>
    <t xml:space="preserve">2026-10-27T10:40:12.947921+00:00</t>
  </si>
  <si>
    <t xml:space="preserve">2026-10-27T10:40:12.948295+00:00</t>
  </si>
  <si>
    <t xml:space="preserve">ORD-5315</t>
  </si>
  <si>
    <t xml:space="preserve">NAIL-3 x 3 @ 31,000; ROD-12 x 144 @ 7,200; ROOF-AL x 1040 @ 12,500</t>
  </si>
  <si>
    <t xml:space="preserve">Aluminium roofing sheet, 0.55 mm: quantity must be between 10 and 1000. | Aluminium roofing sheet, 0.55 mm: not enough stock for this quantity. Reduce it. | Iron rod, 12 mm: 144 is far above this customer's usual 13.</t>
  </si>
  <si>
    <t xml:space="preserve">2026-10-27T10:40:12.956858+00:00</t>
  </si>
  <si>
    <t xml:space="preserve">2026-10-27T10:40:12.959499+00:00</t>
  </si>
  <si>
    <t xml:space="preserve">2026-10-27T10:40:12.959836+00:00</t>
  </si>
  <si>
    <t xml:space="preserve">ORD-5316</t>
  </si>
  <si>
    <t xml:space="preserve">CEM-50 x 179 @ 9,500; PNT-20W x 12 @ 38,000</t>
  </si>
  <si>
    <t xml:space="preserve">2026-10-27T10:40:12.967906+00:00</t>
  </si>
  <si>
    <t xml:space="preserve">2026-10-27T10:40:12.970175+00:00</t>
  </si>
  <si>
    <t xml:space="preserve">2026-10-27T10:40:12.970563+00:00</t>
  </si>
  <si>
    <t xml:space="preserve">ORD-5317</t>
  </si>
  <si>
    <t xml:space="preserve">ROD-12 x 140 @ 7,200; WIRE-25 x 5 @ 52,000; ROOF-AL x 10.5 (Quantity must be a whole number)</t>
  </si>
  <si>
    <t xml:space="preserve">ROOF-AL - Quantity must be a whole number | Iron rod, 12 mm: 140 is far above this customer's usual 38.</t>
  </si>
  <si>
    <t xml:space="preserve">2026-10-27T10:40:12.978753+00:00</t>
  </si>
  <si>
    <t xml:space="preserve">2026-10-27T10:40:12.981145+00:00</t>
  </si>
  <si>
    <t xml:space="preserve">2026-10-27T10:40:12.98152+00:00</t>
  </si>
  <si>
    <t xml:space="preserve">ORD-5318</t>
  </si>
  <si>
    <t xml:space="preserve">NAIL-3 x 9 @ 31,000; ROD-12 x 5 @ 7,200</t>
  </si>
  <si>
    <t xml:space="preserve">2026-10-27T10:40:12.989523+00:00</t>
  </si>
  <si>
    <t xml:space="preserve">2026-10-27T10:40:12.9917+00:00</t>
  </si>
  <si>
    <t xml:space="preserve">2026-10-27T10:40:12.992235+00:00</t>
  </si>
  <si>
    <t xml:space="preserve">ORD-5319</t>
  </si>
  <si>
    <t xml:space="preserve">WIRE-25 x 16 @ 52,000</t>
  </si>
  <si>
    <t xml:space="preserve">2026-10-27T10:40:13.000488+00:00</t>
  </si>
  <si>
    <t xml:space="preserve">2026-10-27T10:40:13.002913+00:00</t>
  </si>
  <si>
    <t xml:space="preserve">2026-10-27T10:40:13.00327+00:00</t>
  </si>
  <si>
    <t xml:space="preserve">ORD-5320</t>
  </si>
  <si>
    <t xml:space="preserve">ROD-12 x 180 @ 7,200; TIL-6060 x 5 @ 14,500</t>
  </si>
  <si>
    <t xml:space="preserve">Iron rod, 12 mm: 180 is far above this customer's usual 34.</t>
  </si>
  <si>
    <t xml:space="preserve">2026-10-27T10:40:13.010849+00:00</t>
  </si>
  <si>
    <t xml:space="preserve">2026-10-27T10:40:13.013019+00:00</t>
  </si>
  <si>
    <t xml:space="preserve">2026-10-27T10:40:13.01342+00:00</t>
  </si>
  <si>
    <t xml:space="preserve">ORD-5321</t>
  </si>
  <si>
    <t xml:space="preserve">PVC-4 x 30 @ 8,600</t>
  </si>
  <si>
    <t xml:space="preserve">2026-10-27T10:40:13.021693+00:00</t>
  </si>
  <si>
    <t xml:space="preserve">2026-10-27T10:40:13.023766+00:00</t>
  </si>
  <si>
    <t xml:space="preserve">2026-10-27T10:40:13.024108+00:00</t>
  </si>
  <si>
    <t xml:space="preserve">ORD-5322</t>
  </si>
  <si>
    <t xml:space="preserve">CEM-50 x 39 @ 9,500</t>
  </si>
  <si>
    <t xml:space="preserve">2026-10-27T10:40:13.032426+00:00</t>
  </si>
  <si>
    <t xml:space="preserve">2026-10-27T10:40:13.034518+00:00</t>
  </si>
  <si>
    <t xml:space="preserve">2026-10-27T10:40:13.034861+00:00</t>
  </si>
  <si>
    <t xml:space="preserve">ORD-5323</t>
  </si>
  <si>
    <t xml:space="preserve">2026-10-27T10:40:13.042826+00:00</t>
  </si>
  <si>
    <t xml:space="preserve">2026-10-27T10:40:13.044896+00:00</t>
  </si>
  <si>
    <t xml:space="preserve">2026-10-27T10:40:13.045287+00:00</t>
  </si>
  <si>
    <t xml:space="preserve">ORD-5324</t>
  </si>
  <si>
    <t xml:space="preserve">2026-10-27T10:40:13.053822+00:00</t>
  </si>
  <si>
    <t xml:space="preserve">2026-10-27T10:40:13.055958+00:00</t>
  </si>
  <si>
    <t xml:space="preserve">2026-10-27T10:40:13.056329+00:00</t>
  </si>
  <si>
    <t xml:space="preserve">ORD-5325</t>
  </si>
  <si>
    <t xml:space="preserve">PVC-2 x 2 @ 4,100; ROD-12 x 74 @ 7,200; ROD-16 x 1037 @ 11,800; ROOF-AL x 29 @ 12,500</t>
  </si>
  <si>
    <t xml:space="preserve">Iron rod, 16 mm: quantity must be between 5 and 1000. | Iron rod, 16 mm: not enough stock for this quantity. Reduce it. | Iron rod, 12 mm: 74 is far above this customer's usual 21. | Iron rod, 16 mm: 1037 is far above this customer's usual 37.</t>
  </si>
  <si>
    <t xml:space="preserve">2026-10-27T10:40:13.064534+00:00</t>
  </si>
  <si>
    <t xml:space="preserve">2026-10-27T10:40:13.067508+00:00</t>
  </si>
  <si>
    <t xml:space="preserve">2026-10-27T10:40:13.06784+00:00</t>
  </si>
  <si>
    <t xml:space="preserve">ORD-5326</t>
  </si>
  <si>
    <t xml:space="preserve">CEM-50 x 270 @ 9,500; PVC-4 x 46 @ 8,600</t>
  </si>
  <si>
    <t xml:space="preserve">Cement, 50 kg bag: 270 is far above this customer's usual 51.</t>
  </si>
  <si>
    <t xml:space="preserve">2026-10-27T10:40:13.075674+00:00</t>
  </si>
  <si>
    <t xml:space="preserve">2026-10-27T10:40:13.077915+00:00</t>
  </si>
  <si>
    <t xml:space="preserve">2026-10-27T10:40:13.078299+00:00</t>
  </si>
  <si>
    <t xml:space="preserve">ORD-5327</t>
  </si>
  <si>
    <t xml:space="preserve">PVC-2 x 2 @ 4,100; TIL-6060 x 1 @ 14,500</t>
  </si>
  <si>
    <t xml:space="preserve">2026-10-27T10:40:13.087105+00:00</t>
  </si>
  <si>
    <t xml:space="preserve">2026-10-27T10:40:13.089368+00:00</t>
  </si>
  <si>
    <t xml:space="preserve">2026-10-27T10:40:13.089709+00:00</t>
  </si>
  <si>
    <t xml:space="preserve">ORD-5328</t>
  </si>
  <si>
    <t xml:space="preserve">PNT-20W x 28 @ 38,000; PVC-2 x 2 @ 4,100</t>
  </si>
  <si>
    <t xml:space="preserve">2026-10-27T10:40:13.097887+00:00</t>
  </si>
  <si>
    <t xml:space="preserve">2026-10-27T10:40:13.10029+00:00</t>
  </si>
  <si>
    <t xml:space="preserve">2026-10-27T10:40:13.10066+00:00</t>
  </si>
  <si>
    <t xml:space="preserve">ORD-5329</t>
  </si>
  <si>
    <t xml:space="preserve">CEM-50 x 176 @ 9,500; TIL-6060 x 19 @ 14,500</t>
  </si>
  <si>
    <t xml:space="preserve">Cement, 50 kg bag: 176 is far above this customer's usual 41.</t>
  </si>
  <si>
    <t xml:space="preserve">2026-10-27T10:40:13.109134+00:00</t>
  </si>
  <si>
    <t xml:space="preserve">2026-10-27T10:40:13.111597+00:00</t>
  </si>
  <si>
    <t xml:space="preserve">2026-10-27T10:40:13.11195+00:00</t>
  </si>
  <si>
    <t xml:space="preserve">ORD-5330</t>
  </si>
  <si>
    <t xml:space="preserve">PVC-4 x 38 @ 8,600; ROOF-AL x 75 @ 12,500</t>
  </si>
  <si>
    <t xml:space="preserve">2026-10-27T10:40:13.120883+00:00</t>
  </si>
  <si>
    <t xml:space="preserve">2026-10-27T10:40:13.123092+00:00</t>
  </si>
  <si>
    <t xml:space="preserve">2026-10-27T10:40:13.123486+00:00</t>
  </si>
  <si>
    <t xml:space="preserve">ORD-5331</t>
  </si>
  <si>
    <t xml:space="preserve">PVC-4 x 54 @ 8,600</t>
  </si>
  <si>
    <t xml:space="preserve">2026-10-27T10:40:13.132026+00:00</t>
  </si>
  <si>
    <t xml:space="preserve">2026-10-27T10:40:13.134238+00:00</t>
  </si>
  <si>
    <t xml:space="preserve">2026-10-27T10:40:13.134653+00:00</t>
  </si>
  <si>
    <t xml:space="preserve">ORD-5332</t>
  </si>
  <si>
    <t xml:space="preserve">ROD-12 x 180 @ 7,200; TIL-6060 x 31 @ 14,500; WIRE-25 x 15 @ 52,000</t>
  </si>
  <si>
    <t xml:space="preserve">Iron rod, 12 mm: 180 is far above this customer's usual 52.</t>
  </si>
  <si>
    <t xml:space="preserve">2026-10-27T10:40:13.142617+00:00</t>
  </si>
  <si>
    <t xml:space="preserve">2026-10-27T10:40:13.144925+00:00</t>
  </si>
  <si>
    <t xml:space="preserve">2026-10-27T10:40:13.145324+00:00</t>
  </si>
  <si>
    <t xml:space="preserve">ORD-5333</t>
  </si>
  <si>
    <t xml:space="preserve">CEM-50 x 67 @ 9,500; ROD-12 x 99 @ 7,200; ROOF-AL x 23 @ 12,500</t>
  </si>
  <si>
    <t xml:space="preserve">2026-10-27T10:40:13.154134+00:00</t>
  </si>
  <si>
    <t xml:space="preserve">2026-10-27T10:40:13.15654+00:00</t>
  </si>
  <si>
    <t xml:space="preserve">2026-10-27T10:40:13.156893+00:00</t>
  </si>
  <si>
    <t xml:space="preserve">ORD-5334</t>
  </si>
  <si>
    <t xml:space="preserve">PNT-20C x 1 @ 38,000; TIL-6060 x 25 @ 14,500</t>
  </si>
  <si>
    <t xml:space="preserve">2026-10-27T10:40:13.165682+00:00</t>
  </si>
  <si>
    <t xml:space="preserve">2026-10-27T10:40:13.168234+00:00</t>
  </si>
  <si>
    <t xml:space="preserve">2026-10-27T10:40:13.168604+00:00</t>
  </si>
  <si>
    <t xml:space="preserve">ORD-5335</t>
  </si>
  <si>
    <t xml:space="preserve">CEM-50 x 50 @ 9,500; PVC-4 x 2 @ 8,600; ROOF-AL x 17 @ 12,500</t>
  </si>
  <si>
    <t xml:space="preserve">2026-10-27T10:40:13.176835+00:00</t>
  </si>
  <si>
    <t xml:space="preserve">2026-10-27T10:40:13.179154+00:00</t>
  </si>
  <si>
    <t xml:space="preserve">2026-10-27T10:40:13.179547+00:00</t>
  </si>
  <si>
    <t xml:space="preserve">ORD-5336</t>
  </si>
  <si>
    <t xml:space="preserve">PVC-4 x 2 @ 8,600; ROD-12 x 79 @ 7,200; ROOF-AL x 311 @ 12,500; TIL-6060 x 64 @ 14,500</t>
  </si>
  <si>
    <t xml:space="preserve">Aluminium roofing sheet, 0.55 mm: not enough stock for this quantity. Reduce it. | Aluminium roofing sheet, 0.55 mm: 311 is far above this customer's usual 46.</t>
  </si>
  <si>
    <t xml:space="preserve">2026-10-27T10:40:13.188561+00:00</t>
  </si>
  <si>
    <t xml:space="preserve">2026-10-27T10:40:13.191271+00:00</t>
  </si>
  <si>
    <t xml:space="preserve">2026-10-27T10:40:13.191603+00:00</t>
  </si>
  <si>
    <t xml:space="preserve">ORD-5337</t>
  </si>
  <si>
    <t xml:space="preserve">This looks like a repeat of ORD-5335. Confirm it is a new order.</t>
  </si>
  <si>
    <t xml:space="preserve">2026-10-27T10:40:13.199886+00:00</t>
  </si>
  <si>
    <t xml:space="preserve">ORD-5338</t>
  </si>
  <si>
    <t xml:space="preserve">WIRE-25 x 2 @ 52,000</t>
  </si>
  <si>
    <t xml:space="preserve">2026-10-27T10:40:13.209791+00:00</t>
  </si>
  <si>
    <t xml:space="preserve">2026-10-27T10:40:13.212274+00:00</t>
  </si>
  <si>
    <t xml:space="preserve">2026-10-27T10:40:13.212622+00:00</t>
  </si>
  <si>
    <t xml:space="preserve">ORD-5339</t>
  </si>
  <si>
    <t xml:space="preserve">PNT-20C x 5 @ 38,000; ROD-12 x 6 @ 7,200; ROD-16 x 27 @ 11,800</t>
  </si>
  <si>
    <t xml:space="preserve">2026-10-27T10:40:13.221885+00:00</t>
  </si>
  <si>
    <t xml:space="preserve">2026-10-27T10:40:13.224514+00:00</t>
  </si>
  <si>
    <t xml:space="preserve">2026-10-27T10:40:13.224891+00:00</t>
  </si>
  <si>
    <t xml:space="preserve">ORD-5340</t>
  </si>
  <si>
    <t xml:space="preserve">ROD-12 x 110 @ 7,200; ROOF-AL x 16 @ 12,500</t>
  </si>
  <si>
    <t xml:space="preserve">2026-10-27T10:40:13.233675+00:00</t>
  </si>
  <si>
    <t xml:space="preserve">2026-10-27T10:40:13.23608+00:00</t>
  </si>
  <si>
    <t xml:space="preserve">2026-10-27T10:40:13.236518+00:00</t>
  </si>
  <si>
    <t xml:space="preserve">ORD-5341</t>
  </si>
  <si>
    <t xml:space="preserve">PNT-20C x 6 @ 38,000; ROD-12 x 75 @ 7,200</t>
  </si>
  <si>
    <t xml:space="preserve">2026-10-27T10:40:13.244907+00:00</t>
  </si>
  <si>
    <t xml:space="preserve">2026-10-27T10:40:13.247145+00:00</t>
  </si>
  <si>
    <t xml:space="preserve">2026-10-27T10:40:13.247565+00:00</t>
  </si>
  <si>
    <t xml:space="preserve">ORD-5342</t>
  </si>
  <si>
    <t xml:space="preserve">CEM-50 x 10 @ 9,500; PNT-20C x 5 @ 38,000; ROOF-AL x 27 @ 12,500</t>
  </si>
  <si>
    <t xml:space="preserve">2026-10-27T10:40:13.256475+00:00</t>
  </si>
  <si>
    <t xml:space="preserve">2026-10-27T10:40:13.258892+00:00</t>
  </si>
  <si>
    <t xml:space="preserve">2026-10-27T10:40:13.259277+00:00</t>
  </si>
  <si>
    <t xml:space="preserve">ORD-5343</t>
  </si>
  <si>
    <t xml:space="preserve">NAIL-3 x 2 @ 31,000; ROD-12 x 91 @ 7,200; ROOF-AL x 47 @ 12,500; XX-306 x None (not in the catalogue)</t>
  </si>
  <si>
    <t xml:space="preserve">Row 5: XX-306 - not in the catalogue | Iron rod, 12 mm: 91 is far above this customer's usual 29.</t>
  </si>
  <si>
    <t xml:space="preserve">2026-10-27T10:40:13.268054+00:00</t>
  </si>
  <si>
    <t xml:space="preserve">2026-10-27T10:40:13.270667+00:00</t>
  </si>
  <si>
    <t xml:space="preserve">2026-10-27T10:40:13.270987+00:00</t>
  </si>
  <si>
    <t xml:space="preserve">ORD-5344</t>
  </si>
  <si>
    <t xml:space="preserve">CEM-50 x 39 @ 9,500; PNT-20W x 1 @ 38,000; ROD-12 x 49 @ 7,200</t>
  </si>
  <si>
    <t xml:space="preserve">2026-10-27T10:40:13.278883+00:00</t>
  </si>
  <si>
    <t xml:space="preserve">2026-10-27T10:40:13.281344+00:00</t>
  </si>
  <si>
    <t xml:space="preserve">2026-10-27T10:40:13.281851+00:00</t>
  </si>
  <si>
    <t xml:space="preserve">ORD-5345</t>
  </si>
  <si>
    <t xml:space="preserve">2026-10-27T10:40:13.290832+00:00</t>
  </si>
  <si>
    <t xml:space="preserve">2026-10-27T10:40:13.293049+00:00</t>
  </si>
  <si>
    <t xml:space="preserve">2026-10-27T10:40:13.293446+00:00</t>
  </si>
  <si>
    <t xml:space="preserve">ORD-5346</t>
  </si>
  <si>
    <t xml:space="preserve">PVC-4 x 3 @ 8,600; TIL-6060 x 50 @ 14,500</t>
  </si>
  <si>
    <t xml:space="preserve">2026-10-27T10:40:13.302003+00:00</t>
  </si>
  <si>
    <t xml:space="preserve">2026-10-27T10:40:13.304164+00:00</t>
  </si>
  <si>
    <t xml:space="preserve">2026-10-27T10:40:13.304567+00:00</t>
  </si>
  <si>
    <t xml:space="preserve">ORD-5347</t>
  </si>
  <si>
    <t xml:space="preserve">PNT-20C x 2 @ 38,000; PNT-20W x 6 @ 38,000; PVC-4 x 37 @ 8,600; ROD-16 x 5.5 (Quantity must be a whole number)</t>
  </si>
  <si>
    <t xml:space="preserve">2026-10-27T10:40:13.312909+00:00</t>
  </si>
  <si>
    <t xml:space="preserve">2026-10-27T10:40:13.315603+00:00</t>
  </si>
  <si>
    <t xml:space="preserve">2026-10-27T10:40:13.31593+00:00</t>
  </si>
  <si>
    <t xml:space="preserve">ORD-5348</t>
  </si>
  <si>
    <t xml:space="preserve">NAIL-3 x 4 @ 31,000; TIL-6060 x 16 @ 14,500; WIRE-25 x 15 @ 52,000</t>
  </si>
  <si>
    <t xml:space="preserve">2026-10-27T10:40:13.324536+00:00</t>
  </si>
  <si>
    <t xml:space="preserve">2026-10-27T10:40:13.326919+00:00</t>
  </si>
  <si>
    <t xml:space="preserve">2026-10-27T10:40:13.327304+00:00</t>
  </si>
  <si>
    <t xml:space="preserve">ORD-5349</t>
  </si>
  <si>
    <t xml:space="preserve">NAIL-3 x 3 @ 31,000</t>
  </si>
  <si>
    <t xml:space="preserve">2026-10-27T10:40:13.336065+00:00</t>
  </si>
  <si>
    <t xml:space="preserve">2026-10-27T10:40:13.338471+00:00</t>
  </si>
  <si>
    <t xml:space="preserve">2026-10-27T10:40:13.338856+00:00</t>
  </si>
  <si>
    <t xml:space="preserve">ORD-5350</t>
  </si>
  <si>
    <t xml:space="preserve">CEM-50 x 230 @ 9,500; PVC-2 x 2 @ 4,100; PVC-4 x 24 @ 8,600</t>
  </si>
  <si>
    <t xml:space="preserve">Cement, 50 kg bag: 230 is far above this customer's usual 38.</t>
  </si>
  <si>
    <t xml:space="preserve">2026-10-27T10:40:13.347517+00:00</t>
  </si>
  <si>
    <t xml:space="preserve">2026-10-27T10:40:13.350142+00:00</t>
  </si>
  <si>
    <t xml:space="preserve">2026-10-27T10:40:13.350554+00:00</t>
  </si>
  <si>
    <t xml:space="preserve">ORD-5351</t>
  </si>
  <si>
    <t xml:space="preserve">2026-10-27T10:40:13.360044+00:00</t>
  </si>
  <si>
    <t xml:space="preserve">2026-10-27T10:40:13.362388+00:00</t>
  </si>
  <si>
    <t xml:space="preserve">2026-10-27T10:40:13.36276+00:00</t>
  </si>
  <si>
    <t xml:space="preserve">ORD-5352</t>
  </si>
  <si>
    <t xml:space="preserve">CEM-50 x 13 @ 9,500; PVC-4 x 46 @ 8,600; ROD-12 x 4 @ 7,200; ROOF-AL x 53 @ 12,500</t>
  </si>
  <si>
    <t xml:space="preserve">2026-10-27T10:40:13.371562+00:00</t>
  </si>
  <si>
    <t xml:space="preserve">2026-10-27T10:40:13.374386+00:00</t>
  </si>
  <si>
    <t xml:space="preserve">2026-10-27T10:40:13.374741+00:00</t>
  </si>
  <si>
    <t xml:space="preserve">ORD-5353</t>
  </si>
  <si>
    <t xml:space="preserve">CEM-50 x 80 @ 9,500</t>
  </si>
  <si>
    <t xml:space="preserve">2026-10-27T10:40:13.383228+00:00</t>
  </si>
  <si>
    <t xml:space="preserve">2026-10-27T10:40:13.385562+00:00</t>
  </si>
  <si>
    <t xml:space="preserve">2026-10-27T10:40:13.38592+00:00</t>
  </si>
  <si>
    <t xml:space="preserve">ORD-5354</t>
  </si>
  <si>
    <t xml:space="preserve">CEM-50 x 144 @ 9,500; ROD-16 x 61 @ 11,800</t>
  </si>
  <si>
    <t xml:space="preserve">2026-10-27T10:40:13.395483+00:00</t>
  </si>
  <si>
    <t xml:space="preserve">2026-10-27T10:40:13.397887+00:00</t>
  </si>
  <si>
    <t xml:space="preserve">2026-10-27T10:40:13.398255+00:00</t>
  </si>
  <si>
    <t xml:space="preserve">ORD-5355</t>
  </si>
  <si>
    <t xml:space="preserve">ROD-12 x 108 @ 7,200; WIRE-25 x 8 @ 52,000</t>
  </si>
  <si>
    <t xml:space="preserve">The customer account is not active. | Iron rod, 12 mm: 108 is far above this customer's usual 12.</t>
  </si>
  <si>
    <t xml:space="preserve">2026-10-27T10:40:13.406821+00:00</t>
  </si>
  <si>
    <t xml:space="preserve">2026-10-27T10:40:13.409405+00:00</t>
  </si>
  <si>
    <t xml:space="preserve">2026-10-27T10:40:13.409736+00:00</t>
  </si>
  <si>
    <t xml:space="preserve">ORD-5356</t>
  </si>
  <si>
    <t xml:space="preserve">CEM-50 x 25 @ 9,500; PVC-4 x 55 @ 8,600; ROOF-AL x 58 @ 12,500</t>
  </si>
  <si>
    <t xml:space="preserve">2026-10-27T10:40:13.418314+00:00</t>
  </si>
  <si>
    <t xml:space="preserve">2026-10-27T10:40:13.42086+00:00</t>
  </si>
  <si>
    <t xml:space="preserve">2026-10-27T10:40:13.421404+00:00</t>
  </si>
  <si>
    <t xml:space="preserve">ORD-5357</t>
  </si>
  <si>
    <t xml:space="preserve">CEM-50 x 9 @ 9,500; PVC-4 x 17 @ 8,600; ROD-12 x 15 @ 7,200</t>
  </si>
  <si>
    <t xml:space="preserve">2026-10-27T10:40:13.430452+00:00</t>
  </si>
  <si>
    <t xml:space="preserve">2026-10-27T10:40:13.432846+00:00</t>
  </si>
  <si>
    <t xml:space="preserve">2026-10-27T10:40:13.433184+00:00</t>
  </si>
  <si>
    <t xml:space="preserve">ORD-5358</t>
  </si>
  <si>
    <t xml:space="preserve">ROD-12 x 24 @ 7,200; ROOF-AL x 48 @ 12,500</t>
  </si>
  <si>
    <t xml:space="preserve">2026-10-27T10:40:13.441613+00:00</t>
  </si>
  <si>
    <t xml:space="preserve">2026-10-27T10:40:13.444316+00:00</t>
  </si>
  <si>
    <t xml:space="preserve">2026-10-27T10:40:13.44483+00:00</t>
  </si>
  <si>
    <t xml:space="preserve">ORD-5359</t>
  </si>
  <si>
    <t xml:space="preserve">PNT-20W x 3 @ 38,000; PVC-2 x 2 @ 4,100; ROD-16 x 15 @ 11,800</t>
  </si>
  <si>
    <t xml:space="preserve">2026-10-27T10:40:13.453511+00:00</t>
  </si>
  <si>
    <t xml:space="preserve">2026-10-27T10:40:13.45592+00:00</t>
  </si>
  <si>
    <t xml:space="preserve">2026-10-27T10:40:13.456294+00:00</t>
  </si>
  <si>
    <t xml:space="preserve">ORD-5360</t>
  </si>
  <si>
    <t xml:space="preserve">TIL-6060 x 24 @ 14,500</t>
  </si>
  <si>
    <t xml:space="preserve">2026-10-27T10:40:13.465898+00:00</t>
  </si>
  <si>
    <t xml:space="preserve">2026-10-27T10:40:13.468323+00:00</t>
  </si>
  <si>
    <t xml:space="preserve">2026-10-27T10:40:13.468663+00:00</t>
  </si>
  <si>
    <t xml:space="preserve">ORD-5361</t>
  </si>
  <si>
    <t xml:space="preserve">PNT-20C x 5 @ 38,000; TIL-6060 x 2.5 (Quantity must be a whole number)</t>
  </si>
  <si>
    <t xml:space="preserve">2026-10-27T10:40:13.478699+00:00</t>
  </si>
  <si>
    <t xml:space="preserve">2026-10-27T10:40:13.481005+00:00</t>
  </si>
  <si>
    <t xml:space="preserve">2026-10-27T10:40:13.48137+00:00</t>
  </si>
  <si>
    <t xml:space="preserve">ORD-5362</t>
  </si>
  <si>
    <t xml:space="preserve">PNT-20C x 2 @ 38,000; PNT-20W x 5 @ 38,000</t>
  </si>
  <si>
    <t xml:space="preserve">2026-10-27T10:40:13.490024+00:00</t>
  </si>
  <si>
    <t xml:space="preserve">2026-10-27T10:40:13.492263+00:00</t>
  </si>
  <si>
    <t xml:space="preserve">2026-10-27T10:40:13.492628+00:00</t>
  </si>
  <si>
    <t xml:space="preserve">ORD-5363</t>
  </si>
  <si>
    <t xml:space="preserve">2026-10-27T10:40:13.502425+00:00</t>
  </si>
  <si>
    <t xml:space="preserve">2026-10-27T10:40:13.504659+00:00</t>
  </si>
  <si>
    <t xml:space="preserve">2026-10-27T10:40:13.505027+00:00</t>
  </si>
  <si>
    <t xml:space="preserve">ORD-5364</t>
  </si>
  <si>
    <t xml:space="preserve">2026-10-27T10:40:13.514606+00:00</t>
  </si>
  <si>
    <t xml:space="preserve">2026-10-27T10:40:13.516794+00:00</t>
  </si>
  <si>
    <t xml:space="preserve">2026-10-27T10:40:13.517192+00:00</t>
  </si>
  <si>
    <t xml:space="preserve">ORD-5365</t>
  </si>
  <si>
    <t xml:space="preserve">This looks like a repeat of ORD-5364. Confirm it is a new order.</t>
  </si>
  <si>
    <t xml:space="preserve">2026-10-27T10:40:13.526265+00:00</t>
  </si>
  <si>
    <t xml:space="preserve">ORD-5366</t>
  </si>
  <si>
    <t xml:space="preserve">2026-10-27T10:40:13.5371+00:00</t>
  </si>
  <si>
    <t xml:space="preserve">2026-10-27T10:40:13.539496+00:00</t>
  </si>
  <si>
    <t xml:space="preserve">2026-10-27T10:40:13.539825+00:00</t>
  </si>
  <si>
    <t xml:space="preserve">ORD-5367</t>
  </si>
  <si>
    <t xml:space="preserve">ROD-12 x 140 @ 7,200</t>
  </si>
  <si>
    <t xml:space="preserve">The delivery date is in the past. | Iron rod, 12 mm: 140 is far above this customer's usual 44.</t>
  </si>
  <si>
    <t xml:space="preserve">2026-10-27T10:40:13.548602+00:00</t>
  </si>
  <si>
    <t xml:space="preserve">2026-10-27T10:40:13.550916+00:00</t>
  </si>
  <si>
    <t xml:space="preserve">2026-10-27T10:40:13.551289+00:00</t>
  </si>
  <si>
    <t xml:space="preserve">ORD-5368</t>
  </si>
  <si>
    <t xml:space="preserve">ROD-16 x 31 @ 11,800; TIL-6060 x 50 @ 14,500; WIRE-25 x 5 @ 52,000</t>
  </si>
  <si>
    <t xml:space="preserve">2026-10-27T10:40:13.559952+00:00</t>
  </si>
  <si>
    <t xml:space="preserve">2026-10-27T10:40:13.562458+00:00</t>
  </si>
  <si>
    <t xml:space="preserve">2026-10-27T10:40:13.562806+00:00</t>
  </si>
  <si>
    <t xml:space="preserve">ORD-5369</t>
  </si>
  <si>
    <t xml:space="preserve">PVC-2 x 2 @ 4,100; ROD-12 x 76 @ 7,200; ROD-16 x 48 @ 11,800</t>
  </si>
  <si>
    <t xml:space="preserve">2026-10-27T10:40:13.572321+00:00</t>
  </si>
  <si>
    <t xml:space="preserve">2026-10-27T10:40:13.574815+00:00</t>
  </si>
  <si>
    <t xml:space="preserve">2026-10-27T10:40:13.575166+00:00</t>
  </si>
  <si>
    <t xml:space="preserve">ORD-5370</t>
  </si>
  <si>
    <t xml:space="preserve">2026-10-27T10:40:13.584608+00:00</t>
  </si>
  <si>
    <t xml:space="preserve">2026-10-27T10:40:13.586857+00:00</t>
  </si>
  <si>
    <t xml:space="preserve">2026-10-27T10:40:13.587266+00:00</t>
  </si>
  <si>
    <t xml:space="preserve">ORD-5371</t>
  </si>
  <si>
    <t xml:space="preserve">2026-10-27T10:40:13.597022+00:00</t>
  </si>
  <si>
    <t xml:space="preserve">2026-10-27T10:40:13.599989+00:00</t>
  </si>
  <si>
    <t xml:space="preserve">2026-10-27T10:40:13.600547+00:00</t>
  </si>
  <si>
    <t xml:space="preserve">ORD-5372</t>
  </si>
  <si>
    <t xml:space="preserve">NAIL-3 x 1 @ 31,000; ROOF-AL x 38 @ 12,500</t>
  </si>
  <si>
    <t xml:space="preserve">2026-10-27T10:40:13.610942+00:00</t>
  </si>
  <si>
    <t xml:space="preserve">2026-10-27T10:40:13.613341+00:00</t>
  </si>
  <si>
    <t xml:space="preserve">2026-10-27T10:40:13.613665+00:00</t>
  </si>
  <si>
    <t xml:space="preserve">ORD-5373</t>
  </si>
  <si>
    <t xml:space="preserve">PNT-20C x 8 @ 38,000; PNT-20W x 20 @ 38,000; ROD-12 x 4 @ 7,200; WIRE-25 x 2 @ 52,000</t>
  </si>
  <si>
    <t xml:space="preserve">2026-10-27T10:40:13.622782+00:00</t>
  </si>
  <si>
    <t xml:space="preserve">2026-10-27T10:40:13.625557+00:00</t>
  </si>
  <si>
    <t xml:space="preserve">2026-10-27T10:40:13.625906+00:00</t>
  </si>
  <si>
    <t xml:space="preserve">ORD-5374</t>
  </si>
  <si>
    <t xml:space="preserve">PVC-4 x 22 @ 8,600</t>
  </si>
  <si>
    <t xml:space="preserve">2026-10-27T10:40:13.634662+00:00</t>
  </si>
  <si>
    <t xml:space="preserve">2026-10-27T10:40:13.636841+00:00</t>
  </si>
  <si>
    <t xml:space="preserve">2026-10-27T10:40:13.637229+00:00</t>
  </si>
  <si>
    <t xml:space="preserve">ORD-5375</t>
  </si>
  <si>
    <t xml:space="preserve">PVC-2 x 2 @ 4,100; ROD-12 x 9 @ 7,200; TIL-6060 x 78 @ 14,500</t>
  </si>
  <si>
    <t xml:space="preserve">2026-10-27T10:40:13.647343+00:00</t>
  </si>
  <si>
    <t xml:space="preserve">2026-10-27T10:40:13.649817+00:00</t>
  </si>
  <si>
    <t xml:space="preserve">2026-10-27T10:40:13.650165+00:00</t>
  </si>
  <si>
    <t xml:space="preserve">ORD-5376</t>
  </si>
  <si>
    <t xml:space="preserve">CEM-50 x 178 @ 9,500; PVC-2 x 2 @ 4,100</t>
  </si>
  <si>
    <t xml:space="preserve">2026-10-27T10:40:13.660224+00:00</t>
  </si>
  <si>
    <t xml:space="preserve">2026-10-27T10:40:13.662693+00:00</t>
  </si>
  <si>
    <t xml:space="preserve">2026-10-27T10:40:13.663044+00:00</t>
  </si>
  <si>
    <t xml:space="preserve">ORD-5377</t>
  </si>
  <si>
    <t xml:space="preserve">ROD-16 x 30 @ 11,800; ROOF-AL x 33 @ 12,500; WIRE-25 x 14 @ 52,000; ROD-12 x 5.5 (Quantity must be a whole number)</t>
  </si>
  <si>
    <t xml:space="preserve">2026-10-27T10:40:13.672837+00:00</t>
  </si>
  <si>
    <t xml:space="preserve">2026-10-27T10:40:13.675376+00:00</t>
  </si>
  <si>
    <t xml:space="preserve">2026-10-27T10:40:13.675751+00:00</t>
  </si>
  <si>
    <t xml:space="preserve">ORD-5378</t>
  </si>
  <si>
    <t xml:space="preserve">NAIL-3 x 10 @ 31,000; ROD-16 x 24 @ 11,800</t>
  </si>
  <si>
    <t xml:space="preserve">Choose a delivery date. | Nails, 3 inch, 25 kg: 10 is far above this customer's usual 3.</t>
  </si>
  <si>
    <t xml:space="preserve">2026-10-27T10:40:13.685408+00:00</t>
  </si>
  <si>
    <t xml:space="preserve">2026-10-27T10:40:13.687894+00:00</t>
  </si>
  <si>
    <t xml:space="preserve">2026-10-27T10:40:13.688264+00:00</t>
  </si>
  <si>
    <t xml:space="preserve">ORD-5379</t>
  </si>
  <si>
    <t xml:space="preserve">PVC-2 x 2 @ 4,100; ROD-12 x 24 @ 7,200; ROOF-AL x 24 @ 12,500</t>
  </si>
  <si>
    <t xml:space="preserve">2026-10-27T10:40:13.697865+00:00</t>
  </si>
  <si>
    <t xml:space="preserve">2026-10-27T10:40:13.700494+00:00</t>
  </si>
  <si>
    <t xml:space="preserve">2026-10-27T10:40:13.70091+00:00</t>
  </si>
  <si>
    <t xml:space="preserve">ORD-5380</t>
  </si>
  <si>
    <t xml:space="preserve">This looks like a repeat of ORD-5375. Confirm it is a new order.</t>
  </si>
  <si>
    <t xml:space="preserve">2026-10-27T10:40:13.710595+00:00</t>
  </si>
  <si>
    <t xml:space="preserve">ORD-5381</t>
  </si>
  <si>
    <t xml:space="preserve">NAIL-3 x 8 @ 31,000; XX-267 x None (not in the catalogue)</t>
  </si>
  <si>
    <t xml:space="preserve">Row 3: XX-267 - not in the catalogue</t>
  </si>
  <si>
    <t xml:space="preserve">2026-10-27T10:40:13.722073+00:00</t>
  </si>
  <si>
    <t xml:space="preserve">2026-10-27T10:40:13.724452+00:00</t>
  </si>
  <si>
    <t xml:space="preserve">2026-10-27T10:40:13.724786+00:00</t>
  </si>
  <si>
    <t xml:space="preserve">ORD-5382</t>
  </si>
  <si>
    <t xml:space="preserve">2026-10-27T10:40:13.73422+00:00</t>
  </si>
  <si>
    <t xml:space="preserve">ORD-5383</t>
  </si>
  <si>
    <t xml:space="preserve">PNT-20W x 20 @ 38,000; WIRE-25 x 2 @ 52,000</t>
  </si>
  <si>
    <t xml:space="preserve">2026-10-27T10:40:13.745616+00:00</t>
  </si>
  <si>
    <t xml:space="preserve">2026-10-27T10:40:13.748033+00:00</t>
  </si>
  <si>
    <t xml:space="preserve">2026-10-27T10:40:13.748417+00:00</t>
  </si>
  <si>
    <t xml:space="preserve">ORD-5384</t>
  </si>
  <si>
    <t xml:space="preserve">CEM-50 x 210 @ 9,500; PNT-20C x 10 @ 38,000; PNT-20W x 1 @ 38,000; ROD-16 x 9 @ 11,800</t>
  </si>
  <si>
    <t xml:space="preserve">Cement, 50 kg bag: 210 is far above this customer's usual 66.</t>
  </si>
  <si>
    <t xml:space="preserve">2026-10-27T10:40:13.757961+00:00</t>
  </si>
  <si>
    <t xml:space="preserve">2026-10-27T10:40:13.76061+00:00</t>
  </si>
  <si>
    <t xml:space="preserve">2026-10-27T10:40:13.760952+00:00</t>
  </si>
  <si>
    <t xml:space="preserve">ORD-5385</t>
  </si>
  <si>
    <t xml:space="preserve">ROD-16 x 24 @ 11,800; ROOF-AL x 61 @ 12,500; WIRE-25 x 4 @ 52,000</t>
  </si>
  <si>
    <t xml:space="preserve">2026-10-27T10:40:13.770487+00:00</t>
  </si>
  <si>
    <t xml:space="preserve">2026-10-27T10:40:13.77316+00:00</t>
  </si>
  <si>
    <t xml:space="preserve">2026-10-27T10:40:13.773555+00:00</t>
  </si>
  <si>
    <t xml:space="preserve">ORD-5386</t>
  </si>
  <si>
    <t xml:space="preserve">ROOF-AL x 12 @ 12,500; TIL-6060 x 7 @ 14,500; WIRE-25 x 4 @ 52,000</t>
  </si>
  <si>
    <t xml:space="preserve">2026-10-27T10:40:13.78282+00:00</t>
  </si>
  <si>
    <t xml:space="preserve">2026-10-27T10:40:13.785193+00:00</t>
  </si>
  <si>
    <t xml:space="preserve">2026-10-27T10:40:13.785578+00:00</t>
  </si>
  <si>
    <t xml:space="preserve">ORD-5387</t>
  </si>
  <si>
    <t xml:space="preserve">PVC-2 x 2 @ 4,100; WIRE-25 x 1 @ 52,000</t>
  </si>
  <si>
    <t xml:space="preserve">2026-10-27T10:40:13.795171+00:00</t>
  </si>
  <si>
    <t xml:space="preserve">2026-10-27T10:40:13.797544+00:00</t>
  </si>
  <si>
    <t xml:space="preserve">2026-10-27T10:40:13.797862+00:00</t>
  </si>
  <si>
    <t xml:space="preserve">ORD-5388</t>
  </si>
  <si>
    <t xml:space="preserve">PNT-20W x 9 @ 38,000; PVC-4 x 10 @ 8,600</t>
  </si>
  <si>
    <t xml:space="preserve">2026-10-27T10:40:13.806857+00:00</t>
  </si>
  <si>
    <t xml:space="preserve">2026-10-27T10:40:13.809286+00:00</t>
  </si>
  <si>
    <t xml:space="preserve">2026-10-27T10:40:13.809643+00:00</t>
  </si>
  <si>
    <t xml:space="preserve">ORD-5389</t>
  </si>
  <si>
    <t xml:space="preserve">CEM-50 x 113 @ 9,500; PNT-20C x 5 @ 38,000; ROD-16 x 46 @ 11,800</t>
  </si>
  <si>
    <t xml:space="preserve">2026-10-27T10:40:13.819487+00:00</t>
  </si>
  <si>
    <t xml:space="preserve">2026-10-27T10:40:13.822032+00:00</t>
  </si>
  <si>
    <t xml:space="preserve">2026-10-27T10:40:13.822417+00:00</t>
  </si>
  <si>
    <t xml:space="preserve">ORD-5390</t>
  </si>
  <si>
    <t xml:space="preserve">PVC-2 x 1 @ 4,100; PVC-4 x 54 @ 8,600</t>
  </si>
  <si>
    <t xml:space="preserve">2026-10-27T10:40:13.831299+00:00</t>
  </si>
  <si>
    <t xml:space="preserve">2026-10-27T10:40:13.833581+00:00</t>
  </si>
  <si>
    <t xml:space="preserve">2026-10-27T10:40:13.833928+00:00</t>
  </si>
  <si>
    <t xml:space="preserve">ORD-5391</t>
  </si>
  <si>
    <t xml:space="preserve">PVC-2 x 550 @ 4,100; ROD-12 x 18 @ 7,200</t>
  </si>
  <si>
    <t xml:space="preserve">2026-10-27T10:40:13.842947+00:00</t>
  </si>
  <si>
    <t xml:space="preserve">2026-10-27T10:40:13.845467+00:00</t>
  </si>
  <si>
    <t xml:space="preserve">2026-10-27T10:40:13.845799+00:00</t>
  </si>
  <si>
    <t xml:space="preserve">ORD-5392</t>
  </si>
  <si>
    <t xml:space="preserve">ROD-16 x 62 @ 11,800; TIL-6060 x 5 @ 14,500</t>
  </si>
  <si>
    <t xml:space="preserve">The customer account is not active. | Iron rod, 16 mm: 62 is far above this customer's usual 12.</t>
  </si>
  <si>
    <t xml:space="preserve">2026-10-27T10:40:13.854671+00:00</t>
  </si>
  <si>
    <t xml:space="preserve">2026-10-27T10:40:13.857324+00:00</t>
  </si>
  <si>
    <t xml:space="preserve">2026-10-27T10:40:13.85766+00:00</t>
  </si>
  <si>
    <t xml:space="preserve">ORD-5393</t>
  </si>
  <si>
    <t xml:space="preserve">PNT-20C x 3 @ 38,000; PVC-2 x 525 @ 4,100</t>
  </si>
  <si>
    <t xml:space="preserve">2026-10-27T10:40:13.866999+00:00</t>
  </si>
  <si>
    <t xml:space="preserve">2026-10-27T10:40:13.869534+00:00</t>
  </si>
  <si>
    <t xml:space="preserve">2026-10-27T10:40:13.86986+00:00</t>
  </si>
  <si>
    <t xml:space="preserve">ORD-5394</t>
  </si>
  <si>
    <t xml:space="preserve">This looks like a repeat of ORD-5388. Confirm it is a new order.</t>
  </si>
  <si>
    <t xml:space="preserve">2026-10-27T10:40:13.878717+00:00</t>
  </si>
  <si>
    <t xml:space="preserve">ORD-5395</t>
  </si>
  <si>
    <t xml:space="preserve">PVC-2 x 2 @ 4,100; ROD-12 x 125 @ 7,200; ROOF-AL x 51 @ 12,500; XX-562 x None (not in the catalogue)</t>
  </si>
  <si>
    <t xml:space="preserve">Row 5: XX-562 - not in the catalogue | Iron rod, 12 mm: 125 is far above this customer's usual 41.</t>
  </si>
  <si>
    <t xml:space="preserve">2026-10-27T10:40:13.88982+00:00</t>
  </si>
  <si>
    <t xml:space="preserve">2026-10-27T10:40:13.892582+00:00</t>
  </si>
  <si>
    <t xml:space="preserve">2026-10-27T10:40:13.892921+00:00</t>
  </si>
  <si>
    <t xml:space="preserve">ORD-5396</t>
  </si>
  <si>
    <t xml:space="preserve">PVC-2 x 10 @ 4,100; ROD-16 x 50 @ 11,800</t>
  </si>
  <si>
    <t xml:space="preserve">2026-10-27T10:40:13.90198+00:00</t>
  </si>
  <si>
    <t xml:space="preserve">2026-10-27T10:40:13.90442+00:00</t>
  </si>
  <si>
    <t xml:space="preserve">2026-10-27T10:40:13.904757+00:00</t>
  </si>
  <si>
    <t xml:space="preserve">ORD-5397</t>
  </si>
  <si>
    <t xml:space="preserve">PVC-4 x 517 @ 8,600; ROOF-AL x 52 @ 12,500; WIRE-25 x 7 @ 52,000</t>
  </si>
  <si>
    <t xml:space="preserve">2026-10-27T10:40:13.914139+00:00</t>
  </si>
  <si>
    <t xml:space="preserve">2026-10-27T10:40:13.916985+00:00</t>
  </si>
  <si>
    <t xml:space="preserve">2026-10-27T10:40:13.91737+00:00</t>
  </si>
  <si>
    <t xml:space="preserve">ORD-5398</t>
  </si>
  <si>
    <t xml:space="preserve">PNT-20C x 1 @ 38,000; ROD-16 x 20 @ 11,800; WIRE-25 x 4 @ 52,000</t>
  </si>
  <si>
    <t xml:space="preserve">2026-10-27T10:40:13.926637+00:00</t>
  </si>
  <si>
    <t xml:space="preserve">2026-10-27T10:40:13.929005+00:00</t>
  </si>
  <si>
    <t xml:space="preserve">2026-10-27T10:40:13.9295+00:00</t>
  </si>
  <si>
    <t xml:space="preserve">ORD-5399</t>
  </si>
  <si>
    <t xml:space="preserve">ROD-16 x 26 @ 11,800; TIL-6060 x 37 @ 14,500; WIRE-25 x 6 @ 52,000</t>
  </si>
  <si>
    <t xml:space="preserve">2026-10-27T10:40:13.938949+00:00</t>
  </si>
  <si>
    <t xml:space="preserve">2026-10-27T10:40:13.941424+00:00</t>
  </si>
  <si>
    <t xml:space="preserve">2026-10-27T10:40:13.941763+00:00</t>
  </si>
  <si>
    <t xml:space="preserve">ORD-5400</t>
  </si>
  <si>
    <t xml:space="preserve">PNT-20C x 3 @ 38,000; ROOF-AL x 40 @ 12,500; WIRE-25 x 6 @ 52,000</t>
  </si>
  <si>
    <t xml:space="preserve">2026-10-27T10:40:13.951356+00:00</t>
  </si>
  <si>
    <t xml:space="preserve">2026-10-27T10:40:13.95392+00:00</t>
  </si>
  <si>
    <t xml:space="preserve">2026-10-27T10:40:13.954351+00:00</t>
  </si>
  <si>
    <t xml:space="preserve">ORD-5401</t>
  </si>
  <si>
    <t xml:space="preserve">TIL-6060 x 80 @ 14,500; WIRE-25 x 4 @ 52,000</t>
  </si>
  <si>
    <t xml:space="preserve">2026-10-27T10:40:13.964462+00:00</t>
  </si>
  <si>
    <t xml:space="preserve">2026-10-27T10:40:13.966882+00:00</t>
  </si>
  <si>
    <t xml:space="preserve">2026-10-27T10:40:13.967278+00:00</t>
  </si>
  <si>
    <t xml:space="preserve">ORD-5402</t>
  </si>
  <si>
    <t xml:space="preserve">PVC-2 x 2 @ 4,100; ROD-16 x 1032 @ 11,800; ROOF-AL x 30 @ 12,500</t>
  </si>
  <si>
    <t xml:space="preserve">2026-10-27T10:40:13.977289+00:00</t>
  </si>
  <si>
    <t xml:space="preserve">2026-10-27T10:40:13.979992+00:00</t>
  </si>
  <si>
    <t xml:space="preserve">2026-10-27T10:40:13.980423+00:00</t>
  </si>
  <si>
    <t xml:space="preserve">ORD-5403</t>
  </si>
  <si>
    <t xml:space="preserve">2026-10-27T10:40:13.990277+00:00</t>
  </si>
  <si>
    <t xml:space="preserve">2026-10-27T10:40:13.992458+00:00</t>
  </si>
  <si>
    <t xml:space="preserve">2026-10-27T10:40:13.992789+00:00</t>
  </si>
  <si>
    <t xml:space="preserve">ORD-5404</t>
  </si>
  <si>
    <t xml:space="preserve">2026-10-27T10:40:14.002085+00:00</t>
  </si>
  <si>
    <t xml:space="preserve">2026-10-27T10:40:14.004403+00:00</t>
  </si>
  <si>
    <t xml:space="preserve">2026-10-27T10:40:14.004818+00:00</t>
  </si>
  <si>
    <t xml:space="preserve">ORD-5405</t>
  </si>
  <si>
    <t xml:space="preserve">ROD-12 x 51 @ 7,200; ROOF-AL x 47 @ 12,500</t>
  </si>
  <si>
    <t xml:space="preserve">2026-10-27T10:40:14.014995+00:00</t>
  </si>
  <si>
    <t xml:space="preserve">2026-10-27T10:40:14.017142+00:00</t>
  </si>
  <si>
    <t xml:space="preserve">2026-10-27T10:40:14.017502+00:00</t>
  </si>
  <si>
    <t xml:space="preserve">ORD-5406</t>
  </si>
  <si>
    <t xml:space="preserve">NAIL-3 x 9 @ 31,000; PNT-20C x 4 @ 38,000; ROOF-AL x 69 @ 12,500</t>
  </si>
  <si>
    <t xml:space="preserve">2026-10-27T10:40:14.026689+00:00</t>
  </si>
  <si>
    <t xml:space="preserve">2026-10-27T10:40:14.029294+00:00</t>
  </si>
  <si>
    <t xml:space="preserve">2026-10-27T10:40:14.029642+00:00</t>
  </si>
  <si>
    <t xml:space="preserve">ORD-5407</t>
  </si>
  <si>
    <t xml:space="preserve">PNT-20W x 22 @ 38,000; TIL-6060 x 13 @ 14,500; WIRE-25 x 16 @ 52,000</t>
  </si>
  <si>
    <t xml:space="preserve">2026-10-27T10:40:14.039313+00:00</t>
  </si>
  <si>
    <t xml:space="preserve">2026-10-27T10:40:14.041611+00:00</t>
  </si>
  <si>
    <t xml:space="preserve">2026-10-27T10:40:14.041952+00:00</t>
  </si>
  <si>
    <t xml:space="preserve">ORD-5408</t>
  </si>
  <si>
    <t xml:space="preserve">2026-10-27T10:40:14.051847+00:00</t>
  </si>
  <si>
    <t xml:space="preserve">2026-10-27T10:40:14.053972+00:00</t>
  </si>
  <si>
    <t xml:space="preserve">2026-10-27T10:40:14.054367+00:00</t>
  </si>
  <si>
    <t xml:space="preserve">ORD-5409</t>
  </si>
  <si>
    <t xml:space="preserve">ROD-16 x 28 @ 11,800; ROOF-AL x 1048 @ 12,500; TIL-6060 x 4 @ 14,500; WIRE-25 x 2 @ 52,000</t>
  </si>
  <si>
    <t xml:space="preserve">2026-10-27T10:40:14.064738+00:00</t>
  </si>
  <si>
    <t xml:space="preserve">2026-10-27T10:40:14.067505+00:00</t>
  </si>
  <si>
    <t xml:space="preserve">2026-10-27T10:40:14.067847+00:00</t>
  </si>
  <si>
    <t xml:space="preserve">ORD-5410</t>
  </si>
  <si>
    <t xml:space="preserve">ROD-16 x 8 @ 11,800</t>
  </si>
  <si>
    <t xml:space="preserve">2026-10-27T10:40:14.077247+00:00</t>
  </si>
  <si>
    <t xml:space="preserve">2026-10-27T10:40:14.079435+00:00</t>
  </si>
  <si>
    <t xml:space="preserve">2026-10-27T10:40:14.079775+00:00</t>
  </si>
  <si>
    <t xml:space="preserve">ORD-5411</t>
  </si>
  <si>
    <t xml:space="preserve">PNT-20W x 24 @ 38,000</t>
  </si>
  <si>
    <t xml:space="preserve">2026-10-27T10:40:14.08974+00:00</t>
  </si>
  <si>
    <t xml:space="preserve">2026-10-27T10:40:14.092035+00:00</t>
  </si>
  <si>
    <t xml:space="preserve">2026-10-27T10:40:14.092405+00:00</t>
  </si>
  <si>
    <t xml:space="preserve">ORD-5412</t>
  </si>
  <si>
    <t xml:space="preserve">ROD-16 x 56 @ 11,800</t>
  </si>
  <si>
    <t xml:space="preserve">2026-10-27T10:40:14.101611+00:00</t>
  </si>
  <si>
    <t xml:space="preserve">2026-10-27T10:40:14.103778+00:00</t>
  </si>
  <si>
    <t xml:space="preserve">2026-10-27T10:40:14.104167+00:00</t>
  </si>
  <si>
    <t xml:space="preserve">ORD-5413</t>
  </si>
  <si>
    <t xml:space="preserve">2026-10-27T10:40:14.114367+00:00</t>
  </si>
  <si>
    <t xml:space="preserve">2026-10-27T10:40:14.116703+00:00</t>
  </si>
  <si>
    <t xml:space="preserve">2026-10-27T10:40:14.117051+00:00</t>
  </si>
  <si>
    <t xml:space="preserve">ORD-5414</t>
  </si>
  <si>
    <t xml:space="preserve">This looks like a repeat of ORD-5412. Confirm it is a new order.</t>
  </si>
  <si>
    <t xml:space="preserve">2026-10-27T10:40:14.126371+00:00</t>
  </si>
  <si>
    <t xml:space="preserve">ORD-5415</t>
  </si>
  <si>
    <t xml:space="preserve">CEM-50 x 82 @ 9,500; PVC-2 x 2 @ 4,100</t>
  </si>
  <si>
    <t xml:space="preserve">2026-10-27T10:40:14.138014+00:00</t>
  </si>
  <si>
    <t xml:space="preserve">2026-10-27T10:40:14.140444+00:00</t>
  </si>
  <si>
    <t xml:space="preserve">2026-10-27T10:40:14.140808+00:00</t>
  </si>
  <si>
    <t xml:space="preserve">ORD-5416</t>
  </si>
  <si>
    <t xml:space="preserve">ROD-12 x 122 @ 7,200; ROOF-AL x 40 @ 12,500</t>
  </si>
  <si>
    <t xml:space="preserve">Iron rod, 12 mm: 122 is far above this customer's usual 40.</t>
  </si>
  <si>
    <t xml:space="preserve">2026-10-27T10:40:14.151028+00:00</t>
  </si>
  <si>
    <t xml:space="preserve">2026-10-27T10:40:14.153625+00:00</t>
  </si>
  <si>
    <t xml:space="preserve">2026-10-27T10:40:14.153975+00:00</t>
  </si>
  <si>
    <t xml:space="preserve">ORD-5417</t>
  </si>
  <si>
    <t xml:space="preserve">CEM-50 x 61 @ 9,500; PVC-4 x 5 @ 8,600; TIL-6060 x 60 @ 14,500; XX-101 x None (not in the catalogue)</t>
  </si>
  <si>
    <t xml:space="preserve">Row 5: XX-101 - not in the catalogue</t>
  </si>
  <si>
    <t xml:space="preserve">2026-10-27T10:40:14.164522+00:00</t>
  </si>
  <si>
    <t xml:space="preserve">2026-10-27T10:40:14.167135+00:00</t>
  </si>
  <si>
    <t xml:space="preserve">2026-10-27T10:40:14.167506+00:00</t>
  </si>
  <si>
    <t xml:space="preserve">ORD-5418</t>
  </si>
  <si>
    <t xml:space="preserve">This looks like a repeat of ORD-5416. Confirm it is a new order.</t>
  </si>
  <si>
    <t xml:space="preserve">2026-10-27T10:40:14.177168+00:00</t>
  </si>
  <si>
    <t xml:space="preserve">ORD-5419</t>
  </si>
  <si>
    <t xml:space="preserve">NAIL-3 x 2 @ 31,000; ROD-12 x 26 @ 7,200</t>
  </si>
  <si>
    <t xml:space="preserve">2026-10-27T10:40:14.189643+00:00</t>
  </si>
  <si>
    <t xml:space="preserve">2026-10-27T10:40:14.191967+00:00</t>
  </si>
  <si>
    <t xml:space="preserve">2026-10-27T10:40:14.192328+00:00</t>
  </si>
  <si>
    <t xml:space="preserve">ORD-5420</t>
  </si>
  <si>
    <t xml:space="preserve">NAIL-3 x 5 @ 31,000; PVC-2 x 2 @ 4,100; TIL-6060 x 71 @ 14,500</t>
  </si>
  <si>
    <t xml:space="preserve">2026-10-27T10:40:14.20187+00:00</t>
  </si>
  <si>
    <t xml:space="preserve">2026-10-27T10:40:14.204555+00:00</t>
  </si>
  <si>
    <t xml:space="preserve">2026-10-27T10:40:14.205077+00:00</t>
  </si>
  <si>
    <t xml:space="preserve">ORD-5421</t>
  </si>
  <si>
    <t xml:space="preserve">PNT-20C x 4 @ 38,000; ROD-16 x 17 @ 11,800</t>
  </si>
  <si>
    <t xml:space="preserve">2026-10-27T10:40:14.215719+00:00</t>
  </si>
  <si>
    <t xml:space="preserve">2026-10-27T10:40:14.218148+00:00</t>
  </si>
  <si>
    <t xml:space="preserve">2026-10-27T10:40:14.218545+00:00</t>
  </si>
  <si>
    <t xml:space="preserve">ORD-5422</t>
  </si>
  <si>
    <t xml:space="preserve">CEM-50 x 188 @ 9,500; PVC-4 x 5 @ 8,600; TIL-6060 x 32 @ 14,500</t>
  </si>
  <si>
    <t xml:space="preserve">Cement, 50 kg bag: 188 is far above this customer's usual 49.</t>
  </si>
  <si>
    <t xml:space="preserve">2026-10-27T10:40:14.228671+00:00</t>
  </si>
  <si>
    <t xml:space="preserve">2026-10-27T10:40:14.231265+00:00</t>
  </si>
  <si>
    <t xml:space="preserve">2026-10-27T10:40:14.231624+00:00</t>
  </si>
  <si>
    <t xml:space="preserve">ORD-5423</t>
  </si>
  <si>
    <t xml:space="preserve">CEM-50 x 158 @ 9,500</t>
  </si>
  <si>
    <t xml:space="preserve">2026-10-27T10:40:14.242288+00:00</t>
  </si>
  <si>
    <t xml:space="preserve">2026-10-27T10:40:14.244513+00:00</t>
  </si>
  <si>
    <t xml:space="preserve">2026-10-27T10:40:14.244864+00:00</t>
  </si>
  <si>
    <t xml:space="preserve">ORD-5424</t>
  </si>
  <si>
    <t xml:space="preserve">2026-10-27T10:40:14.25516+00:00</t>
  </si>
  <si>
    <t xml:space="preserve">2026-10-27T10:40:14.257703+00:00</t>
  </si>
  <si>
    <t xml:space="preserve">2026-10-27T10:40:14.258051+00:00</t>
  </si>
  <si>
    <t xml:space="preserve">ORD-5425</t>
  </si>
  <si>
    <t xml:space="preserve">PVC-4 x 8 @ 8,600</t>
  </si>
  <si>
    <t xml:space="preserve">2026-10-27T10:40:14.268753+00:00</t>
  </si>
  <si>
    <t xml:space="preserve">2026-10-27T10:40:14.271109+00:00</t>
  </si>
  <si>
    <t xml:space="preserve">2026-10-27T10:40:14.271487+00:00</t>
  </si>
  <si>
    <t xml:space="preserve">ORD-5426</t>
  </si>
  <si>
    <t xml:space="preserve">This looks like a repeat of ORD-5424. Confirm it is a new order.</t>
  </si>
  <si>
    <t xml:space="preserve">2026-10-27T10:40:14.28143+00:00</t>
  </si>
  <si>
    <t xml:space="preserve">ORD-5427</t>
  </si>
  <si>
    <t xml:space="preserve">PNT-20W x 7 @ 38,000; PVC-2 x 2 @ 4,100; PVC-4 x 17 @ 8,600</t>
  </si>
  <si>
    <t xml:space="preserve">2026-10-27T10:40:14.293774+00:00</t>
  </si>
  <si>
    <t xml:space="preserve">2026-10-27T10:40:14.296278+00:00</t>
  </si>
  <si>
    <t xml:space="preserve">2026-10-27T10:40:14.296643+00:00</t>
  </si>
  <si>
    <t xml:space="preserve">ORD-5428</t>
  </si>
  <si>
    <t xml:space="preserve">CEM-50 x 125 @ 9,500; ROD-16 x 66 @ 11,800; TIL-6060 x 17 @ 14,500</t>
  </si>
  <si>
    <t xml:space="preserve">2026-10-27T10:40:14.307249+00:00</t>
  </si>
  <si>
    <t xml:space="preserve">2026-10-27T10:40:14.309954+00:00</t>
  </si>
  <si>
    <t xml:space="preserve">2026-10-27T10:40:14.310333+00:00</t>
  </si>
  <si>
    <t xml:space="preserve">ORD-5429</t>
  </si>
  <si>
    <t xml:space="preserve">PVC-2 x 2 @ 4,100; PVC-4 x 1 @ 8,600</t>
  </si>
  <si>
    <t xml:space="preserve">2026-10-27T10:40:14.320991+00:00</t>
  </si>
  <si>
    <t xml:space="preserve">2026-10-27T10:40:14.323408+00:00</t>
  </si>
  <si>
    <t xml:space="preserve">2026-10-27T10:40:14.32375+00:00</t>
  </si>
  <si>
    <t xml:space="preserve">ORD-5430</t>
  </si>
  <si>
    <t xml:space="preserve">NAIL-3 x 6 @ 31,000; WIRE-25 x 14 @ 52,000</t>
  </si>
  <si>
    <t xml:space="preserve">2026-10-27T10:40:14.333704+00:00</t>
  </si>
  <si>
    <t xml:space="preserve">2026-10-27T10:40:14.336131+00:00</t>
  </si>
  <si>
    <t xml:space="preserve">2026-10-27T10:40:14.336524+00:00</t>
  </si>
  <si>
    <t xml:space="preserve">ORD-5431</t>
  </si>
  <si>
    <t xml:space="preserve">CEM-50 x 771 @ 9,500; PVC-2 x 2 @ 4,100; PVC-4 x 58 @ 8,600</t>
  </si>
  <si>
    <t xml:space="preserve">2026-10-27T10:40:14.347364+00:00</t>
  </si>
  <si>
    <t xml:space="preserve">2026-10-27T10:40:14.349997+00:00</t>
  </si>
  <si>
    <t xml:space="preserve">2026-10-27T10:40:14.350426+00:00</t>
  </si>
  <si>
    <t xml:space="preserve">ORD-5432</t>
  </si>
  <si>
    <t xml:space="preserve">2026-10-27T10:40:14.360587+00:00</t>
  </si>
  <si>
    <t xml:space="preserve">2026-10-27T10:40:14.363037+00:00</t>
  </si>
  <si>
    <t xml:space="preserve">2026-10-27T10:40:14.363426+00:00</t>
  </si>
  <si>
    <t xml:space="preserve">ORD-5433</t>
  </si>
  <si>
    <t xml:space="preserve">2026-10-27T10:40:14.374047+00:00</t>
  </si>
  <si>
    <t xml:space="preserve">2026-10-27T10:40:14.376309+00:00</t>
  </si>
  <si>
    <t xml:space="preserve">2026-10-27T10:40:14.376659+00:00</t>
  </si>
  <si>
    <t xml:space="preserve">ORD-5434</t>
  </si>
  <si>
    <t xml:space="preserve">Choose a delivery address. | This looks like a repeat of ORD-5408. Confirm it is a new order.</t>
  </si>
  <si>
    <t xml:space="preserve">2026-10-27T10:40:14.386927+00:00</t>
  </si>
  <si>
    <t xml:space="preserve">2026-10-27T10:40:14.388938+00:00</t>
  </si>
  <si>
    <t xml:space="preserve">2026-10-27T10:40:14.389292+00:00</t>
  </si>
  <si>
    <t xml:space="preserve">ORD-5435</t>
  </si>
  <si>
    <t xml:space="preserve">PNT-20C x 6 @ 38,000; SAND-T x 1 @ 185,000</t>
  </si>
  <si>
    <t xml:space="preserve">2026-10-27T10:40:14.399179+00:00</t>
  </si>
  <si>
    <t xml:space="preserve">2026-10-27T10:40:14.401842+00:00</t>
  </si>
  <si>
    <t xml:space="preserve">2026-10-27T10:40:14.402281+00:00</t>
  </si>
  <si>
    <t xml:space="preserve">ORD-5436</t>
  </si>
  <si>
    <t xml:space="preserve">ROD-16 x 44 @ 11,800; TIL-6060 x 65 @ 14,500</t>
  </si>
  <si>
    <t xml:space="preserve">2026-10-27T10:40:14.411984+00:00</t>
  </si>
  <si>
    <t xml:space="preserve">2026-10-27T10:40:14.414335+00:00</t>
  </si>
  <si>
    <t xml:space="preserve">2026-10-27T10:40:14.414683+00:00</t>
  </si>
  <si>
    <t xml:space="preserve">ORD-5437</t>
  </si>
  <si>
    <t xml:space="preserve">ROOF-AL x 60 @ 12,500; WIRE-25 x 13 @ 52,000</t>
  </si>
  <si>
    <t xml:space="preserve">2026-10-27T10:40:14.425318+00:00</t>
  </si>
  <si>
    <t xml:space="preserve">2026-10-27T10:40:14.427678+00:00</t>
  </si>
  <si>
    <t xml:space="preserve">2026-10-27T10:40:14.428029+00:00</t>
  </si>
  <si>
    <t xml:space="preserve">ORD-5438</t>
  </si>
  <si>
    <t xml:space="preserve">ROD-16 x 63 @ 11,800</t>
  </si>
  <si>
    <t xml:space="preserve">2026-10-27T10:40:14.43869+00:00</t>
  </si>
  <si>
    <t xml:space="preserve">2026-10-27T10:40:14.441005+00:00</t>
  </si>
  <si>
    <t xml:space="preserve">2026-10-27T10:40:14.441413+00:00</t>
  </si>
  <si>
    <t xml:space="preserve">ORD-5439</t>
  </si>
  <si>
    <t xml:space="preserve">PVC-2 x 2 @ 4,100; PVC-4 x 34 @ 8,600; TIL-6060 x 61 @ 14,500</t>
  </si>
  <si>
    <t xml:space="preserve">2026-10-27T10:40:14.452384+00:00</t>
  </si>
  <si>
    <t xml:space="preserve">2026-10-27T10:40:14.454938+00:00</t>
  </si>
  <si>
    <t xml:space="preserve">2026-10-27T10:40:14.45533+00:00</t>
  </si>
  <si>
    <t xml:space="preserve">ORD-5440</t>
  </si>
  <si>
    <t xml:space="preserve">PVC-4 x 20 @ 8,600; WIRE-25 x 1 @ 52,000</t>
  </si>
  <si>
    <t xml:space="preserve">2026-10-27T10:40:14.465855+00:00</t>
  </si>
  <si>
    <t xml:space="preserve">2026-10-27T10:40:14.468336+00:00</t>
  </si>
  <si>
    <t xml:space="preserve">2026-10-27T10:40:14.468699+00:00</t>
  </si>
  <si>
    <t xml:space="preserve">ORD-5441</t>
  </si>
  <si>
    <t xml:space="preserve">PNT-20W x 26 @ 38,000; PVC-4 x 13 @ 8,600</t>
  </si>
  <si>
    <t xml:space="preserve">2026-10-27T10:40:14.479679+00:00</t>
  </si>
  <si>
    <t xml:space="preserve">2026-10-27T10:40:14.481969+00:00</t>
  </si>
  <si>
    <t xml:space="preserve">2026-10-27T10:40:14.482367+00:00</t>
  </si>
  <si>
    <t xml:space="preserve">Replicate 3 (database run 7, seed 0.44). Every figure below is a formula over the R3 Orders sheet.</t>
  </si>
  <si>
    <t xml:space="preserve">Key measures in each replicate and their range. Every value is a reference to an Rn Summary sheet.</t>
  </si>
  <si>
    <t xml:space="preserve">Replicate 1 (headline)</t>
  </si>
  <si>
    <t xml:space="preserve">Replicate 2</t>
  </si>
  <si>
    <t xml:space="preserve">Replicate 3</t>
  </si>
  <si>
    <t xml:space="preserve">Accuracy, all errors</t>
  </si>
  <si>
    <t xml:space="preserve">Precision, all errors</t>
  </si>
  <si>
    <t xml:space="preserve">Recall, all errors</t>
  </si>
  <si>
    <t xml:space="preserve">F1, all errors</t>
  </si>
  <si>
    <t xml:space="preserve">Accuracy, rule-targeted errors</t>
  </si>
  <si>
    <t xml:space="preserve">Precision, rule-targeted errors</t>
  </si>
  <si>
    <t xml:space="preserve">Recall, rule-targeted errors</t>
  </si>
  <si>
    <t xml:space="preserve">F1, rule-targeted errors</t>
  </si>
  <si>
    <t xml:space="preserve">Validation time mean (ms)</t>
  </si>
  <si>
    <t xml:space="preserve">Validation time median (ms)</t>
  </si>
  <si>
    <t xml:space="preserve">Validation time 95th percentile (ms)</t>
  </si>
  <si>
    <t xml:space="preserve">Validation time sample SD (ms)</t>
  </si>
  <si>
    <t xml:space="preserve">Mandatory-field completion</t>
  </si>
  <si>
    <t xml:space="preserve">Flagged errors without a rule</t>
  </si>
  <si>
    <t xml:space="preserve">Unusual-quantity sensitivity on replicate 1. Each row is a replay of run 5 with the same 500 orders. For discussion only; the live factor stays at 3.</t>
  </si>
  <si>
    <t xml:space="preserve">Run</t>
  </si>
  <si>
    <t xml:space="preserve">Factor (x customer average)</t>
  </si>
  <si>
    <t xml:space="preserve">Earlier orders per customer</t>
  </si>
  <si>
    <t xml:space="preserve">Clean flagged by unusual quantity</t>
  </si>
  <si>
    <t xml:space="preserve">Clean flagged by any rule</t>
  </si>
  <si>
    <t xml:space="preserve">Typo orders</t>
  </si>
  <si>
    <t xml:space="preserve">Typos flagged</t>
  </si>
  <si>
    <t xml:space="preserve">Typo detection rate</t>
  </si>
  <si>
    <t xml:space="preserve">Mean validation time (ms)</t>
  </si>
  <si>
    <t xml:space="preserve">Source: runs 8 to 13 in simulation_final_orders (04_sensitivity/raw/runs8to13_replays_of_run5.json). Run 8 reproduces run 5 exactly.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</si>
</sst>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₦#,##0.00"/>
    <numFmt numFmtId="166" formatCode="0.00"/>
    <numFmt numFmtId="167" formatCode="0.0%"/>
    <numFmt numFmtId="168" formatCode="General"/>
    <numFmt numFmtId="169" formatCode="0"/>
    <numFmt numFmtId="170" formatCode="\₦#,##0.00"/>
    <numFmt numFmtId="171" formatCode="0.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7A4D"/>
      <name val="Arial"/>
      <family val="0"/>
      <charset val="1"/>
    </font>
    <font>
      <b val="true"/>
      <sz val="11"/>
      <color rgb="FF9A6200"/>
      <name val="Arial"/>
      <family val="0"/>
      <charset val="1"/>
    </font>
    <font>
      <b val="true"/>
      <sz val="11"/>
      <color rgb="FF595959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3D3E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FD4CD"/>
      </left>
      <right style="thin">
        <color rgb="FFCFD4CD"/>
      </right>
      <top style="thin">
        <color rgb="FFCFD4CD"/>
      </top>
      <bottom style="thin">
        <color rgb="FFCFD4C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F3D3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6200"/>
      <rgbColor rgb="FF800080"/>
      <rgbColor rgb="FF1F7A4D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FD4C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F3D3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Orders" displayName="Orders" ref="A1:V501" headerRowCount="1" totalsRowCount="0" totalsRowShown="0">
  <autoFilter ref="A1:V501"/>
  <tableColumns count="22">
    <tableColumn id="1" name="Seq"/>
    <tableColumn id="2" name="Simulated day"/>
    <tableColumn id="3" name="Company"/>
    <tableColumn id="4" name="Contact person"/>
    <tableColumn id="5" name="E-mail"/>
    <tableColumn id="6" name="Phone"/>
    <tableColumn id="7" name="Region"/>
    <tableColumn id="8" name="Lines"/>
    <tableColumn id="9" name="Units"/>
    <tableColumn id="10" name="Items (SKU × qty @ unit price)"/>
    <tableColumn id="11" name="Subtotal (₦)"/>
    <tableColumn id="12" name="Delivery fee (₦)"/>
    <tableColumn id="13" name="Tax (₦)"/>
    <tableColumn id="14" name="Total (₦)"/>
    <tableColumn id="15" name="Planted error"/>
    <tableColumn id="16" name="Has rule"/>
    <tableColumn id="17" name="Outcome"/>
    <tableColumn id="18" name="Flagged"/>
    <tableColumn id="19" name="Status after submit"/>
    <tableColumn id="20" name="Rules triggered"/>
    <tableColumn id="21" name="Messages shown"/>
    <tableColumn id="22" name="Validation time (ms)"/>
  </tableColumns>
</table>
</file>

<file path=xl/tables/table2.xml><?xml version="1.0" encoding="utf-8"?>
<table xmlns="http://schemas.openxmlformats.org/spreadsheetml/2006/main" id="2" name="R1Orders" displayName="R1Orders" ref="A1:AI501" headerRowCount="1" totalsRowCount="0" totalsRowShown="0">
  <autoFilter ref="A1:AI501"/>
  <tableColumns count="35">
    <tableColumn id="1" name="Seq"/>
    <tableColumn id="2" name="Order no."/>
    <tableColumn id="3" name="Simulated day"/>
    <tableColumn id="4" name="Company"/>
    <tableColumn id="5" name="Region"/>
    <tableColumn id="6" name="Lines"/>
    <tableColumn id="7" name="Units"/>
    <tableColumn id="8" name="Items (SKU x qty @ unit price)"/>
    <tableColumn id="9" name="Subtotal (₦)"/>
    <tableColumn id="10" name="Delivery fee (₦)"/>
    <tableColumn id="11" name="Tax (₦)"/>
    <tableColumn id="12" name="Total (₦)"/>
    <tableColumn id="13" name="Planted error"/>
    <tableColumn id="14" name="Has rule"/>
    <tableColumn id="15" name="Expected rule"/>
    <tableColumn id="16" name="Outcome"/>
    <tableColumn id="17" name="Flagged"/>
    <tableColumn id="18" name="Status after submit"/>
    <tableColumn id="19" name="Rules triggered"/>
    <tableColumn id="20" name="Messages shown"/>
    <tableColumn id="21" name="Validation time (ms)"/>
    <tableColumn id="22" name="Draft event at"/>
    <tableColumn id="23" name="Submitted event at"/>
    <tableColumn id="24" name="Last event at"/>
    <tableColumn id="25" name="Last status"/>
    <tableColumn id="26" name="Rule: mandatory"/>
    <tableColumn id="27" name="Rule: sku"/>
    <tableColumn id="28" name="Rule: quantity"/>
    <tableColumn id="29" name="Rule: stock"/>
    <tableColumn id="30" name="Rule: customer_status"/>
    <tableColumn id="31" name="Rule: pricing"/>
    <tableColumn id="32" name="Rule: delivery"/>
    <tableColumn id="33" name="Rule: duplicate"/>
    <tableColumn id="34" name="Rule: unusual_quantity"/>
    <tableColumn id="35" name="Delivery date given"/>
  </tableColumns>
</table>
</file>

<file path=xl/tables/table3.xml><?xml version="1.0" encoding="utf-8"?>
<table xmlns="http://schemas.openxmlformats.org/spreadsheetml/2006/main" id="3" name="R2Orders" displayName="R2Orders" ref="A1:AI501" headerRowCount="1" totalsRowCount="0" totalsRowShown="0">
  <autoFilter ref="A1:AI501"/>
  <tableColumns count="35">
    <tableColumn id="1" name="Seq"/>
    <tableColumn id="2" name="Order no."/>
    <tableColumn id="3" name="Simulated day"/>
    <tableColumn id="4" name="Company"/>
    <tableColumn id="5" name="Region"/>
    <tableColumn id="6" name="Lines"/>
    <tableColumn id="7" name="Units"/>
    <tableColumn id="8" name="Items (SKU x qty @ unit price)"/>
    <tableColumn id="9" name="Subtotal (₦)"/>
    <tableColumn id="10" name="Delivery fee (₦)"/>
    <tableColumn id="11" name="Tax (₦)"/>
    <tableColumn id="12" name="Total (₦)"/>
    <tableColumn id="13" name="Planted error"/>
    <tableColumn id="14" name="Has rule"/>
    <tableColumn id="15" name="Expected rule"/>
    <tableColumn id="16" name="Outcome"/>
    <tableColumn id="17" name="Flagged"/>
    <tableColumn id="18" name="Status after submit"/>
    <tableColumn id="19" name="Rules triggered"/>
    <tableColumn id="20" name="Messages shown"/>
    <tableColumn id="21" name="Validation time (ms)"/>
    <tableColumn id="22" name="Draft event at"/>
    <tableColumn id="23" name="Submitted event at"/>
    <tableColumn id="24" name="Last event at"/>
    <tableColumn id="25" name="Last status"/>
    <tableColumn id="26" name="Rule: mandatory"/>
    <tableColumn id="27" name="Rule: sku"/>
    <tableColumn id="28" name="Rule: quantity"/>
    <tableColumn id="29" name="Rule: stock"/>
    <tableColumn id="30" name="Rule: customer_status"/>
    <tableColumn id="31" name="Rule: pricing"/>
    <tableColumn id="32" name="Rule: delivery"/>
    <tableColumn id="33" name="Rule: duplicate"/>
    <tableColumn id="34" name="Rule: unusual_quantity"/>
    <tableColumn id="35" name="Delivery date given"/>
  </tableColumns>
</table>
</file>

<file path=xl/tables/table4.xml><?xml version="1.0" encoding="utf-8"?>
<table xmlns="http://schemas.openxmlformats.org/spreadsheetml/2006/main" id="4" name="R3Orders" displayName="R3Orders" ref="A1:AI501" headerRowCount="1" totalsRowCount="0" totalsRowShown="0">
  <autoFilter ref="A1:AI501"/>
  <tableColumns count="35">
    <tableColumn id="1" name="Seq"/>
    <tableColumn id="2" name="Order no."/>
    <tableColumn id="3" name="Simulated day"/>
    <tableColumn id="4" name="Company"/>
    <tableColumn id="5" name="Region"/>
    <tableColumn id="6" name="Lines"/>
    <tableColumn id="7" name="Units"/>
    <tableColumn id="8" name="Items (SKU x qty @ unit price)"/>
    <tableColumn id="9" name="Subtotal (₦)"/>
    <tableColumn id="10" name="Delivery fee (₦)"/>
    <tableColumn id="11" name="Tax (₦)"/>
    <tableColumn id="12" name="Total (₦)"/>
    <tableColumn id="13" name="Planted error"/>
    <tableColumn id="14" name="Has rule"/>
    <tableColumn id="15" name="Expected rule"/>
    <tableColumn id="16" name="Outcome"/>
    <tableColumn id="17" name="Flagged"/>
    <tableColumn id="18" name="Status after submit"/>
    <tableColumn id="19" name="Rules triggered"/>
    <tableColumn id="20" name="Messages shown"/>
    <tableColumn id="21" name="Validation time (ms)"/>
    <tableColumn id="22" name="Draft event at"/>
    <tableColumn id="23" name="Submitted event at"/>
    <tableColumn id="24" name="Last event at"/>
    <tableColumn id="25" name="Last status"/>
    <tableColumn id="26" name="Rule: mandatory"/>
    <tableColumn id="27" name="Rule: sku"/>
    <tableColumn id="28" name="Rule: quantity"/>
    <tableColumn id="29" name="Rule: stock"/>
    <tableColumn id="30" name="Rule: customer_status"/>
    <tableColumn id="31" name="Rule: pricing"/>
    <tableColumn id="32" name="Rule: delivery"/>
    <tableColumn id="33" name="Rule: duplicate"/>
    <tableColumn id="34" name="Rule: unusual_quantity"/>
    <tableColumn id="35" name="Delivery date give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4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 t="s">
        <v>5</v>
      </c>
    </row>
    <row r="8" customFormat="false" ht="15" hidden="false" customHeight="true" outlineLevel="0" collapsed="false">
      <c r="A8" s="3"/>
    </row>
    <row r="9" customFormat="false" ht="15" hidden="false" customHeight="true" outlineLevel="0" collapsed="false">
      <c r="A9" s="4" t="s">
        <v>6</v>
      </c>
    </row>
    <row r="10" customFormat="false" ht="15" hidden="false" customHeight="true" outlineLevel="0" collapsed="false">
      <c r="A10" s="3" t="s">
        <v>7</v>
      </c>
    </row>
    <row r="11" customFormat="false" ht="15" hidden="false" customHeight="true" outlineLevel="0" collapsed="false">
      <c r="A11" s="3" t="s">
        <v>8</v>
      </c>
    </row>
    <row r="12" customFormat="false" ht="15" hidden="false" customHeight="true" outlineLevel="0" collapsed="false">
      <c r="A12" s="3" t="s">
        <v>9</v>
      </c>
    </row>
    <row r="13" customFormat="false" ht="15" hidden="false" customHeight="true" outlineLevel="0" collapsed="false">
      <c r="A13" s="3" t="s">
        <v>10</v>
      </c>
    </row>
    <row r="14" customFormat="false" ht="15" hidden="false" customHeight="true" outlineLevel="0" collapsed="false">
      <c r="A14" s="3" t="s">
        <v>11</v>
      </c>
    </row>
    <row r="15" customFormat="false" ht="15" hidden="false" customHeight="true" outlineLevel="0" collapsed="false">
      <c r="A15" s="3" t="s">
        <v>12</v>
      </c>
    </row>
    <row r="16" customFormat="false" ht="15" hidden="false" customHeight="true" outlineLevel="0" collapsed="false">
      <c r="A16" s="3" t="s">
        <v>13</v>
      </c>
    </row>
    <row r="17" customFormat="false" ht="15" hidden="false" customHeight="true" outlineLevel="0" collapsed="false">
      <c r="A17" s="3" t="s">
        <v>14</v>
      </c>
    </row>
    <row r="18" customFormat="false" ht="15" hidden="false" customHeight="true" outlineLevel="0" collapsed="false">
      <c r="A18" s="3"/>
    </row>
    <row r="19" customFormat="false" ht="15" hidden="false" customHeight="true" outlineLevel="0" collapsed="false">
      <c r="A19" s="4" t="s">
        <v>15</v>
      </c>
    </row>
    <row r="20" customFormat="false" ht="15" hidden="false" customHeight="true" outlineLevel="0" collapsed="false">
      <c r="A20" s="3" t="s">
        <v>16</v>
      </c>
    </row>
    <row r="21" customFormat="false" ht="15" hidden="false" customHeight="true" outlineLevel="0" collapsed="false">
      <c r="A21" s="3" t="s">
        <v>17</v>
      </c>
    </row>
    <row r="22" customFormat="false" ht="15" hidden="false" customHeight="true" outlineLevel="0" collapsed="false">
      <c r="A22" s="3" t="s">
        <v>18</v>
      </c>
    </row>
    <row r="23" customFormat="false" ht="15" hidden="false" customHeight="true" outlineLevel="0" collapsed="false">
      <c r="A23" s="3" t="s">
        <v>19</v>
      </c>
    </row>
    <row r="24" customFormat="false" ht="15" hidden="false" customHeight="true" outlineLevel="0" collapsed="false">
      <c r="A24" s="3" t="s">
        <v>20</v>
      </c>
    </row>
    <row r="26" customFormat="false" ht="15" hidden="false" customHeight="false" outlineLevel="0" collapsed="false">
      <c r="A26" s="5" t="s">
        <v>21</v>
      </c>
    </row>
    <row r="27" customFormat="false" ht="15" hidden="false" customHeight="false" outlineLevel="0" collapsed="false">
      <c r="A27" s="6" t="s">
        <v>22</v>
      </c>
    </row>
    <row r="28" customFormat="false" ht="15" hidden="false" customHeight="false" outlineLevel="0" collapsed="false">
      <c r="A28" s="6" t="s">
        <v>23</v>
      </c>
    </row>
    <row r="29" customFormat="false" ht="15" hidden="false" customHeight="false" outlineLevel="0" collapsed="false">
      <c r="A29" s="6" t="s">
        <v>24</v>
      </c>
    </row>
    <row r="30" customFormat="false" ht="15" hidden="false" customHeight="false" outlineLevel="0" collapsed="false">
      <c r="A30" s="6" t="s">
        <v>25</v>
      </c>
    </row>
    <row r="31" customFormat="false" ht="15" hidden="false" customHeight="false" outlineLevel="0" collapsed="false">
      <c r="A31" s="6" t="s">
        <v>26</v>
      </c>
    </row>
    <row r="32" customFormat="false" ht="15" hidden="false" customHeight="false" outlineLevel="0" collapsed="false">
      <c r="A32" s="6" t="s">
        <v>27</v>
      </c>
    </row>
    <row r="33" customFormat="false" ht="15" hidden="false" customHeight="false" outlineLevel="0" collapsed="false">
      <c r="A33" s="6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9"/>
    <col collapsed="false" customWidth="true" hidden="false" outlineLevel="0" max="3" min="3" style="1" width="30"/>
    <col collapsed="false" customWidth="true" hidden="false" outlineLevel="0" max="4" min="4" style="1" width="20"/>
    <col collapsed="false" customWidth="true" hidden="false" outlineLevel="0" max="5" min="5" style="1" width="34"/>
    <col collapsed="false" customWidth="true" hidden="false" outlineLevel="0" max="6" min="6" style="1" width="13"/>
    <col collapsed="false" customWidth="true" hidden="false" outlineLevel="0" max="7" min="7" style="1" width="15"/>
    <col collapsed="false" customWidth="true" hidden="false" outlineLevel="0" max="9" min="8" style="1" width="7"/>
    <col collapsed="false" customWidth="true" hidden="false" outlineLevel="0" max="10" min="10" style="1" width="46"/>
    <col collapsed="false" customWidth="true" hidden="false" outlineLevel="0" max="11" min="11" style="1" width="15"/>
    <col collapsed="false" customWidth="true" hidden="false" outlineLevel="0" max="13" min="12" style="1" width="13"/>
    <col collapsed="false" customWidth="true" hidden="false" outlineLevel="0" max="14" min="14" style="1" width="15"/>
    <col collapsed="false" customWidth="true" hidden="false" outlineLevel="0" max="15" min="15" style="1" width="32"/>
    <col collapsed="false" customWidth="true" hidden="false" outlineLevel="0" max="18" min="16" style="1" width="9"/>
    <col collapsed="false" customWidth="true" hidden="false" outlineLevel="0" max="19" min="19" style="1" width="18"/>
    <col collapsed="false" customWidth="true" hidden="false" outlineLevel="0" max="20" min="20" style="1" width="36"/>
    <col collapsed="false" customWidth="true" hidden="false" outlineLevel="0" max="21" min="21" style="1" width="60"/>
    <col collapsed="false" customWidth="true" hidden="false" outlineLevel="0" max="22" min="22" style="1" width="12"/>
  </cols>
  <sheetData>
    <row r="1" customFormat="false" ht="39" hidden="false" customHeight="true" outlineLevel="0" collapsed="false">
      <c r="A1" s="7" t="s">
        <v>29</v>
      </c>
      <c r="B1" s="7" t="s">
        <v>30</v>
      </c>
      <c r="C1" s="7" t="s">
        <v>31</v>
      </c>
      <c r="D1" s="7" t="s">
        <v>32</v>
      </c>
      <c r="E1" s="7" t="s">
        <v>33</v>
      </c>
      <c r="F1" s="7" t="s">
        <v>34</v>
      </c>
      <c r="G1" s="7" t="s">
        <v>35</v>
      </c>
      <c r="H1" s="7" t="s">
        <v>36</v>
      </c>
      <c r="I1" s="7" t="s">
        <v>37</v>
      </c>
      <c r="J1" s="7" t="s">
        <v>38</v>
      </c>
      <c r="K1" s="7" t="s">
        <v>39</v>
      </c>
      <c r="L1" s="7" t="s">
        <v>40</v>
      </c>
      <c r="M1" s="7" t="s">
        <v>41</v>
      </c>
      <c r="N1" s="7" t="s">
        <v>42</v>
      </c>
      <c r="O1" s="7" t="s">
        <v>43</v>
      </c>
      <c r="P1" s="7" t="s">
        <v>44</v>
      </c>
      <c r="Q1" s="7" t="s">
        <v>45</v>
      </c>
      <c r="R1" s="7" t="s">
        <v>46</v>
      </c>
      <c r="S1" s="7" t="s">
        <v>47</v>
      </c>
      <c r="T1" s="7" t="s">
        <v>48</v>
      </c>
      <c r="U1" s="7" t="s">
        <v>49</v>
      </c>
      <c r="V1" s="7" t="s">
        <v>50</v>
      </c>
    </row>
    <row r="2" customFormat="false" ht="15" hidden="false" customHeight="true" outlineLevel="0" collapsed="false">
      <c r="A2" s="3" t="n">
        <v>1</v>
      </c>
      <c r="B2" s="3" t="n">
        <v>1</v>
      </c>
      <c r="C2" s="3" t="s">
        <v>51</v>
      </c>
      <c r="D2" s="3" t="s">
        <v>52</v>
      </c>
      <c r="E2" s="3" t="s">
        <v>53</v>
      </c>
      <c r="F2" s="3" t="s">
        <v>54</v>
      </c>
      <c r="G2" s="3" t="s">
        <v>55</v>
      </c>
      <c r="H2" s="3" t="n">
        <v>3</v>
      </c>
      <c r="I2" s="3" t="n">
        <v>186</v>
      </c>
      <c r="J2" s="3" t="s">
        <v>56</v>
      </c>
      <c r="K2" s="8" t="n">
        <v>1883700</v>
      </c>
      <c r="L2" s="8" t="n">
        <v>6000</v>
      </c>
      <c r="M2" s="8" t="n">
        <v>141727.5</v>
      </c>
      <c r="N2" s="8" t="n">
        <v>2031427.5</v>
      </c>
      <c r="O2" s="3" t="s">
        <v>57</v>
      </c>
      <c r="P2" s="3" t="s">
        <v>58</v>
      </c>
      <c r="Q2" s="3" t="s">
        <v>59</v>
      </c>
      <c r="R2" s="3" t="str">
        <f aca="false">IF(Q2="pass","No","Yes")</f>
        <v>Yes</v>
      </c>
      <c r="S2" s="3" t="s">
        <v>60</v>
      </c>
      <c r="T2" s="3" t="s">
        <v>61</v>
      </c>
      <c r="U2" s="3" t="s">
        <v>62</v>
      </c>
      <c r="V2" s="9" t="n">
        <v>10.655</v>
      </c>
    </row>
    <row r="3" customFormat="false" ht="15" hidden="false" customHeight="true" outlineLevel="0" collapsed="false">
      <c r="A3" s="3" t="n">
        <v>2</v>
      </c>
      <c r="B3" s="3" t="n">
        <v>1</v>
      </c>
      <c r="C3" s="3" t="s">
        <v>63</v>
      </c>
      <c r="D3" s="3" t="s">
        <v>64</v>
      </c>
      <c r="E3" s="3" t="s">
        <v>65</v>
      </c>
      <c r="F3" s="3" t="s">
        <v>66</v>
      </c>
      <c r="G3" s="3" t="s">
        <v>67</v>
      </c>
      <c r="H3" s="3" t="n">
        <v>1</v>
      </c>
      <c r="I3" s="3" t="n">
        <v>47</v>
      </c>
      <c r="J3" s="3" t="s">
        <v>68</v>
      </c>
      <c r="K3" s="8" t="n">
        <v>681500</v>
      </c>
      <c r="L3" s="8" t="n">
        <v>4500</v>
      </c>
      <c r="M3" s="8" t="n">
        <v>51450</v>
      </c>
      <c r="N3" s="8" t="n">
        <v>737450</v>
      </c>
      <c r="O3" s="3" t="s">
        <v>57</v>
      </c>
      <c r="P3" s="3" t="s">
        <v>58</v>
      </c>
      <c r="Q3" s="3" t="s">
        <v>69</v>
      </c>
      <c r="R3" s="3" t="str">
        <f aca="false">IF(Q3="pass","No","Yes")</f>
        <v>No</v>
      </c>
      <c r="S3" s="3" t="s">
        <v>60</v>
      </c>
      <c r="T3" s="3"/>
      <c r="U3" s="3"/>
      <c r="V3" s="9" t="n">
        <v>4.81</v>
      </c>
    </row>
    <row r="4" customFormat="false" ht="15" hidden="false" customHeight="true" outlineLevel="0" collapsed="false">
      <c r="A4" s="3" t="n">
        <v>3</v>
      </c>
      <c r="B4" s="3" t="n">
        <v>1</v>
      </c>
      <c r="C4" s="3" t="s">
        <v>70</v>
      </c>
      <c r="D4" s="3" t="s">
        <v>71</v>
      </c>
      <c r="E4" s="3" t="s">
        <v>72</v>
      </c>
      <c r="F4" s="3" t="s">
        <v>73</v>
      </c>
      <c r="G4" s="3" t="s">
        <v>74</v>
      </c>
      <c r="H4" s="3" t="n">
        <v>1</v>
      </c>
      <c r="I4" s="3" t="n">
        <v>18</v>
      </c>
      <c r="J4" s="3" t="s">
        <v>75</v>
      </c>
      <c r="K4" s="8" t="n">
        <v>684000</v>
      </c>
      <c r="L4" s="8" t="n">
        <v>9000</v>
      </c>
      <c r="M4" s="8" t="n">
        <v>51975</v>
      </c>
      <c r="N4" s="8" t="n">
        <v>744975</v>
      </c>
      <c r="O4" s="3" t="s">
        <v>76</v>
      </c>
      <c r="P4" s="3" t="s">
        <v>58</v>
      </c>
      <c r="Q4" s="3" t="s">
        <v>69</v>
      </c>
      <c r="R4" s="3" t="str">
        <f aca="false">IF(Q4="pass","No","Yes")</f>
        <v>No</v>
      </c>
      <c r="S4" s="3" t="s">
        <v>60</v>
      </c>
      <c r="T4" s="3"/>
      <c r="U4" s="3"/>
      <c r="V4" s="9" t="n">
        <v>4.606</v>
      </c>
    </row>
    <row r="5" customFormat="false" ht="15" hidden="false" customHeight="true" outlineLevel="0" collapsed="false">
      <c r="A5" s="3" t="n">
        <v>4</v>
      </c>
      <c r="B5" s="3" t="n">
        <v>1</v>
      </c>
      <c r="C5" s="3" t="s">
        <v>77</v>
      </c>
      <c r="D5" s="3" t="s">
        <v>78</v>
      </c>
      <c r="E5" s="3" t="s">
        <v>79</v>
      </c>
      <c r="F5" s="3" t="s">
        <v>80</v>
      </c>
      <c r="G5" s="3" t="s">
        <v>81</v>
      </c>
      <c r="H5" s="3" t="n">
        <v>3</v>
      </c>
      <c r="I5" s="3" t="n">
        <v>25</v>
      </c>
      <c r="J5" s="3" t="s">
        <v>82</v>
      </c>
      <c r="K5" s="8" t="n">
        <v>527700</v>
      </c>
      <c r="L5" s="8" t="n">
        <v>4000</v>
      </c>
      <c r="M5" s="8" t="n">
        <v>39877.5</v>
      </c>
      <c r="N5" s="8" t="n">
        <v>571577.5</v>
      </c>
      <c r="O5" s="3" t="s">
        <v>83</v>
      </c>
      <c r="P5" s="3" t="s">
        <v>84</v>
      </c>
      <c r="Q5" s="3" t="s">
        <v>85</v>
      </c>
      <c r="R5" s="3" t="str">
        <f aca="false">IF(Q5="pass","No","Yes")</f>
        <v>Yes</v>
      </c>
      <c r="S5" s="3" t="s">
        <v>86</v>
      </c>
      <c r="T5" s="3" t="s">
        <v>87</v>
      </c>
      <c r="U5" s="3" t="s">
        <v>88</v>
      </c>
      <c r="V5" s="9" t="n">
        <v>16.006</v>
      </c>
    </row>
    <row r="6" customFormat="false" ht="15" hidden="false" customHeight="true" outlineLevel="0" collapsed="false">
      <c r="A6" s="3" t="n">
        <v>5</v>
      </c>
      <c r="B6" s="3" t="n">
        <v>1</v>
      </c>
      <c r="C6" s="3" t="s">
        <v>89</v>
      </c>
      <c r="D6" s="3" t="s">
        <v>90</v>
      </c>
      <c r="E6" s="3" t="s">
        <v>91</v>
      </c>
      <c r="F6" s="3" t="s">
        <v>92</v>
      </c>
      <c r="G6" s="3" t="s">
        <v>67</v>
      </c>
      <c r="H6" s="3" t="n">
        <v>3</v>
      </c>
      <c r="I6" s="3" t="n">
        <v>117</v>
      </c>
      <c r="J6" s="3" t="s">
        <v>93</v>
      </c>
      <c r="K6" s="8" t="n">
        <v>1738500</v>
      </c>
      <c r="L6" s="8" t="n">
        <v>4500</v>
      </c>
      <c r="M6" s="8" t="n">
        <v>130725</v>
      </c>
      <c r="N6" s="8" t="n">
        <v>1873725</v>
      </c>
      <c r="O6" s="3" t="s">
        <v>94</v>
      </c>
      <c r="P6" s="3" t="s">
        <v>84</v>
      </c>
      <c r="Q6" s="3" t="s">
        <v>85</v>
      </c>
      <c r="R6" s="3" t="str">
        <f aca="false">IF(Q6="pass","No","Yes")</f>
        <v>Yes</v>
      </c>
      <c r="S6" s="3" t="s">
        <v>86</v>
      </c>
      <c r="T6" s="3" t="s">
        <v>95</v>
      </c>
      <c r="U6" s="3" t="s">
        <v>96</v>
      </c>
      <c r="V6" s="9" t="n">
        <v>6.648</v>
      </c>
    </row>
    <row r="7" customFormat="false" ht="15" hidden="false" customHeight="true" outlineLevel="0" collapsed="false">
      <c r="A7" s="3" t="n">
        <v>6</v>
      </c>
      <c r="B7" s="3" t="n">
        <v>1</v>
      </c>
      <c r="C7" s="3" t="s">
        <v>63</v>
      </c>
      <c r="D7" s="3" t="s">
        <v>64</v>
      </c>
      <c r="E7" s="3" t="s">
        <v>65</v>
      </c>
      <c r="F7" s="3" t="s">
        <v>66</v>
      </c>
      <c r="G7" s="3" t="s">
        <v>67</v>
      </c>
      <c r="H7" s="3" t="n">
        <v>1</v>
      </c>
      <c r="I7" s="3" t="n">
        <v>47</v>
      </c>
      <c r="J7" s="3" t="s">
        <v>68</v>
      </c>
      <c r="K7" s="8" t="n">
        <v>681500</v>
      </c>
      <c r="L7" s="8" t="n">
        <v>4500</v>
      </c>
      <c r="M7" s="8" t="n">
        <v>51450</v>
      </c>
      <c r="N7" s="8" t="n">
        <v>737450</v>
      </c>
      <c r="O7" s="3" t="s">
        <v>97</v>
      </c>
      <c r="P7" s="3" t="s">
        <v>84</v>
      </c>
      <c r="Q7" s="3" t="s">
        <v>59</v>
      </c>
      <c r="R7" s="3" t="str">
        <f aca="false">IF(Q7="pass","No","Yes")</f>
        <v>Yes</v>
      </c>
      <c r="S7" s="3" t="s">
        <v>98</v>
      </c>
      <c r="T7" s="3" t="s">
        <v>97</v>
      </c>
      <c r="U7" s="3" t="s">
        <v>99</v>
      </c>
      <c r="V7" s="9" t="n">
        <v>2.536</v>
      </c>
    </row>
    <row r="8" customFormat="false" ht="15" hidden="false" customHeight="true" outlineLevel="0" collapsed="false">
      <c r="A8" s="3" t="n">
        <v>7</v>
      </c>
      <c r="B8" s="3" t="n">
        <v>1</v>
      </c>
      <c r="C8" s="3" t="s">
        <v>100</v>
      </c>
      <c r="D8" s="3" t="s">
        <v>101</v>
      </c>
      <c r="E8" s="3" t="s">
        <v>102</v>
      </c>
      <c r="F8" s="3" t="s">
        <v>103</v>
      </c>
      <c r="G8" s="3" t="s">
        <v>67</v>
      </c>
      <c r="H8" s="3" t="n">
        <v>1</v>
      </c>
      <c r="I8" s="3" t="n">
        <v>9</v>
      </c>
      <c r="J8" s="3" t="s">
        <v>104</v>
      </c>
      <c r="K8" s="8" t="n">
        <v>342000</v>
      </c>
      <c r="L8" s="8" t="n">
        <v>4500</v>
      </c>
      <c r="M8" s="8" t="n">
        <v>25987.5</v>
      </c>
      <c r="N8" s="8" t="n">
        <v>372487.5</v>
      </c>
      <c r="O8" s="3" t="s">
        <v>76</v>
      </c>
      <c r="P8" s="3" t="s">
        <v>58</v>
      </c>
      <c r="Q8" s="3" t="s">
        <v>69</v>
      </c>
      <c r="R8" s="3" t="str">
        <f aca="false">IF(Q8="pass","No","Yes")</f>
        <v>No</v>
      </c>
      <c r="S8" s="3" t="s">
        <v>60</v>
      </c>
      <c r="T8" s="3"/>
      <c r="U8" s="3"/>
      <c r="V8" s="9" t="n">
        <v>4.713</v>
      </c>
    </row>
    <row r="9" customFormat="false" ht="15" hidden="false" customHeight="true" outlineLevel="0" collapsed="false">
      <c r="A9" s="3" t="n">
        <v>8</v>
      </c>
      <c r="B9" s="3" t="n">
        <v>1</v>
      </c>
      <c r="C9" s="3" t="s">
        <v>105</v>
      </c>
      <c r="D9" s="3" t="s">
        <v>106</v>
      </c>
      <c r="E9" s="3" t="s">
        <v>107</v>
      </c>
      <c r="F9" s="3" t="s">
        <v>108</v>
      </c>
      <c r="G9" s="3" t="s">
        <v>81</v>
      </c>
      <c r="H9" s="3" t="n">
        <v>1</v>
      </c>
      <c r="I9" s="3" t="n">
        <v>203</v>
      </c>
      <c r="J9" s="3" t="s">
        <v>109</v>
      </c>
      <c r="K9" s="8" t="n">
        <v>1928500</v>
      </c>
      <c r="L9" s="8" t="n">
        <v>4000</v>
      </c>
      <c r="M9" s="8" t="n">
        <v>144937.5</v>
      </c>
      <c r="N9" s="8" t="n">
        <v>2077437.5</v>
      </c>
      <c r="O9" s="3" t="s">
        <v>110</v>
      </c>
      <c r="P9" s="3" t="s">
        <v>58</v>
      </c>
      <c r="Q9" s="3" t="s">
        <v>59</v>
      </c>
      <c r="R9" s="3" t="str">
        <f aca="false">IF(Q9="pass","No","Yes")</f>
        <v>Yes</v>
      </c>
      <c r="S9" s="3" t="s">
        <v>60</v>
      </c>
      <c r="T9" s="3" t="s">
        <v>61</v>
      </c>
      <c r="U9" s="3" t="s">
        <v>111</v>
      </c>
      <c r="V9" s="9" t="n">
        <v>6.232</v>
      </c>
    </row>
    <row r="10" customFormat="false" ht="15" hidden="false" customHeight="true" outlineLevel="0" collapsed="false">
      <c r="A10" s="3" t="n">
        <v>9</v>
      </c>
      <c r="B10" s="3" t="n">
        <v>1</v>
      </c>
      <c r="C10" s="3" t="s">
        <v>112</v>
      </c>
      <c r="D10" s="3" t="s">
        <v>113</v>
      </c>
      <c r="E10" s="3" t="s">
        <v>114</v>
      </c>
      <c r="F10" s="3" t="s">
        <v>115</v>
      </c>
      <c r="G10" s="3" t="s">
        <v>116</v>
      </c>
      <c r="H10" s="3" t="n">
        <v>3</v>
      </c>
      <c r="I10" s="3" t="n">
        <v>47</v>
      </c>
      <c r="J10" s="3" t="s">
        <v>117</v>
      </c>
      <c r="K10" s="8" t="n">
        <v>1045000</v>
      </c>
      <c r="L10" s="8" t="n">
        <v>15000</v>
      </c>
      <c r="M10" s="8" t="n">
        <v>79500</v>
      </c>
      <c r="N10" s="8" t="n">
        <v>1139500</v>
      </c>
      <c r="O10" s="3" t="s">
        <v>118</v>
      </c>
      <c r="P10" s="3" t="s">
        <v>58</v>
      </c>
      <c r="Q10" s="3" t="s">
        <v>69</v>
      </c>
      <c r="R10" s="3" t="str">
        <f aca="false">IF(Q10="pass","No","Yes")</f>
        <v>No</v>
      </c>
      <c r="S10" s="3" t="s">
        <v>60</v>
      </c>
      <c r="T10" s="3"/>
      <c r="U10" s="3"/>
      <c r="V10" s="9" t="n">
        <v>6.485</v>
      </c>
    </row>
    <row r="11" customFormat="false" ht="15" hidden="false" customHeight="true" outlineLevel="0" collapsed="false">
      <c r="A11" s="3" t="n">
        <v>10</v>
      </c>
      <c r="B11" s="3" t="n">
        <v>1</v>
      </c>
      <c r="C11" s="3" t="s">
        <v>119</v>
      </c>
      <c r="D11" s="3" t="s">
        <v>120</v>
      </c>
      <c r="E11" s="3" t="s">
        <v>121</v>
      </c>
      <c r="F11" s="3" t="s">
        <v>122</v>
      </c>
      <c r="G11" s="3" t="s">
        <v>123</v>
      </c>
      <c r="H11" s="3" t="n">
        <v>1</v>
      </c>
      <c r="I11" s="3" t="n">
        <v>119</v>
      </c>
      <c r="J11" s="3" t="s">
        <v>124</v>
      </c>
      <c r="K11" s="8" t="n">
        <v>1130500</v>
      </c>
      <c r="L11" s="8" t="n">
        <v>5000</v>
      </c>
      <c r="M11" s="8" t="n">
        <v>85162.5</v>
      </c>
      <c r="N11" s="8" t="n">
        <v>1220662.5</v>
      </c>
      <c r="O11" s="3" t="s">
        <v>57</v>
      </c>
      <c r="P11" s="3" t="s">
        <v>58</v>
      </c>
      <c r="Q11" s="3" t="s">
        <v>59</v>
      </c>
      <c r="R11" s="3" t="str">
        <f aca="false">IF(Q11="pass","No","Yes")</f>
        <v>Yes</v>
      </c>
      <c r="S11" s="3" t="s">
        <v>60</v>
      </c>
      <c r="T11" s="3" t="s">
        <v>61</v>
      </c>
      <c r="U11" s="3" t="s">
        <v>125</v>
      </c>
      <c r="V11" s="9" t="n">
        <v>6.738</v>
      </c>
    </row>
    <row r="12" customFormat="false" ht="15" hidden="false" customHeight="true" outlineLevel="0" collapsed="false">
      <c r="A12" s="3" t="n">
        <v>11</v>
      </c>
      <c r="B12" s="3" t="n">
        <v>1</v>
      </c>
      <c r="C12" s="3" t="s">
        <v>119</v>
      </c>
      <c r="D12" s="3" t="s">
        <v>120</v>
      </c>
      <c r="E12" s="3" t="s">
        <v>121</v>
      </c>
      <c r="F12" s="3" t="s">
        <v>122</v>
      </c>
      <c r="G12" s="3" t="s">
        <v>123</v>
      </c>
      <c r="H12" s="3" t="n">
        <v>2</v>
      </c>
      <c r="I12" s="3" t="n">
        <v>100</v>
      </c>
      <c r="J12" s="3" t="s">
        <v>126</v>
      </c>
      <c r="K12" s="8" t="n">
        <v>1201000</v>
      </c>
      <c r="L12" s="8" t="n">
        <v>5000</v>
      </c>
      <c r="M12" s="8" t="n">
        <v>90450</v>
      </c>
      <c r="N12" s="8" t="n">
        <v>1296450</v>
      </c>
      <c r="O12" s="3" t="s">
        <v>57</v>
      </c>
      <c r="P12" s="3" t="s">
        <v>58</v>
      </c>
      <c r="Q12" s="3" t="s">
        <v>69</v>
      </c>
      <c r="R12" s="3" t="str">
        <f aca="false">IF(Q12="pass","No","Yes")</f>
        <v>No</v>
      </c>
      <c r="S12" s="3" t="s">
        <v>60</v>
      </c>
      <c r="T12" s="3"/>
      <c r="U12" s="3"/>
      <c r="V12" s="9" t="n">
        <v>2.948</v>
      </c>
    </row>
    <row r="13" customFormat="false" ht="15" hidden="false" customHeight="true" outlineLevel="0" collapsed="false">
      <c r="A13" s="3" t="n">
        <v>12</v>
      </c>
      <c r="B13" s="3" t="n">
        <v>1</v>
      </c>
      <c r="C13" s="3" t="s">
        <v>127</v>
      </c>
      <c r="D13" s="3" t="s">
        <v>128</v>
      </c>
      <c r="E13" s="3" t="s">
        <v>129</v>
      </c>
      <c r="F13" s="3" t="s">
        <v>130</v>
      </c>
      <c r="G13" s="3" t="s">
        <v>55</v>
      </c>
      <c r="H13" s="3" t="n">
        <v>4</v>
      </c>
      <c r="I13" s="3" t="n">
        <v>71</v>
      </c>
      <c r="J13" s="3" t="s">
        <v>131</v>
      </c>
      <c r="K13" s="8" t="n">
        <v>1255500</v>
      </c>
      <c r="L13" s="8" t="n">
        <v>6000</v>
      </c>
      <c r="M13" s="8" t="n">
        <v>94612.5</v>
      </c>
      <c r="N13" s="8" t="n">
        <v>1356112.5</v>
      </c>
      <c r="O13" s="3" t="s">
        <v>132</v>
      </c>
      <c r="P13" s="3" t="s">
        <v>84</v>
      </c>
      <c r="Q13" s="3" t="s">
        <v>85</v>
      </c>
      <c r="R13" s="3" t="str">
        <f aca="false">IF(Q13="pass","No","Yes")</f>
        <v>Yes</v>
      </c>
      <c r="S13" s="3" t="s">
        <v>86</v>
      </c>
      <c r="T13" s="3" t="s">
        <v>133</v>
      </c>
      <c r="U13" s="3" t="s">
        <v>134</v>
      </c>
      <c r="V13" s="9" t="n">
        <v>6.525</v>
      </c>
    </row>
    <row r="14" customFormat="false" ht="15" hidden="false" customHeight="true" outlineLevel="0" collapsed="false">
      <c r="A14" s="3" t="n">
        <v>13</v>
      </c>
      <c r="B14" s="3" t="n">
        <v>1</v>
      </c>
      <c r="C14" s="3" t="s">
        <v>119</v>
      </c>
      <c r="D14" s="3" t="s">
        <v>120</v>
      </c>
      <c r="E14" s="3" t="s">
        <v>121</v>
      </c>
      <c r="F14" s="3" t="s">
        <v>122</v>
      </c>
      <c r="G14" s="3" t="s">
        <v>123</v>
      </c>
      <c r="H14" s="3" t="n">
        <v>2</v>
      </c>
      <c r="I14" s="3" t="n">
        <v>100</v>
      </c>
      <c r="J14" s="3" t="s">
        <v>126</v>
      </c>
      <c r="K14" s="8" t="n">
        <v>1201000</v>
      </c>
      <c r="L14" s="8" t="n">
        <v>5000</v>
      </c>
      <c r="M14" s="8" t="n">
        <v>90450</v>
      </c>
      <c r="N14" s="8" t="n">
        <v>1296450</v>
      </c>
      <c r="O14" s="3" t="s">
        <v>97</v>
      </c>
      <c r="P14" s="3" t="s">
        <v>84</v>
      </c>
      <c r="Q14" s="3" t="s">
        <v>59</v>
      </c>
      <c r="R14" s="3" t="str">
        <f aca="false">IF(Q14="pass","No","Yes")</f>
        <v>Yes</v>
      </c>
      <c r="S14" s="3" t="s">
        <v>98</v>
      </c>
      <c r="T14" s="3" t="s">
        <v>97</v>
      </c>
      <c r="U14" s="3" t="s">
        <v>135</v>
      </c>
      <c r="V14" s="9" t="n">
        <v>1.765</v>
      </c>
    </row>
    <row r="15" customFormat="false" ht="15" hidden="false" customHeight="true" outlineLevel="0" collapsed="false">
      <c r="A15" s="3" t="n">
        <v>14</v>
      </c>
      <c r="B15" s="3" t="n">
        <v>1</v>
      </c>
      <c r="C15" s="3" t="s">
        <v>105</v>
      </c>
      <c r="D15" s="3" t="s">
        <v>106</v>
      </c>
      <c r="E15" s="3" t="s">
        <v>107</v>
      </c>
      <c r="F15" s="3" t="s">
        <v>108</v>
      </c>
      <c r="G15" s="3" t="s">
        <v>81</v>
      </c>
      <c r="H15" s="3" t="n">
        <v>3</v>
      </c>
      <c r="I15" s="3" t="n">
        <v>28</v>
      </c>
      <c r="J15" s="3" t="s">
        <v>136</v>
      </c>
      <c r="K15" s="8" t="n">
        <v>407500</v>
      </c>
      <c r="L15" s="8" t="n">
        <v>4000</v>
      </c>
      <c r="M15" s="8" t="n">
        <v>30862.5</v>
      </c>
      <c r="N15" s="8" t="n">
        <v>442362.5</v>
      </c>
      <c r="O15" s="3" t="s">
        <v>57</v>
      </c>
      <c r="P15" s="3" t="s">
        <v>58</v>
      </c>
      <c r="Q15" s="3" t="s">
        <v>69</v>
      </c>
      <c r="R15" s="3" t="str">
        <f aca="false">IF(Q15="pass","No","Yes")</f>
        <v>No</v>
      </c>
      <c r="S15" s="3" t="s">
        <v>60</v>
      </c>
      <c r="T15" s="3"/>
      <c r="U15" s="3"/>
      <c r="V15" s="9" t="n">
        <v>3.562</v>
      </c>
    </row>
    <row r="16" customFormat="false" ht="15" hidden="false" customHeight="true" outlineLevel="0" collapsed="false">
      <c r="A16" s="3" t="n">
        <v>15</v>
      </c>
      <c r="B16" s="3" t="n">
        <v>1</v>
      </c>
      <c r="C16" s="3" t="s">
        <v>137</v>
      </c>
      <c r="D16" s="3" t="s">
        <v>138</v>
      </c>
      <c r="E16" s="3" t="s">
        <v>139</v>
      </c>
      <c r="F16" s="3" t="s">
        <v>140</v>
      </c>
      <c r="G16" s="3" t="s">
        <v>55</v>
      </c>
      <c r="H16" s="3" t="n">
        <v>4</v>
      </c>
      <c r="I16" s="3" t="n">
        <v>45</v>
      </c>
      <c r="J16" s="3" t="s">
        <v>141</v>
      </c>
      <c r="K16" s="8" t="n">
        <v>1347000</v>
      </c>
      <c r="L16" s="8" t="n">
        <v>6000</v>
      </c>
      <c r="M16" s="8" t="n">
        <v>101475</v>
      </c>
      <c r="N16" s="8" t="n">
        <v>1454475</v>
      </c>
      <c r="O16" s="3" t="s">
        <v>132</v>
      </c>
      <c r="P16" s="3" t="s">
        <v>84</v>
      </c>
      <c r="Q16" s="3" t="s">
        <v>85</v>
      </c>
      <c r="R16" s="3" t="str">
        <f aca="false">IF(Q16="pass","No","Yes")</f>
        <v>Yes</v>
      </c>
      <c r="S16" s="3" t="s">
        <v>86</v>
      </c>
      <c r="T16" s="3" t="s">
        <v>133</v>
      </c>
      <c r="U16" s="3" t="s">
        <v>134</v>
      </c>
      <c r="V16" s="9" t="n">
        <v>3.303</v>
      </c>
    </row>
    <row r="17" customFormat="false" ht="15" hidden="false" customHeight="true" outlineLevel="0" collapsed="false">
      <c r="A17" s="3" t="n">
        <v>16</v>
      </c>
      <c r="B17" s="3" t="n">
        <v>1</v>
      </c>
      <c r="C17" s="3" t="s">
        <v>142</v>
      </c>
      <c r="D17" s="3" t="s">
        <v>143</v>
      </c>
      <c r="E17" s="3" t="s">
        <v>144</v>
      </c>
      <c r="F17" s="3" t="s">
        <v>145</v>
      </c>
      <c r="G17" s="3" t="s">
        <v>146</v>
      </c>
      <c r="H17" s="3" t="n">
        <v>2</v>
      </c>
      <c r="I17" s="3" t="n">
        <v>24</v>
      </c>
      <c r="J17" s="3" t="s">
        <v>147</v>
      </c>
      <c r="K17" s="8" t="n">
        <v>996000</v>
      </c>
      <c r="L17" s="8" t="n">
        <v>0</v>
      </c>
      <c r="M17" s="8" t="n">
        <v>74700</v>
      </c>
      <c r="N17" s="8" t="n">
        <v>1070700</v>
      </c>
      <c r="O17" s="3" t="s">
        <v>148</v>
      </c>
      <c r="P17" s="3" t="s">
        <v>84</v>
      </c>
      <c r="Q17" s="3" t="s">
        <v>85</v>
      </c>
      <c r="R17" s="3" t="str">
        <f aca="false">IF(Q17="pass","No","Yes")</f>
        <v>Yes</v>
      </c>
      <c r="S17" s="3" t="s">
        <v>86</v>
      </c>
      <c r="T17" s="3" t="s">
        <v>149</v>
      </c>
      <c r="U17" s="3" t="s">
        <v>150</v>
      </c>
      <c r="V17" s="9" t="n">
        <v>2.709</v>
      </c>
    </row>
    <row r="18" customFormat="false" ht="15" hidden="false" customHeight="true" outlineLevel="0" collapsed="false">
      <c r="A18" s="3" t="n">
        <v>17</v>
      </c>
      <c r="B18" s="3" t="n">
        <v>1</v>
      </c>
      <c r="C18" s="3" t="s">
        <v>63</v>
      </c>
      <c r="D18" s="3" t="s">
        <v>64</v>
      </c>
      <c r="E18" s="3" t="s">
        <v>65</v>
      </c>
      <c r="F18" s="3" t="s">
        <v>66</v>
      </c>
      <c r="G18" s="3" t="s">
        <v>67</v>
      </c>
      <c r="H18" s="3" t="n">
        <v>3</v>
      </c>
      <c r="I18" s="3" t="n">
        <v>76</v>
      </c>
      <c r="J18" s="3" t="s">
        <v>151</v>
      </c>
      <c r="K18" s="8" t="n">
        <v>1128600</v>
      </c>
      <c r="L18" s="8" t="n">
        <v>4500</v>
      </c>
      <c r="M18" s="8" t="n">
        <v>84982.5</v>
      </c>
      <c r="N18" s="8" t="n">
        <v>1218082.5</v>
      </c>
      <c r="O18" s="3" t="s">
        <v>152</v>
      </c>
      <c r="P18" s="3" t="s">
        <v>84</v>
      </c>
      <c r="Q18" s="3" t="s">
        <v>85</v>
      </c>
      <c r="R18" s="3" t="str">
        <f aca="false">IF(Q18="pass","No","Yes")</f>
        <v>Yes</v>
      </c>
      <c r="S18" s="3" t="s">
        <v>86</v>
      </c>
      <c r="T18" s="3" t="s">
        <v>87</v>
      </c>
      <c r="U18" s="3" t="s">
        <v>153</v>
      </c>
      <c r="V18" s="9" t="n">
        <v>3.164</v>
      </c>
    </row>
    <row r="19" customFormat="false" ht="15" hidden="false" customHeight="true" outlineLevel="0" collapsed="false">
      <c r="A19" s="3" t="n">
        <v>18</v>
      </c>
      <c r="B19" s="3" t="n">
        <v>1</v>
      </c>
      <c r="C19" s="3" t="s">
        <v>154</v>
      </c>
      <c r="D19" s="3" t="s">
        <v>155</v>
      </c>
      <c r="E19" s="3" t="s">
        <v>156</v>
      </c>
      <c r="F19" s="3" t="s">
        <v>157</v>
      </c>
      <c r="G19" s="3" t="s">
        <v>123</v>
      </c>
      <c r="H19" s="3" t="n">
        <v>2</v>
      </c>
      <c r="I19" s="3" t="n">
        <v>873</v>
      </c>
      <c r="J19" s="3" t="s">
        <v>158</v>
      </c>
      <c r="K19" s="8" t="n">
        <v>12345800</v>
      </c>
      <c r="L19" s="8" t="n">
        <v>5000</v>
      </c>
      <c r="M19" s="8" t="n">
        <v>926310</v>
      </c>
      <c r="N19" s="8" t="n">
        <v>13277110</v>
      </c>
      <c r="O19" s="3" t="s">
        <v>159</v>
      </c>
      <c r="P19" s="3" t="s">
        <v>84</v>
      </c>
      <c r="Q19" s="3" t="s">
        <v>85</v>
      </c>
      <c r="R19" s="3" t="str">
        <f aca="false">IF(Q19="pass","No","Yes")</f>
        <v>Yes</v>
      </c>
      <c r="S19" s="3" t="s">
        <v>86</v>
      </c>
      <c r="T19" s="3" t="s">
        <v>160</v>
      </c>
      <c r="U19" s="3" t="s">
        <v>161</v>
      </c>
      <c r="V19" s="9" t="n">
        <v>3.028</v>
      </c>
    </row>
    <row r="20" customFormat="false" ht="15" hidden="false" customHeight="true" outlineLevel="0" collapsed="false">
      <c r="A20" s="3" t="n">
        <v>19</v>
      </c>
      <c r="B20" s="3" t="n">
        <v>1</v>
      </c>
      <c r="C20" s="3" t="s">
        <v>70</v>
      </c>
      <c r="D20" s="3" t="s">
        <v>71</v>
      </c>
      <c r="E20" s="3" t="s">
        <v>72</v>
      </c>
      <c r="F20" s="3" t="s">
        <v>73</v>
      </c>
      <c r="G20" s="3" t="s">
        <v>74</v>
      </c>
      <c r="H20" s="3" t="n">
        <v>1</v>
      </c>
      <c r="I20" s="3" t="n">
        <v>3</v>
      </c>
      <c r="J20" s="3" t="s">
        <v>162</v>
      </c>
      <c r="K20" s="8" t="n">
        <v>114000</v>
      </c>
      <c r="L20" s="8" t="n">
        <v>9000</v>
      </c>
      <c r="M20" s="8" t="n">
        <v>9225</v>
      </c>
      <c r="N20" s="8" t="n">
        <v>132225</v>
      </c>
      <c r="O20" s="3" t="s">
        <v>57</v>
      </c>
      <c r="P20" s="3" t="s">
        <v>58</v>
      </c>
      <c r="Q20" s="3" t="s">
        <v>69</v>
      </c>
      <c r="R20" s="3" t="str">
        <f aca="false">IF(Q20="pass","No","Yes")</f>
        <v>No</v>
      </c>
      <c r="S20" s="3" t="s">
        <v>60</v>
      </c>
      <c r="T20" s="3"/>
      <c r="U20" s="3"/>
      <c r="V20" s="9" t="n">
        <v>3.085</v>
      </c>
    </row>
    <row r="21" customFormat="false" ht="15" hidden="false" customHeight="true" outlineLevel="0" collapsed="false">
      <c r="A21" s="3" t="n">
        <v>20</v>
      </c>
      <c r="B21" s="3" t="n">
        <v>1</v>
      </c>
      <c r="C21" s="3" t="s">
        <v>89</v>
      </c>
      <c r="D21" s="3" t="s">
        <v>90</v>
      </c>
      <c r="E21" s="3" t="s">
        <v>91</v>
      </c>
      <c r="F21" s="3" t="s">
        <v>92</v>
      </c>
      <c r="G21" s="3" t="s">
        <v>67</v>
      </c>
      <c r="H21" s="3" t="n">
        <v>1</v>
      </c>
      <c r="I21" s="3" t="n">
        <v>33</v>
      </c>
      <c r="J21" s="3" t="s">
        <v>163</v>
      </c>
      <c r="K21" s="8" t="n">
        <v>389400</v>
      </c>
      <c r="L21" s="8" t="n">
        <v>4500</v>
      </c>
      <c r="M21" s="8" t="n">
        <v>29542.5</v>
      </c>
      <c r="N21" s="8" t="n">
        <v>423442.5</v>
      </c>
      <c r="O21" s="3" t="s">
        <v>57</v>
      </c>
      <c r="P21" s="3" t="s">
        <v>58</v>
      </c>
      <c r="Q21" s="3" t="s">
        <v>69</v>
      </c>
      <c r="R21" s="3" t="str">
        <f aca="false">IF(Q21="pass","No","Yes")</f>
        <v>No</v>
      </c>
      <c r="S21" s="3" t="s">
        <v>60</v>
      </c>
      <c r="T21" s="3"/>
      <c r="U21" s="3"/>
      <c r="V21" s="9" t="n">
        <v>3.016</v>
      </c>
    </row>
    <row r="22" customFormat="false" ht="15" hidden="false" customHeight="true" outlineLevel="0" collapsed="false">
      <c r="A22" s="3" t="n">
        <v>21</v>
      </c>
      <c r="B22" s="3" t="n">
        <v>1</v>
      </c>
      <c r="C22" s="3" t="s">
        <v>127</v>
      </c>
      <c r="D22" s="3" t="s">
        <v>128</v>
      </c>
      <c r="E22" s="3" t="s">
        <v>129</v>
      </c>
      <c r="F22" s="3" t="s">
        <v>130</v>
      </c>
      <c r="G22" s="3" t="s">
        <v>55</v>
      </c>
      <c r="H22" s="3" t="n">
        <v>2</v>
      </c>
      <c r="I22" s="3" t="n">
        <v>125</v>
      </c>
      <c r="J22" s="3" t="s">
        <v>164</v>
      </c>
      <c r="K22" s="8" t="n">
        <v>1038000</v>
      </c>
      <c r="L22" s="8" t="n">
        <v>6000</v>
      </c>
      <c r="M22" s="8" t="n">
        <v>78300</v>
      </c>
      <c r="N22" s="8" t="n">
        <v>1122300</v>
      </c>
      <c r="O22" s="3" t="s">
        <v>118</v>
      </c>
      <c r="P22" s="3" t="s">
        <v>58</v>
      </c>
      <c r="Q22" s="3" t="s">
        <v>59</v>
      </c>
      <c r="R22" s="3" t="str">
        <f aca="false">IF(Q22="pass","No","Yes")</f>
        <v>Yes</v>
      </c>
      <c r="S22" s="3" t="s">
        <v>60</v>
      </c>
      <c r="T22" s="3" t="s">
        <v>61</v>
      </c>
      <c r="U22" s="3" t="s">
        <v>165</v>
      </c>
      <c r="V22" s="9" t="n">
        <v>10.714</v>
      </c>
    </row>
    <row r="23" customFormat="false" ht="15" hidden="false" customHeight="true" outlineLevel="0" collapsed="false">
      <c r="A23" s="3" t="n">
        <v>22</v>
      </c>
      <c r="B23" s="3" t="n">
        <v>1</v>
      </c>
      <c r="C23" s="3" t="s">
        <v>166</v>
      </c>
      <c r="D23" s="3" t="s">
        <v>167</v>
      </c>
      <c r="E23" s="3" t="s">
        <v>168</v>
      </c>
      <c r="F23" s="3" t="s">
        <v>169</v>
      </c>
      <c r="G23" s="3" t="s">
        <v>74</v>
      </c>
      <c r="H23" s="3" t="n">
        <v>4</v>
      </c>
      <c r="I23" s="3" t="n">
        <v>511</v>
      </c>
      <c r="J23" s="3" t="s">
        <v>170</v>
      </c>
      <c r="K23" s="8" t="n">
        <v>5403700</v>
      </c>
      <c r="L23" s="8" t="n">
        <v>9000</v>
      </c>
      <c r="M23" s="8" t="n">
        <v>405952.5</v>
      </c>
      <c r="N23" s="8" t="n">
        <v>5818652.5</v>
      </c>
      <c r="O23" s="3" t="s">
        <v>171</v>
      </c>
      <c r="P23" s="3" t="s">
        <v>84</v>
      </c>
      <c r="Q23" s="3" t="s">
        <v>85</v>
      </c>
      <c r="R23" s="3" t="str">
        <f aca="false">IF(Q23="pass","No","Yes")</f>
        <v>Yes</v>
      </c>
      <c r="S23" s="3" t="s">
        <v>86</v>
      </c>
      <c r="T23" s="3" t="s">
        <v>172</v>
      </c>
      <c r="U23" s="3" t="s">
        <v>173</v>
      </c>
      <c r="V23" s="9" t="n">
        <v>7.158</v>
      </c>
    </row>
    <row r="24" customFormat="false" ht="15" hidden="false" customHeight="true" outlineLevel="0" collapsed="false">
      <c r="A24" s="3" t="n">
        <v>23</v>
      </c>
      <c r="B24" s="3" t="n">
        <v>1</v>
      </c>
      <c r="C24" s="3" t="s">
        <v>137</v>
      </c>
      <c r="D24" s="3" t="s">
        <v>138</v>
      </c>
      <c r="E24" s="3" t="s">
        <v>139</v>
      </c>
      <c r="F24" s="3" t="s">
        <v>140</v>
      </c>
      <c r="G24" s="3" t="s">
        <v>146</v>
      </c>
      <c r="H24" s="3" t="n">
        <v>2</v>
      </c>
      <c r="I24" s="3" t="n">
        <v>16</v>
      </c>
      <c r="J24" s="3" t="s">
        <v>174</v>
      </c>
      <c r="K24" s="8" t="n">
        <v>173400</v>
      </c>
      <c r="L24" s="8" t="n">
        <v>0</v>
      </c>
      <c r="M24" s="8" t="n">
        <v>13005</v>
      </c>
      <c r="N24" s="8" t="n">
        <v>186405</v>
      </c>
      <c r="O24" s="3" t="s">
        <v>148</v>
      </c>
      <c r="P24" s="3" t="s">
        <v>84</v>
      </c>
      <c r="Q24" s="3" t="s">
        <v>85</v>
      </c>
      <c r="R24" s="3" t="str">
        <f aca="false">IF(Q24="pass","No","Yes")</f>
        <v>Yes</v>
      </c>
      <c r="S24" s="3" t="s">
        <v>86</v>
      </c>
      <c r="T24" s="3" t="s">
        <v>149</v>
      </c>
      <c r="U24" s="3" t="s">
        <v>150</v>
      </c>
      <c r="V24" s="9" t="n">
        <v>2.859</v>
      </c>
    </row>
    <row r="25" customFormat="false" ht="15" hidden="false" customHeight="true" outlineLevel="0" collapsed="false">
      <c r="A25" s="3" t="n">
        <v>24</v>
      </c>
      <c r="B25" s="3" t="n">
        <v>1</v>
      </c>
      <c r="C25" s="3" t="s">
        <v>105</v>
      </c>
      <c r="D25" s="3" t="s">
        <v>106</v>
      </c>
      <c r="E25" s="3" t="s">
        <v>107</v>
      </c>
      <c r="F25" s="3" t="s">
        <v>108</v>
      </c>
      <c r="G25" s="3" t="s">
        <v>81</v>
      </c>
      <c r="H25" s="3" t="n">
        <v>3</v>
      </c>
      <c r="I25" s="3" t="n">
        <v>124</v>
      </c>
      <c r="J25" s="3" t="s">
        <v>175</v>
      </c>
      <c r="K25" s="8" t="n">
        <v>1196000</v>
      </c>
      <c r="L25" s="8" t="n">
        <v>4000</v>
      </c>
      <c r="M25" s="8" t="n">
        <v>90000</v>
      </c>
      <c r="N25" s="8" t="n">
        <v>1290000</v>
      </c>
      <c r="O25" s="3" t="s">
        <v>57</v>
      </c>
      <c r="P25" s="3" t="s">
        <v>58</v>
      </c>
      <c r="Q25" s="3" t="s">
        <v>59</v>
      </c>
      <c r="R25" s="3" t="str">
        <f aca="false">IF(Q25="pass","No","Yes")</f>
        <v>Yes</v>
      </c>
      <c r="S25" s="3" t="s">
        <v>60</v>
      </c>
      <c r="T25" s="3" t="s">
        <v>61</v>
      </c>
      <c r="U25" s="3" t="s">
        <v>176</v>
      </c>
      <c r="V25" s="9" t="n">
        <v>7.385</v>
      </c>
    </row>
    <row r="26" customFormat="false" ht="15" hidden="false" customHeight="true" outlineLevel="0" collapsed="false">
      <c r="A26" s="3" t="n">
        <v>25</v>
      </c>
      <c r="B26" s="3" t="n">
        <v>1</v>
      </c>
      <c r="C26" s="3" t="s">
        <v>177</v>
      </c>
      <c r="D26" s="3" t="s">
        <v>178</v>
      </c>
      <c r="E26" s="3" t="s">
        <v>179</v>
      </c>
      <c r="F26" s="3" t="s">
        <v>180</v>
      </c>
      <c r="G26" s="3" t="s">
        <v>81</v>
      </c>
      <c r="H26" s="3" t="n">
        <v>3</v>
      </c>
      <c r="I26" s="3" t="n">
        <v>133</v>
      </c>
      <c r="J26" s="3" t="s">
        <v>181</v>
      </c>
      <c r="K26" s="8" t="n">
        <v>1617700</v>
      </c>
      <c r="L26" s="8" t="n">
        <v>4000</v>
      </c>
      <c r="M26" s="8" t="n">
        <v>121627.5</v>
      </c>
      <c r="N26" s="8" t="n">
        <v>1743327.5</v>
      </c>
      <c r="O26" s="3" t="s">
        <v>57</v>
      </c>
      <c r="P26" s="3" t="s">
        <v>58</v>
      </c>
      <c r="Q26" s="3" t="s">
        <v>69</v>
      </c>
      <c r="R26" s="3" t="str">
        <f aca="false">IF(Q26="pass","No","Yes")</f>
        <v>No</v>
      </c>
      <c r="S26" s="3" t="s">
        <v>60</v>
      </c>
      <c r="T26" s="3"/>
      <c r="U26" s="3"/>
      <c r="V26" s="9" t="n">
        <v>3.827</v>
      </c>
    </row>
    <row r="27" customFormat="false" ht="15" hidden="false" customHeight="true" outlineLevel="0" collapsed="false">
      <c r="A27" s="3" t="n">
        <v>26</v>
      </c>
      <c r="B27" s="3" t="n">
        <v>1</v>
      </c>
      <c r="C27" s="3" t="s">
        <v>77</v>
      </c>
      <c r="D27" s="3" t="s">
        <v>78</v>
      </c>
      <c r="E27" s="3" t="s">
        <v>79</v>
      </c>
      <c r="F27" s="3" t="s">
        <v>80</v>
      </c>
      <c r="G27" s="3" t="s">
        <v>81</v>
      </c>
      <c r="H27" s="3" t="n">
        <v>1</v>
      </c>
      <c r="I27" s="3" t="n">
        <v>104</v>
      </c>
      <c r="J27" s="3" t="s">
        <v>182</v>
      </c>
      <c r="K27" s="8" t="n">
        <v>988000</v>
      </c>
      <c r="L27" s="8" t="n">
        <v>4000</v>
      </c>
      <c r="M27" s="8" t="n">
        <v>74400</v>
      </c>
      <c r="N27" s="8" t="n">
        <v>1066400</v>
      </c>
      <c r="O27" s="3" t="s">
        <v>152</v>
      </c>
      <c r="P27" s="3" t="s">
        <v>84</v>
      </c>
      <c r="Q27" s="3" t="s">
        <v>85</v>
      </c>
      <c r="R27" s="3" t="str">
        <f aca="false">IF(Q27="pass","No","Yes")</f>
        <v>Yes</v>
      </c>
      <c r="S27" s="3" t="s">
        <v>86</v>
      </c>
      <c r="T27" s="3" t="s">
        <v>183</v>
      </c>
      <c r="U27" s="3" t="s">
        <v>184</v>
      </c>
      <c r="V27" s="9" t="n">
        <v>6.991</v>
      </c>
    </row>
    <row r="28" customFormat="false" ht="15" hidden="false" customHeight="true" outlineLevel="0" collapsed="false">
      <c r="A28" s="3" t="n">
        <v>27</v>
      </c>
      <c r="B28" s="3" t="n">
        <v>1</v>
      </c>
      <c r="C28" s="3" t="s">
        <v>119</v>
      </c>
      <c r="D28" s="3" t="s">
        <v>120</v>
      </c>
      <c r="E28" s="3" t="s">
        <v>121</v>
      </c>
      <c r="F28" s="3" t="s">
        <v>122</v>
      </c>
      <c r="G28" s="3" t="s">
        <v>123</v>
      </c>
      <c r="H28" s="3" t="n">
        <v>1</v>
      </c>
      <c r="I28" s="3" t="n">
        <v>60</v>
      </c>
      <c r="J28" s="3" t="s">
        <v>185</v>
      </c>
      <c r="K28" s="8" t="n">
        <v>516000</v>
      </c>
      <c r="L28" s="8" t="n">
        <v>5000</v>
      </c>
      <c r="M28" s="8" t="n">
        <v>39075</v>
      </c>
      <c r="N28" s="8" t="n">
        <v>560075</v>
      </c>
      <c r="O28" s="3" t="s">
        <v>118</v>
      </c>
      <c r="P28" s="3" t="s">
        <v>58</v>
      </c>
      <c r="Q28" s="3" t="s">
        <v>69</v>
      </c>
      <c r="R28" s="3" t="str">
        <f aca="false">IF(Q28="pass","No","Yes")</f>
        <v>No</v>
      </c>
      <c r="S28" s="3" t="s">
        <v>60</v>
      </c>
      <c r="T28" s="3"/>
      <c r="U28" s="3"/>
      <c r="V28" s="9" t="n">
        <v>3.232</v>
      </c>
    </row>
    <row r="29" customFormat="false" ht="15" hidden="false" customHeight="true" outlineLevel="0" collapsed="false">
      <c r="A29" s="3" t="n">
        <v>28</v>
      </c>
      <c r="B29" s="3" t="n">
        <v>1</v>
      </c>
      <c r="C29" s="3" t="s">
        <v>186</v>
      </c>
      <c r="D29" s="3" t="s">
        <v>187</v>
      </c>
      <c r="E29" s="3" t="s">
        <v>188</v>
      </c>
      <c r="F29" s="3" t="s">
        <v>189</v>
      </c>
      <c r="G29" s="3" t="s">
        <v>123</v>
      </c>
      <c r="H29" s="3" t="n">
        <v>3</v>
      </c>
      <c r="I29" s="3" t="n">
        <v>68</v>
      </c>
      <c r="J29" s="3" t="s">
        <v>190</v>
      </c>
      <c r="K29" s="8" t="n">
        <v>687800</v>
      </c>
      <c r="L29" s="8" t="n">
        <v>5000</v>
      </c>
      <c r="M29" s="8" t="n">
        <v>51960</v>
      </c>
      <c r="N29" s="8" t="n">
        <v>744760</v>
      </c>
      <c r="O29" s="3" t="s">
        <v>118</v>
      </c>
      <c r="P29" s="3" t="s">
        <v>58</v>
      </c>
      <c r="Q29" s="3" t="s">
        <v>69</v>
      </c>
      <c r="R29" s="3" t="str">
        <f aca="false">IF(Q29="pass","No","Yes")</f>
        <v>No</v>
      </c>
      <c r="S29" s="3" t="s">
        <v>60</v>
      </c>
      <c r="T29" s="3"/>
      <c r="U29" s="3"/>
      <c r="V29" s="9" t="n">
        <v>3.709</v>
      </c>
    </row>
    <row r="30" customFormat="false" ht="15" hidden="false" customHeight="true" outlineLevel="0" collapsed="false">
      <c r="A30" s="3" t="n">
        <v>29</v>
      </c>
      <c r="B30" s="3" t="n">
        <v>1</v>
      </c>
      <c r="C30" s="3" t="s">
        <v>191</v>
      </c>
      <c r="D30" s="3" t="s">
        <v>192</v>
      </c>
      <c r="E30" s="3" t="s">
        <v>193</v>
      </c>
      <c r="F30" s="3" t="s">
        <v>194</v>
      </c>
      <c r="G30" s="3" t="s">
        <v>116</v>
      </c>
      <c r="H30" s="3" t="n">
        <v>3</v>
      </c>
      <c r="I30" s="3" t="n">
        <v>84</v>
      </c>
      <c r="J30" s="3" t="s">
        <v>195</v>
      </c>
      <c r="K30" s="8" t="n">
        <v>1946000</v>
      </c>
      <c r="L30" s="8" t="n">
        <v>15000</v>
      </c>
      <c r="M30" s="8" t="n">
        <v>147075</v>
      </c>
      <c r="N30" s="8" t="n">
        <v>2108075</v>
      </c>
      <c r="O30" s="3" t="s">
        <v>57</v>
      </c>
      <c r="P30" s="3" t="s">
        <v>58</v>
      </c>
      <c r="Q30" s="3" t="s">
        <v>69</v>
      </c>
      <c r="R30" s="3" t="str">
        <f aca="false">IF(Q30="pass","No","Yes")</f>
        <v>No</v>
      </c>
      <c r="S30" s="3" t="s">
        <v>60</v>
      </c>
      <c r="T30" s="3"/>
      <c r="U30" s="3"/>
      <c r="V30" s="9" t="n">
        <v>3.971</v>
      </c>
    </row>
    <row r="31" customFormat="false" ht="15" hidden="false" customHeight="true" outlineLevel="0" collapsed="false">
      <c r="A31" s="3" t="n">
        <v>30</v>
      </c>
      <c r="B31" s="3" t="n">
        <v>1</v>
      </c>
      <c r="C31" s="3" t="s">
        <v>177</v>
      </c>
      <c r="D31" s="3" t="s">
        <v>178</v>
      </c>
      <c r="E31" s="3" t="s">
        <v>179</v>
      </c>
      <c r="F31" s="3" t="s">
        <v>180</v>
      </c>
      <c r="G31" s="3" t="s">
        <v>81</v>
      </c>
      <c r="H31" s="3" t="n">
        <v>4</v>
      </c>
      <c r="I31" s="3" t="n">
        <v>1065</v>
      </c>
      <c r="J31" s="3" t="s">
        <v>196</v>
      </c>
      <c r="K31" s="8" t="n">
        <v>12620700</v>
      </c>
      <c r="L31" s="8" t="n">
        <v>4000</v>
      </c>
      <c r="M31" s="8" t="n">
        <v>946852.5</v>
      </c>
      <c r="N31" s="8" t="n">
        <v>13571552.5</v>
      </c>
      <c r="O31" s="3" t="s">
        <v>159</v>
      </c>
      <c r="P31" s="3" t="s">
        <v>84</v>
      </c>
      <c r="Q31" s="3" t="s">
        <v>85</v>
      </c>
      <c r="R31" s="3" t="str">
        <f aca="false">IF(Q31="pass","No","Yes")</f>
        <v>Yes</v>
      </c>
      <c r="S31" s="3" t="s">
        <v>86</v>
      </c>
      <c r="T31" s="3" t="s">
        <v>160</v>
      </c>
      <c r="U31" s="3" t="s">
        <v>197</v>
      </c>
      <c r="V31" s="9" t="n">
        <v>4.201</v>
      </c>
    </row>
    <row r="32" customFormat="false" ht="15" hidden="false" customHeight="true" outlineLevel="0" collapsed="false">
      <c r="A32" s="3" t="n">
        <v>31</v>
      </c>
      <c r="B32" s="3" t="n">
        <v>1</v>
      </c>
      <c r="C32" s="3" t="s">
        <v>198</v>
      </c>
      <c r="D32" s="3" t="s">
        <v>199</v>
      </c>
      <c r="E32" s="3" t="s">
        <v>200</v>
      </c>
      <c r="F32" s="3" t="s">
        <v>201</v>
      </c>
      <c r="G32" s="3" t="s">
        <v>81</v>
      </c>
      <c r="H32" s="3" t="n">
        <v>3</v>
      </c>
      <c r="I32" s="3" t="n">
        <v>14</v>
      </c>
      <c r="J32" s="3" t="s">
        <v>202</v>
      </c>
      <c r="K32" s="8" t="n">
        <v>422200</v>
      </c>
      <c r="L32" s="8" t="n">
        <v>4000</v>
      </c>
      <c r="M32" s="8" t="n">
        <v>31965</v>
      </c>
      <c r="N32" s="8" t="n">
        <v>458165</v>
      </c>
      <c r="O32" s="3" t="s">
        <v>57</v>
      </c>
      <c r="P32" s="3" t="s">
        <v>58</v>
      </c>
      <c r="Q32" s="3" t="s">
        <v>69</v>
      </c>
      <c r="R32" s="3" t="str">
        <f aca="false">IF(Q32="pass","No","Yes")</f>
        <v>No</v>
      </c>
      <c r="S32" s="3" t="s">
        <v>60</v>
      </c>
      <c r="T32" s="3"/>
      <c r="U32" s="3"/>
      <c r="V32" s="9" t="n">
        <v>4.006</v>
      </c>
    </row>
    <row r="33" customFormat="false" ht="15" hidden="false" customHeight="true" outlineLevel="0" collapsed="false">
      <c r="A33" s="3" t="n">
        <v>32</v>
      </c>
      <c r="B33" s="3" t="n">
        <v>1</v>
      </c>
      <c r="C33" s="3" t="s">
        <v>137</v>
      </c>
      <c r="D33" s="3" t="s">
        <v>138</v>
      </c>
      <c r="E33" s="3" t="s">
        <v>139</v>
      </c>
      <c r="F33" s="3" t="s">
        <v>140</v>
      </c>
      <c r="G33" s="3" t="s">
        <v>146</v>
      </c>
      <c r="H33" s="3" t="n">
        <v>3</v>
      </c>
      <c r="I33" s="3" t="n">
        <v>18</v>
      </c>
      <c r="J33" s="3" t="s">
        <v>203</v>
      </c>
      <c r="K33" s="8" t="n">
        <v>735200</v>
      </c>
      <c r="L33" s="8" t="n">
        <v>0</v>
      </c>
      <c r="M33" s="8" t="n">
        <v>55140</v>
      </c>
      <c r="N33" s="8" t="n">
        <v>790340</v>
      </c>
      <c r="O33" s="3" t="s">
        <v>148</v>
      </c>
      <c r="P33" s="3" t="s">
        <v>84</v>
      </c>
      <c r="Q33" s="3" t="s">
        <v>85</v>
      </c>
      <c r="R33" s="3" t="str">
        <f aca="false">IF(Q33="pass","No","Yes")</f>
        <v>Yes</v>
      </c>
      <c r="S33" s="3" t="s">
        <v>86</v>
      </c>
      <c r="T33" s="3" t="s">
        <v>149</v>
      </c>
      <c r="U33" s="3" t="s">
        <v>150</v>
      </c>
      <c r="V33" s="9" t="n">
        <v>3.365</v>
      </c>
    </row>
    <row r="34" customFormat="false" ht="15" hidden="false" customHeight="true" outlineLevel="0" collapsed="false">
      <c r="A34" s="3" t="n">
        <v>33</v>
      </c>
      <c r="B34" s="3" t="n">
        <v>1</v>
      </c>
      <c r="C34" s="3" t="s">
        <v>154</v>
      </c>
      <c r="D34" s="3" t="s">
        <v>155</v>
      </c>
      <c r="E34" s="3" t="s">
        <v>156</v>
      </c>
      <c r="F34" s="3" t="s">
        <v>157</v>
      </c>
      <c r="G34" s="3" t="s">
        <v>123</v>
      </c>
      <c r="H34" s="3" t="n">
        <v>1</v>
      </c>
      <c r="I34" s="3" t="n">
        <v>29</v>
      </c>
      <c r="J34" s="3" t="s">
        <v>204</v>
      </c>
      <c r="K34" s="8" t="n">
        <v>420500</v>
      </c>
      <c r="L34" s="8" t="n">
        <v>5000</v>
      </c>
      <c r="M34" s="8" t="n">
        <v>31912.5</v>
      </c>
      <c r="N34" s="8" t="n">
        <v>457412.5</v>
      </c>
      <c r="O34" s="3" t="s">
        <v>57</v>
      </c>
      <c r="P34" s="3" t="s">
        <v>58</v>
      </c>
      <c r="Q34" s="3" t="s">
        <v>69</v>
      </c>
      <c r="R34" s="3" t="str">
        <f aca="false">IF(Q34="pass","No","Yes")</f>
        <v>No</v>
      </c>
      <c r="S34" s="3" t="s">
        <v>60</v>
      </c>
      <c r="T34" s="3"/>
      <c r="U34" s="3"/>
      <c r="V34" s="9" t="n">
        <v>3.305</v>
      </c>
    </row>
    <row r="35" customFormat="false" ht="15" hidden="false" customHeight="true" outlineLevel="0" collapsed="false">
      <c r="A35" s="3" t="n">
        <v>34</v>
      </c>
      <c r="B35" s="3" t="n">
        <v>1</v>
      </c>
      <c r="C35" s="3" t="s">
        <v>63</v>
      </c>
      <c r="D35" s="3" t="s">
        <v>64</v>
      </c>
      <c r="E35" s="3" t="s">
        <v>65</v>
      </c>
      <c r="F35" s="3" t="s">
        <v>66</v>
      </c>
      <c r="G35" s="3" t="s">
        <v>67</v>
      </c>
      <c r="H35" s="3" t="n">
        <v>0</v>
      </c>
      <c r="I35" s="3" t="n">
        <v>0</v>
      </c>
      <c r="J35" s="3"/>
      <c r="K35" s="8" t="n">
        <v>0</v>
      </c>
      <c r="L35" s="8" t="n">
        <v>4500</v>
      </c>
      <c r="M35" s="8" t="n">
        <v>337.5</v>
      </c>
      <c r="N35" s="8" t="n">
        <v>4837.5</v>
      </c>
      <c r="O35" s="3" t="s">
        <v>76</v>
      </c>
      <c r="P35" s="3" t="s">
        <v>58</v>
      </c>
      <c r="Q35" s="3" t="s">
        <v>85</v>
      </c>
      <c r="R35" s="3" t="str">
        <f aca="false">IF(Q35="pass","No","Yes")</f>
        <v>Yes</v>
      </c>
      <c r="S35" s="3" t="s">
        <v>86</v>
      </c>
      <c r="T35" s="3" t="s">
        <v>87</v>
      </c>
      <c r="U35" s="3" t="s">
        <v>205</v>
      </c>
      <c r="V35" s="9" t="n">
        <v>2.424</v>
      </c>
    </row>
    <row r="36" customFormat="false" ht="15" hidden="false" customHeight="true" outlineLevel="0" collapsed="false">
      <c r="A36" s="3" t="n">
        <v>35</v>
      </c>
      <c r="B36" s="3" t="n">
        <v>1</v>
      </c>
      <c r="C36" s="3" t="s">
        <v>154</v>
      </c>
      <c r="D36" s="3" t="s">
        <v>155</v>
      </c>
      <c r="E36" s="3" t="s">
        <v>156</v>
      </c>
      <c r="F36" s="3" t="s">
        <v>157</v>
      </c>
      <c r="G36" s="3" t="s">
        <v>123</v>
      </c>
      <c r="H36" s="3" t="n">
        <v>1</v>
      </c>
      <c r="I36" s="3" t="n">
        <v>123</v>
      </c>
      <c r="J36" s="3" t="s">
        <v>206</v>
      </c>
      <c r="K36" s="8" t="n">
        <v>885600</v>
      </c>
      <c r="L36" s="8" t="n">
        <v>5000</v>
      </c>
      <c r="M36" s="8" t="n">
        <v>66795</v>
      </c>
      <c r="N36" s="8" t="n">
        <v>957395</v>
      </c>
      <c r="O36" s="3" t="s">
        <v>57</v>
      </c>
      <c r="P36" s="3" t="s">
        <v>58</v>
      </c>
      <c r="Q36" s="3" t="s">
        <v>59</v>
      </c>
      <c r="R36" s="3" t="str">
        <f aca="false">IF(Q36="pass","No","Yes")</f>
        <v>Yes</v>
      </c>
      <c r="S36" s="3" t="s">
        <v>60</v>
      </c>
      <c r="T36" s="3" t="s">
        <v>61</v>
      </c>
      <c r="U36" s="3" t="s">
        <v>207</v>
      </c>
      <c r="V36" s="9" t="n">
        <v>7.18</v>
      </c>
    </row>
    <row r="37" customFormat="false" ht="15" hidden="false" customHeight="true" outlineLevel="0" collapsed="false">
      <c r="A37" s="3" t="n">
        <v>36</v>
      </c>
      <c r="B37" s="3" t="n">
        <v>1</v>
      </c>
      <c r="C37" s="3" t="s">
        <v>154</v>
      </c>
      <c r="D37" s="3" t="s">
        <v>155</v>
      </c>
      <c r="E37" s="3" t="s">
        <v>156</v>
      </c>
      <c r="F37" s="3" t="s">
        <v>157</v>
      </c>
      <c r="G37" s="3" t="s">
        <v>123</v>
      </c>
      <c r="H37" s="3" t="n">
        <v>2</v>
      </c>
      <c r="I37" s="3" t="n">
        <v>263</v>
      </c>
      <c r="J37" s="3" t="s">
        <v>208</v>
      </c>
      <c r="K37" s="8" t="n">
        <v>2782600</v>
      </c>
      <c r="L37" s="8" t="n">
        <v>5000</v>
      </c>
      <c r="M37" s="8" t="n">
        <v>209070</v>
      </c>
      <c r="N37" s="8" t="n">
        <v>2996670</v>
      </c>
      <c r="O37" s="3" t="s">
        <v>171</v>
      </c>
      <c r="P37" s="3" t="s">
        <v>84</v>
      </c>
      <c r="Q37" s="3" t="s">
        <v>85</v>
      </c>
      <c r="R37" s="3" t="str">
        <f aca="false">IF(Q37="pass","No","Yes")</f>
        <v>Yes</v>
      </c>
      <c r="S37" s="3" t="s">
        <v>86</v>
      </c>
      <c r="T37" s="3" t="s">
        <v>209</v>
      </c>
      <c r="U37" s="3" t="s">
        <v>210</v>
      </c>
      <c r="V37" s="9" t="n">
        <v>3.491</v>
      </c>
    </row>
    <row r="38" customFormat="false" ht="15" hidden="false" customHeight="true" outlineLevel="0" collapsed="false">
      <c r="A38" s="3" t="n">
        <v>37</v>
      </c>
      <c r="B38" s="3" t="n">
        <v>1</v>
      </c>
      <c r="C38" s="3" t="s">
        <v>77</v>
      </c>
      <c r="D38" s="3" t="s">
        <v>78</v>
      </c>
      <c r="E38" s="3" t="s">
        <v>79</v>
      </c>
      <c r="F38" s="3" t="s">
        <v>80</v>
      </c>
      <c r="G38" s="3" t="s">
        <v>81</v>
      </c>
      <c r="H38" s="3" t="n">
        <v>2</v>
      </c>
      <c r="I38" s="3" t="n">
        <v>50</v>
      </c>
      <c r="J38" s="3" t="s">
        <v>211</v>
      </c>
      <c r="K38" s="8" t="n">
        <v>704200</v>
      </c>
      <c r="L38" s="8" t="n">
        <v>4000</v>
      </c>
      <c r="M38" s="8" t="n">
        <v>53115</v>
      </c>
      <c r="N38" s="8" t="n">
        <v>761315</v>
      </c>
      <c r="O38" s="3" t="s">
        <v>57</v>
      </c>
      <c r="P38" s="3" t="s">
        <v>58</v>
      </c>
      <c r="Q38" s="3" t="s">
        <v>69</v>
      </c>
      <c r="R38" s="3" t="str">
        <f aca="false">IF(Q38="pass","No","Yes")</f>
        <v>No</v>
      </c>
      <c r="S38" s="3" t="s">
        <v>60</v>
      </c>
      <c r="T38" s="3"/>
      <c r="U38" s="3"/>
      <c r="V38" s="9" t="n">
        <v>3.895</v>
      </c>
    </row>
    <row r="39" customFormat="false" ht="15" hidden="false" customHeight="true" outlineLevel="0" collapsed="false">
      <c r="A39" s="3" t="n">
        <v>38</v>
      </c>
      <c r="B39" s="3" t="n">
        <v>1</v>
      </c>
      <c r="C39" s="3" t="s">
        <v>127</v>
      </c>
      <c r="D39" s="3" t="s">
        <v>128</v>
      </c>
      <c r="E39" s="3" t="s">
        <v>129</v>
      </c>
      <c r="F39" s="3" t="s">
        <v>130</v>
      </c>
      <c r="G39" s="3" t="s">
        <v>55</v>
      </c>
      <c r="H39" s="3" t="n">
        <v>3</v>
      </c>
      <c r="I39" s="3" t="n">
        <v>91</v>
      </c>
      <c r="J39" s="3" t="s">
        <v>212</v>
      </c>
      <c r="K39" s="8" t="n">
        <v>1169900</v>
      </c>
      <c r="L39" s="8" t="n">
        <v>6000</v>
      </c>
      <c r="M39" s="8" t="n">
        <v>88192.5</v>
      </c>
      <c r="N39" s="8" t="n">
        <v>1264092.5</v>
      </c>
      <c r="O39" s="3" t="s">
        <v>57</v>
      </c>
      <c r="P39" s="3" t="s">
        <v>58</v>
      </c>
      <c r="Q39" s="3" t="s">
        <v>69</v>
      </c>
      <c r="R39" s="3" t="str">
        <f aca="false">IF(Q39="pass","No","Yes")</f>
        <v>No</v>
      </c>
      <c r="S39" s="3" t="s">
        <v>60</v>
      </c>
      <c r="T39" s="3"/>
      <c r="U39" s="3"/>
      <c r="V39" s="9" t="n">
        <v>4.634</v>
      </c>
    </row>
    <row r="40" customFormat="false" ht="15" hidden="false" customHeight="true" outlineLevel="0" collapsed="false">
      <c r="A40" s="3" t="n">
        <v>39</v>
      </c>
      <c r="B40" s="3" t="n">
        <v>1</v>
      </c>
      <c r="C40" s="3" t="s">
        <v>213</v>
      </c>
      <c r="D40" s="3" t="s">
        <v>214</v>
      </c>
      <c r="E40" s="3" t="s">
        <v>215</v>
      </c>
      <c r="F40" s="3" t="s">
        <v>216</v>
      </c>
      <c r="G40" s="3" t="s">
        <v>67</v>
      </c>
      <c r="H40" s="3" t="n">
        <v>3</v>
      </c>
      <c r="I40" s="3" t="n">
        <v>117</v>
      </c>
      <c r="J40" s="3" t="s">
        <v>217</v>
      </c>
      <c r="K40" s="8" t="n">
        <v>1255100</v>
      </c>
      <c r="L40" s="8" t="n">
        <v>4500</v>
      </c>
      <c r="M40" s="8" t="n">
        <v>94470</v>
      </c>
      <c r="N40" s="8" t="n">
        <v>1354070</v>
      </c>
      <c r="O40" s="3" t="s">
        <v>57</v>
      </c>
      <c r="P40" s="3" t="s">
        <v>58</v>
      </c>
      <c r="Q40" s="3" t="s">
        <v>59</v>
      </c>
      <c r="R40" s="3" t="str">
        <f aca="false">IF(Q40="pass","No","Yes")</f>
        <v>Yes</v>
      </c>
      <c r="S40" s="3" t="s">
        <v>60</v>
      </c>
      <c r="T40" s="3" t="s">
        <v>61</v>
      </c>
      <c r="U40" s="3" t="s">
        <v>218</v>
      </c>
      <c r="V40" s="9" t="n">
        <v>8.802</v>
      </c>
    </row>
    <row r="41" customFormat="false" ht="15" hidden="false" customHeight="true" outlineLevel="0" collapsed="false">
      <c r="A41" s="3" t="n">
        <v>40</v>
      </c>
      <c r="B41" s="3" t="n">
        <v>1</v>
      </c>
      <c r="C41" s="3" t="s">
        <v>191</v>
      </c>
      <c r="D41" s="3" t="s">
        <v>192</v>
      </c>
      <c r="E41" s="3" t="s">
        <v>193</v>
      </c>
      <c r="F41" s="3" t="s">
        <v>194</v>
      </c>
      <c r="G41" s="3" t="s">
        <v>116</v>
      </c>
      <c r="H41" s="3" t="n">
        <v>1</v>
      </c>
      <c r="I41" s="3" t="n">
        <v>14</v>
      </c>
      <c r="J41" s="3" t="s">
        <v>219</v>
      </c>
      <c r="K41" s="8" t="n">
        <v>532000</v>
      </c>
      <c r="L41" s="8" t="n">
        <v>15000</v>
      </c>
      <c r="M41" s="8" t="n">
        <v>41025</v>
      </c>
      <c r="N41" s="8" t="n">
        <v>588025</v>
      </c>
      <c r="O41" s="3" t="s">
        <v>76</v>
      </c>
      <c r="P41" s="3" t="s">
        <v>58</v>
      </c>
      <c r="Q41" s="3" t="s">
        <v>69</v>
      </c>
      <c r="R41" s="3" t="str">
        <f aca="false">IF(Q41="pass","No","Yes")</f>
        <v>No</v>
      </c>
      <c r="S41" s="3" t="s">
        <v>60</v>
      </c>
      <c r="T41" s="3"/>
      <c r="U41" s="3"/>
      <c r="V41" s="9" t="n">
        <v>3.505</v>
      </c>
    </row>
    <row r="42" customFormat="false" ht="15" hidden="false" customHeight="true" outlineLevel="0" collapsed="false">
      <c r="A42" s="3" t="n">
        <v>41</v>
      </c>
      <c r="B42" s="3" t="n">
        <v>1</v>
      </c>
      <c r="C42" s="3" t="s">
        <v>154</v>
      </c>
      <c r="D42" s="3" t="s">
        <v>155</v>
      </c>
      <c r="E42" s="3" t="s">
        <v>156</v>
      </c>
      <c r="F42" s="3" t="s">
        <v>157</v>
      </c>
      <c r="G42" s="3" t="s">
        <v>123</v>
      </c>
      <c r="H42" s="3" t="n">
        <v>3</v>
      </c>
      <c r="I42" s="3" t="n">
        <v>104</v>
      </c>
      <c r="J42" s="3" t="s">
        <v>220</v>
      </c>
      <c r="K42" s="8" t="n">
        <v>1397200</v>
      </c>
      <c r="L42" s="8" t="n">
        <v>5000</v>
      </c>
      <c r="M42" s="8" t="n">
        <v>105165</v>
      </c>
      <c r="N42" s="8" t="n">
        <v>1507365</v>
      </c>
      <c r="O42" s="3" t="s">
        <v>57</v>
      </c>
      <c r="P42" s="3" t="s">
        <v>58</v>
      </c>
      <c r="Q42" s="3" t="s">
        <v>69</v>
      </c>
      <c r="R42" s="3" t="str">
        <f aca="false">IF(Q42="pass","No","Yes")</f>
        <v>No</v>
      </c>
      <c r="S42" s="3" t="s">
        <v>60</v>
      </c>
      <c r="T42" s="3"/>
      <c r="U42" s="3"/>
      <c r="V42" s="9" t="n">
        <v>4.933</v>
      </c>
    </row>
    <row r="43" customFormat="false" ht="15" hidden="false" customHeight="true" outlineLevel="0" collapsed="false">
      <c r="A43" s="3" t="n">
        <v>42</v>
      </c>
      <c r="B43" s="3" t="n">
        <v>1</v>
      </c>
      <c r="C43" s="3" t="s">
        <v>127</v>
      </c>
      <c r="D43" s="3" t="s">
        <v>128</v>
      </c>
      <c r="E43" s="3" t="s">
        <v>129</v>
      </c>
      <c r="F43" s="3" t="s">
        <v>130</v>
      </c>
      <c r="G43" s="3" t="s">
        <v>55</v>
      </c>
      <c r="H43" s="3" t="n">
        <v>2</v>
      </c>
      <c r="I43" s="3" t="n">
        <v>23</v>
      </c>
      <c r="J43" s="3" t="s">
        <v>221</v>
      </c>
      <c r="K43" s="8" t="n">
        <v>482000</v>
      </c>
      <c r="L43" s="8" t="n">
        <v>6000</v>
      </c>
      <c r="M43" s="8" t="n">
        <v>36600</v>
      </c>
      <c r="N43" s="8" t="n">
        <v>524600</v>
      </c>
      <c r="O43" s="3" t="s">
        <v>152</v>
      </c>
      <c r="P43" s="3" t="s">
        <v>84</v>
      </c>
      <c r="Q43" s="3" t="s">
        <v>85</v>
      </c>
      <c r="R43" s="3" t="str">
        <f aca="false">IF(Q43="pass","No","Yes")</f>
        <v>Yes</v>
      </c>
      <c r="S43" s="3" t="s">
        <v>86</v>
      </c>
      <c r="T43" s="3" t="s">
        <v>87</v>
      </c>
      <c r="U43" s="3" t="s">
        <v>153</v>
      </c>
      <c r="V43" s="9" t="n">
        <v>3.582</v>
      </c>
    </row>
    <row r="44" customFormat="false" ht="15" hidden="false" customHeight="true" outlineLevel="0" collapsed="false">
      <c r="A44" s="3" t="n">
        <v>43</v>
      </c>
      <c r="B44" s="3" t="n">
        <v>1</v>
      </c>
      <c r="C44" s="3" t="s">
        <v>63</v>
      </c>
      <c r="D44" s="3" t="s">
        <v>64</v>
      </c>
      <c r="E44" s="3" t="s">
        <v>65</v>
      </c>
      <c r="F44" s="3" t="s">
        <v>66</v>
      </c>
      <c r="G44" s="3" t="s">
        <v>67</v>
      </c>
      <c r="H44" s="3" t="n">
        <v>2</v>
      </c>
      <c r="I44" s="3" t="n">
        <v>100</v>
      </c>
      <c r="J44" s="3" t="s">
        <v>222</v>
      </c>
      <c r="K44" s="8" t="n">
        <v>1289400</v>
      </c>
      <c r="L44" s="8" t="n">
        <v>4500</v>
      </c>
      <c r="M44" s="8" t="n">
        <v>97042.5</v>
      </c>
      <c r="N44" s="8" t="n">
        <v>1390942.5</v>
      </c>
      <c r="O44" s="3" t="s">
        <v>118</v>
      </c>
      <c r="P44" s="3" t="s">
        <v>58</v>
      </c>
      <c r="Q44" s="3" t="s">
        <v>69</v>
      </c>
      <c r="R44" s="3" t="str">
        <f aca="false">IF(Q44="pass","No","Yes")</f>
        <v>No</v>
      </c>
      <c r="S44" s="3" t="s">
        <v>60</v>
      </c>
      <c r="T44" s="3"/>
      <c r="U44" s="3"/>
      <c r="V44" s="9" t="n">
        <v>8.338</v>
      </c>
    </row>
    <row r="45" customFormat="false" ht="15" hidden="false" customHeight="true" outlineLevel="0" collapsed="false">
      <c r="A45" s="3" t="n">
        <v>44</v>
      </c>
      <c r="B45" s="3" t="n">
        <v>1</v>
      </c>
      <c r="C45" s="3" t="s">
        <v>127</v>
      </c>
      <c r="D45" s="3" t="s">
        <v>128</v>
      </c>
      <c r="E45" s="3" t="s">
        <v>129</v>
      </c>
      <c r="F45" s="3" t="s">
        <v>130</v>
      </c>
      <c r="G45" s="3" t="s">
        <v>55</v>
      </c>
      <c r="H45" s="3" t="n">
        <v>3</v>
      </c>
      <c r="I45" s="3" t="n">
        <v>123</v>
      </c>
      <c r="J45" s="3" t="s">
        <v>223</v>
      </c>
      <c r="K45" s="8" t="n">
        <v>1181500</v>
      </c>
      <c r="L45" s="8" t="n">
        <v>6000</v>
      </c>
      <c r="M45" s="8" t="n">
        <v>89062.5</v>
      </c>
      <c r="N45" s="8" t="n">
        <v>1276562.5</v>
      </c>
      <c r="O45" s="3" t="s">
        <v>224</v>
      </c>
      <c r="P45" s="3" t="s">
        <v>84</v>
      </c>
      <c r="Q45" s="3" t="s">
        <v>85</v>
      </c>
      <c r="R45" s="3" t="str">
        <f aca="false">IF(Q45="pass","No","Yes")</f>
        <v>Yes</v>
      </c>
      <c r="S45" s="3" t="s">
        <v>86</v>
      </c>
      <c r="T45" s="3" t="s">
        <v>149</v>
      </c>
      <c r="U45" s="3" t="s">
        <v>225</v>
      </c>
      <c r="V45" s="9" t="n">
        <v>8.921</v>
      </c>
    </row>
    <row r="46" customFormat="false" ht="15" hidden="false" customHeight="true" outlineLevel="0" collapsed="false">
      <c r="A46" s="3" t="n">
        <v>45</v>
      </c>
      <c r="B46" s="3" t="n">
        <v>1</v>
      </c>
      <c r="C46" s="3" t="s">
        <v>191</v>
      </c>
      <c r="D46" s="3" t="s">
        <v>192</v>
      </c>
      <c r="E46" s="3" t="s">
        <v>193</v>
      </c>
      <c r="F46" s="3" t="s">
        <v>194</v>
      </c>
      <c r="G46" s="3" t="s">
        <v>116</v>
      </c>
      <c r="H46" s="3" t="n">
        <v>3</v>
      </c>
      <c r="I46" s="3" t="n">
        <v>111</v>
      </c>
      <c r="J46" s="3" t="s">
        <v>226</v>
      </c>
      <c r="K46" s="8" t="n">
        <v>878400</v>
      </c>
      <c r="L46" s="8" t="n">
        <v>15000</v>
      </c>
      <c r="M46" s="8" t="n">
        <v>67005</v>
      </c>
      <c r="N46" s="8" t="n">
        <v>960405</v>
      </c>
      <c r="O46" s="3" t="s">
        <v>57</v>
      </c>
      <c r="P46" s="3" t="s">
        <v>58</v>
      </c>
      <c r="Q46" s="3" t="s">
        <v>59</v>
      </c>
      <c r="R46" s="3" t="str">
        <f aca="false">IF(Q46="pass","No","Yes")</f>
        <v>Yes</v>
      </c>
      <c r="S46" s="3" t="s">
        <v>60</v>
      </c>
      <c r="T46" s="3" t="s">
        <v>61</v>
      </c>
      <c r="U46" s="3" t="s">
        <v>227</v>
      </c>
      <c r="V46" s="9" t="n">
        <v>9.296</v>
      </c>
    </row>
    <row r="47" customFormat="false" ht="15" hidden="false" customHeight="true" outlineLevel="0" collapsed="false">
      <c r="A47" s="3" t="n">
        <v>46</v>
      </c>
      <c r="B47" s="3" t="n">
        <v>1</v>
      </c>
      <c r="C47" s="3" t="s">
        <v>142</v>
      </c>
      <c r="D47" s="3" t="s">
        <v>143</v>
      </c>
      <c r="E47" s="3" t="s">
        <v>144</v>
      </c>
      <c r="F47" s="3" t="s">
        <v>145</v>
      </c>
      <c r="G47" s="3" t="s">
        <v>74</v>
      </c>
      <c r="H47" s="3" t="n">
        <v>3</v>
      </c>
      <c r="I47" s="3" t="n">
        <v>929</v>
      </c>
      <c r="J47" s="3" t="s">
        <v>228</v>
      </c>
      <c r="K47" s="8" t="n">
        <v>13530500</v>
      </c>
      <c r="L47" s="8" t="n">
        <v>9000</v>
      </c>
      <c r="M47" s="8" t="n">
        <v>1015462.5</v>
      </c>
      <c r="N47" s="8" t="n">
        <v>14554962.5</v>
      </c>
      <c r="O47" s="3" t="s">
        <v>159</v>
      </c>
      <c r="P47" s="3" t="s">
        <v>84</v>
      </c>
      <c r="Q47" s="3" t="s">
        <v>85</v>
      </c>
      <c r="R47" s="3" t="str">
        <f aca="false">IF(Q47="pass","No","Yes")</f>
        <v>Yes</v>
      </c>
      <c r="S47" s="3" t="s">
        <v>86</v>
      </c>
      <c r="T47" s="3" t="s">
        <v>229</v>
      </c>
      <c r="U47" s="3" t="s">
        <v>230</v>
      </c>
      <c r="V47" s="9" t="n">
        <v>9.252</v>
      </c>
    </row>
    <row r="48" customFormat="false" ht="15" hidden="false" customHeight="true" outlineLevel="0" collapsed="false">
      <c r="A48" s="3" t="n">
        <v>47</v>
      </c>
      <c r="B48" s="3" t="n">
        <v>1</v>
      </c>
      <c r="C48" s="3" t="s">
        <v>137</v>
      </c>
      <c r="D48" s="3" t="s">
        <v>138</v>
      </c>
      <c r="E48" s="3" t="s">
        <v>139</v>
      </c>
      <c r="F48" s="3" t="s">
        <v>140</v>
      </c>
      <c r="G48" s="3" t="s">
        <v>55</v>
      </c>
      <c r="H48" s="3" t="n">
        <v>3</v>
      </c>
      <c r="I48" s="3" t="n">
        <v>139</v>
      </c>
      <c r="J48" s="3" t="s">
        <v>231</v>
      </c>
      <c r="K48" s="8" t="n">
        <v>1198200</v>
      </c>
      <c r="L48" s="8" t="n">
        <v>6000</v>
      </c>
      <c r="M48" s="8" t="n">
        <v>90315</v>
      </c>
      <c r="N48" s="8" t="n">
        <v>1294515</v>
      </c>
      <c r="O48" s="3" t="s">
        <v>57</v>
      </c>
      <c r="P48" s="3" t="s">
        <v>58</v>
      </c>
      <c r="Q48" s="3" t="s">
        <v>59</v>
      </c>
      <c r="R48" s="3" t="str">
        <f aca="false">IF(Q48="pass","No","Yes")</f>
        <v>Yes</v>
      </c>
      <c r="S48" s="3" t="s">
        <v>60</v>
      </c>
      <c r="T48" s="3" t="s">
        <v>61</v>
      </c>
      <c r="U48" s="3" t="s">
        <v>232</v>
      </c>
      <c r="V48" s="9" t="n">
        <v>9.071</v>
      </c>
    </row>
    <row r="49" customFormat="false" ht="15" hidden="false" customHeight="true" outlineLevel="0" collapsed="false">
      <c r="A49" s="3" t="n">
        <v>48</v>
      </c>
      <c r="B49" s="3" t="n">
        <v>1</v>
      </c>
      <c r="C49" s="3" t="s">
        <v>127</v>
      </c>
      <c r="D49" s="3" t="s">
        <v>128</v>
      </c>
      <c r="E49" s="3" t="s">
        <v>129</v>
      </c>
      <c r="F49" s="3" t="s">
        <v>130</v>
      </c>
      <c r="G49" s="3" t="s">
        <v>55</v>
      </c>
      <c r="H49" s="3" t="n">
        <v>2</v>
      </c>
      <c r="I49" s="3" t="n">
        <v>121</v>
      </c>
      <c r="J49" s="3" t="s">
        <v>233</v>
      </c>
      <c r="K49" s="8" t="n">
        <v>1478200</v>
      </c>
      <c r="L49" s="8" t="n">
        <v>6000</v>
      </c>
      <c r="M49" s="8" t="n">
        <v>111315</v>
      </c>
      <c r="N49" s="8" t="n">
        <v>1595515</v>
      </c>
      <c r="O49" s="3" t="s">
        <v>57</v>
      </c>
      <c r="P49" s="3" t="s">
        <v>58</v>
      </c>
      <c r="Q49" s="3" t="s">
        <v>69</v>
      </c>
      <c r="R49" s="3" t="str">
        <f aca="false">IF(Q49="pass","No","Yes")</f>
        <v>No</v>
      </c>
      <c r="S49" s="3" t="s">
        <v>60</v>
      </c>
      <c r="T49" s="3"/>
      <c r="U49" s="3"/>
      <c r="V49" s="9" t="n">
        <v>4.711</v>
      </c>
    </row>
    <row r="50" customFormat="false" ht="15" hidden="false" customHeight="true" outlineLevel="0" collapsed="false">
      <c r="A50" s="3" t="n">
        <v>49</v>
      </c>
      <c r="B50" s="3" t="n">
        <v>1</v>
      </c>
      <c r="C50" s="3" t="s">
        <v>89</v>
      </c>
      <c r="D50" s="3" t="s">
        <v>90</v>
      </c>
      <c r="E50" s="3" t="s">
        <v>91</v>
      </c>
      <c r="F50" s="3" t="s">
        <v>92</v>
      </c>
      <c r="G50" s="3" t="s">
        <v>146</v>
      </c>
      <c r="H50" s="3" t="n">
        <v>2</v>
      </c>
      <c r="I50" s="3" t="n">
        <v>86</v>
      </c>
      <c r="J50" s="3" t="s">
        <v>234</v>
      </c>
      <c r="K50" s="8" t="n">
        <v>1226200</v>
      </c>
      <c r="L50" s="8" t="n">
        <v>0</v>
      </c>
      <c r="M50" s="8" t="n">
        <v>91965</v>
      </c>
      <c r="N50" s="8" t="n">
        <v>1318165</v>
      </c>
      <c r="O50" s="3" t="s">
        <v>148</v>
      </c>
      <c r="P50" s="3" t="s">
        <v>84</v>
      </c>
      <c r="Q50" s="3" t="s">
        <v>85</v>
      </c>
      <c r="R50" s="3" t="str">
        <f aca="false">IF(Q50="pass","No","Yes")</f>
        <v>Yes</v>
      </c>
      <c r="S50" s="3" t="s">
        <v>86</v>
      </c>
      <c r="T50" s="3" t="s">
        <v>149</v>
      </c>
      <c r="U50" s="3" t="s">
        <v>150</v>
      </c>
      <c r="V50" s="9" t="n">
        <v>4.149</v>
      </c>
    </row>
    <row r="51" customFormat="false" ht="15" hidden="false" customHeight="true" outlineLevel="0" collapsed="false">
      <c r="A51" s="3" t="n">
        <v>50</v>
      </c>
      <c r="B51" s="3" t="n">
        <v>1</v>
      </c>
      <c r="C51" s="3" t="s">
        <v>127</v>
      </c>
      <c r="D51" s="3" t="s">
        <v>128</v>
      </c>
      <c r="E51" s="3" t="s">
        <v>129</v>
      </c>
      <c r="F51" s="3" t="s">
        <v>130</v>
      </c>
      <c r="G51" s="3" t="s">
        <v>55</v>
      </c>
      <c r="H51" s="3" t="n">
        <v>2</v>
      </c>
      <c r="I51" s="3" t="n">
        <v>121</v>
      </c>
      <c r="J51" s="3" t="s">
        <v>233</v>
      </c>
      <c r="K51" s="8" t="n">
        <v>1478200</v>
      </c>
      <c r="L51" s="8" t="n">
        <v>6000</v>
      </c>
      <c r="M51" s="8" t="n">
        <v>111315</v>
      </c>
      <c r="N51" s="8" t="n">
        <v>1595515</v>
      </c>
      <c r="O51" s="3" t="s">
        <v>97</v>
      </c>
      <c r="P51" s="3" t="s">
        <v>84</v>
      </c>
      <c r="Q51" s="3" t="s">
        <v>59</v>
      </c>
      <c r="R51" s="3" t="str">
        <f aca="false">IF(Q51="pass","No","Yes")</f>
        <v>Yes</v>
      </c>
      <c r="S51" s="3" t="s">
        <v>98</v>
      </c>
      <c r="T51" s="3" t="s">
        <v>97</v>
      </c>
      <c r="U51" s="3" t="s">
        <v>235</v>
      </c>
      <c r="V51" s="9" t="n">
        <v>3.365</v>
      </c>
    </row>
    <row r="52" customFormat="false" ht="15" hidden="false" customHeight="true" outlineLevel="0" collapsed="false">
      <c r="A52" s="3" t="n">
        <v>51</v>
      </c>
      <c r="B52" s="3" t="n">
        <v>2</v>
      </c>
      <c r="C52" s="3" t="s">
        <v>77</v>
      </c>
      <c r="D52" s="3" t="s">
        <v>78</v>
      </c>
      <c r="E52" s="3" t="s">
        <v>79</v>
      </c>
      <c r="F52" s="3" t="s">
        <v>80</v>
      </c>
      <c r="G52" s="3" t="s">
        <v>81</v>
      </c>
      <c r="H52" s="3" t="n">
        <v>3</v>
      </c>
      <c r="I52" s="3" t="n">
        <v>68</v>
      </c>
      <c r="J52" s="3" t="s">
        <v>236</v>
      </c>
      <c r="K52" s="8" t="n">
        <v>1024400</v>
      </c>
      <c r="L52" s="8" t="n">
        <v>4000</v>
      </c>
      <c r="M52" s="8" t="n">
        <v>77130</v>
      </c>
      <c r="N52" s="8" t="n">
        <v>1105530</v>
      </c>
      <c r="O52" s="3" t="s">
        <v>57</v>
      </c>
      <c r="P52" s="3" t="s">
        <v>58</v>
      </c>
      <c r="Q52" s="3" t="s">
        <v>69</v>
      </c>
      <c r="R52" s="3" t="str">
        <f aca="false">IF(Q52="pass","No","Yes")</f>
        <v>No</v>
      </c>
      <c r="S52" s="3" t="s">
        <v>60</v>
      </c>
      <c r="T52" s="3"/>
      <c r="U52" s="3"/>
      <c r="V52" s="9" t="n">
        <v>5.036</v>
      </c>
    </row>
    <row r="53" customFormat="false" ht="15" hidden="false" customHeight="true" outlineLevel="0" collapsed="false">
      <c r="A53" s="3" t="n">
        <v>52</v>
      </c>
      <c r="B53" s="3" t="n">
        <v>2</v>
      </c>
      <c r="C53" s="3" t="s">
        <v>237</v>
      </c>
      <c r="D53" s="3" t="s">
        <v>238</v>
      </c>
      <c r="E53" s="3" t="s">
        <v>239</v>
      </c>
      <c r="F53" s="3" t="s">
        <v>240</v>
      </c>
      <c r="G53" s="3" t="s">
        <v>116</v>
      </c>
      <c r="H53" s="3" t="n">
        <v>2</v>
      </c>
      <c r="I53" s="3" t="n">
        <v>97</v>
      </c>
      <c r="J53" s="3" t="s">
        <v>241</v>
      </c>
      <c r="K53" s="8" t="n">
        <v>1302500</v>
      </c>
      <c r="L53" s="8" t="n">
        <v>15000</v>
      </c>
      <c r="M53" s="8" t="n">
        <v>98812.5</v>
      </c>
      <c r="N53" s="8" t="n">
        <v>1416312.5</v>
      </c>
      <c r="O53" s="3" t="s">
        <v>171</v>
      </c>
      <c r="P53" s="3" t="s">
        <v>84</v>
      </c>
      <c r="Q53" s="3" t="s">
        <v>85</v>
      </c>
      <c r="R53" s="3" t="str">
        <f aca="false">IF(Q53="pass","No","Yes")</f>
        <v>Yes</v>
      </c>
      <c r="S53" s="3" t="s">
        <v>86</v>
      </c>
      <c r="T53" s="3" t="s">
        <v>209</v>
      </c>
      <c r="U53" s="3" t="s">
        <v>242</v>
      </c>
      <c r="V53" s="9" t="n">
        <v>4.398</v>
      </c>
    </row>
    <row r="54" customFormat="false" ht="15" hidden="false" customHeight="true" outlineLevel="0" collapsed="false">
      <c r="A54" s="3" t="n">
        <v>53</v>
      </c>
      <c r="B54" s="3" t="n">
        <v>2</v>
      </c>
      <c r="C54" s="3" t="s">
        <v>89</v>
      </c>
      <c r="D54" s="3" t="s">
        <v>90</v>
      </c>
      <c r="E54" s="3" t="s">
        <v>91</v>
      </c>
      <c r="F54" s="3" t="s">
        <v>92</v>
      </c>
      <c r="G54" s="3" t="s">
        <v>67</v>
      </c>
      <c r="H54" s="3" t="n">
        <v>1</v>
      </c>
      <c r="I54" s="3" t="n">
        <v>46</v>
      </c>
      <c r="J54" s="3" t="s">
        <v>243</v>
      </c>
      <c r="K54" s="8" t="n">
        <v>395600</v>
      </c>
      <c r="L54" s="8" t="n">
        <v>4500</v>
      </c>
      <c r="M54" s="8" t="n">
        <v>30007.5</v>
      </c>
      <c r="N54" s="8" t="n">
        <v>430107.5</v>
      </c>
      <c r="O54" s="3" t="s">
        <v>57</v>
      </c>
      <c r="P54" s="3" t="s">
        <v>58</v>
      </c>
      <c r="Q54" s="3" t="s">
        <v>69</v>
      </c>
      <c r="R54" s="3" t="str">
        <f aca="false">IF(Q54="pass","No","Yes")</f>
        <v>No</v>
      </c>
      <c r="S54" s="3" t="s">
        <v>60</v>
      </c>
      <c r="T54" s="3"/>
      <c r="U54" s="3"/>
      <c r="V54" s="9" t="n">
        <v>3.888</v>
      </c>
    </row>
    <row r="55" customFormat="false" ht="15" hidden="false" customHeight="true" outlineLevel="0" collapsed="false">
      <c r="A55" s="3" t="n">
        <v>54</v>
      </c>
      <c r="B55" s="3" t="n">
        <v>2</v>
      </c>
      <c r="C55" s="3" t="s">
        <v>127</v>
      </c>
      <c r="D55" s="3" t="s">
        <v>128</v>
      </c>
      <c r="E55" s="3" t="s">
        <v>129</v>
      </c>
      <c r="F55" s="3" t="s">
        <v>130</v>
      </c>
      <c r="G55" s="3" t="s">
        <v>55</v>
      </c>
      <c r="H55" s="3" t="n">
        <v>2</v>
      </c>
      <c r="I55" s="3" t="n">
        <v>99</v>
      </c>
      <c r="J55" s="3" t="s">
        <v>244</v>
      </c>
      <c r="K55" s="8" t="n">
        <v>1129500</v>
      </c>
      <c r="L55" s="8" t="n">
        <v>6000</v>
      </c>
      <c r="M55" s="8" t="n">
        <v>85162.5</v>
      </c>
      <c r="N55" s="8" t="n">
        <v>1220662.5</v>
      </c>
      <c r="O55" s="3" t="s">
        <v>118</v>
      </c>
      <c r="P55" s="3" t="s">
        <v>58</v>
      </c>
      <c r="Q55" s="3" t="s">
        <v>69</v>
      </c>
      <c r="R55" s="3" t="str">
        <f aca="false">IF(Q55="pass","No","Yes")</f>
        <v>No</v>
      </c>
      <c r="S55" s="3" t="s">
        <v>60</v>
      </c>
      <c r="T55" s="3"/>
      <c r="U55" s="3"/>
      <c r="V55" s="9" t="n">
        <v>10.213</v>
      </c>
    </row>
    <row r="56" customFormat="false" ht="15" hidden="false" customHeight="true" outlineLevel="0" collapsed="false">
      <c r="A56" s="3" t="n">
        <v>55</v>
      </c>
      <c r="B56" s="3" t="n">
        <v>2</v>
      </c>
      <c r="C56" s="3" t="s">
        <v>213</v>
      </c>
      <c r="D56" s="3" t="s">
        <v>214</v>
      </c>
      <c r="E56" s="3" t="s">
        <v>215</v>
      </c>
      <c r="F56" s="3" t="s">
        <v>216</v>
      </c>
      <c r="G56" s="3" t="s">
        <v>67</v>
      </c>
      <c r="H56" s="3" t="n">
        <v>3</v>
      </c>
      <c r="I56" s="3" t="n">
        <v>71</v>
      </c>
      <c r="J56" s="3" t="s">
        <v>245</v>
      </c>
      <c r="K56" s="8" t="n">
        <v>659200</v>
      </c>
      <c r="L56" s="8" t="n">
        <v>4500</v>
      </c>
      <c r="M56" s="8" t="n">
        <v>49777.5</v>
      </c>
      <c r="N56" s="8" t="n">
        <v>713477.5</v>
      </c>
      <c r="O56" s="3" t="s">
        <v>57</v>
      </c>
      <c r="P56" s="3" t="s">
        <v>58</v>
      </c>
      <c r="Q56" s="3" t="s">
        <v>69</v>
      </c>
      <c r="R56" s="3" t="str">
        <f aca="false">IF(Q56="pass","No","Yes")</f>
        <v>No</v>
      </c>
      <c r="S56" s="3" t="s">
        <v>60</v>
      </c>
      <c r="T56" s="3"/>
      <c r="U56" s="3"/>
      <c r="V56" s="9" t="n">
        <v>10.138</v>
      </c>
    </row>
    <row r="57" customFormat="false" ht="15" hidden="false" customHeight="true" outlineLevel="0" collapsed="false">
      <c r="A57" s="3" t="n">
        <v>56</v>
      </c>
      <c r="B57" s="3" t="n">
        <v>2</v>
      </c>
      <c r="C57" s="3" t="s">
        <v>100</v>
      </c>
      <c r="D57" s="3" t="s">
        <v>101</v>
      </c>
      <c r="E57" s="3" t="s">
        <v>102</v>
      </c>
      <c r="F57" s="3" t="s">
        <v>103</v>
      </c>
      <c r="G57" s="3" t="s">
        <v>67</v>
      </c>
      <c r="H57" s="3" t="n">
        <v>2</v>
      </c>
      <c r="I57" s="3" t="n">
        <v>130</v>
      </c>
      <c r="J57" s="3" t="s">
        <v>246</v>
      </c>
      <c r="K57" s="8" t="n">
        <v>1113800</v>
      </c>
      <c r="L57" s="8" t="n">
        <v>4500</v>
      </c>
      <c r="M57" s="8" t="n">
        <v>83872.5</v>
      </c>
      <c r="N57" s="8" t="n">
        <v>1202172.5</v>
      </c>
      <c r="O57" s="3" t="s">
        <v>132</v>
      </c>
      <c r="P57" s="3" t="s">
        <v>84</v>
      </c>
      <c r="Q57" s="3" t="s">
        <v>85</v>
      </c>
      <c r="R57" s="3" t="str">
        <f aca="false">IF(Q57="pass","No","Yes")</f>
        <v>Yes</v>
      </c>
      <c r="S57" s="3" t="s">
        <v>86</v>
      </c>
      <c r="T57" s="3" t="s">
        <v>247</v>
      </c>
      <c r="U57" s="3" t="s">
        <v>248</v>
      </c>
      <c r="V57" s="9" t="n">
        <v>8.533</v>
      </c>
    </row>
    <row r="58" customFormat="false" ht="15" hidden="false" customHeight="true" outlineLevel="0" collapsed="false">
      <c r="A58" s="3" t="n">
        <v>57</v>
      </c>
      <c r="B58" s="3" t="n">
        <v>2</v>
      </c>
      <c r="C58" s="3" t="s">
        <v>154</v>
      </c>
      <c r="D58" s="3" t="s">
        <v>155</v>
      </c>
      <c r="E58" s="3" t="s">
        <v>156</v>
      </c>
      <c r="F58" s="3" t="s">
        <v>157</v>
      </c>
      <c r="G58" s="3" t="s">
        <v>123</v>
      </c>
      <c r="H58" s="3" t="n">
        <v>3</v>
      </c>
      <c r="I58" s="3" t="n">
        <v>127</v>
      </c>
      <c r="J58" s="3" t="s">
        <v>249</v>
      </c>
      <c r="K58" s="8" t="n">
        <v>1613600</v>
      </c>
      <c r="L58" s="8" t="n">
        <v>5000</v>
      </c>
      <c r="M58" s="8" t="n">
        <v>121395</v>
      </c>
      <c r="N58" s="8" t="n">
        <v>1739995</v>
      </c>
      <c r="O58" s="3" t="s">
        <v>57</v>
      </c>
      <c r="P58" s="3" t="s">
        <v>58</v>
      </c>
      <c r="Q58" s="3" t="s">
        <v>69</v>
      </c>
      <c r="R58" s="3" t="str">
        <f aca="false">IF(Q58="pass","No","Yes")</f>
        <v>No</v>
      </c>
      <c r="S58" s="3" t="s">
        <v>60</v>
      </c>
      <c r="T58" s="3"/>
      <c r="U58" s="3"/>
      <c r="V58" s="9" t="n">
        <v>10.439</v>
      </c>
    </row>
    <row r="59" customFormat="false" ht="15" hidden="false" customHeight="true" outlineLevel="0" collapsed="false">
      <c r="A59" s="3" t="n">
        <v>58</v>
      </c>
      <c r="B59" s="3" t="n">
        <v>2</v>
      </c>
      <c r="C59" s="3" t="s">
        <v>127</v>
      </c>
      <c r="D59" s="3" t="s">
        <v>128</v>
      </c>
      <c r="E59" s="3" t="s">
        <v>129</v>
      </c>
      <c r="F59" s="3" t="s">
        <v>130</v>
      </c>
      <c r="G59" s="3" t="s">
        <v>55</v>
      </c>
      <c r="H59" s="3" t="n">
        <v>2</v>
      </c>
      <c r="I59" s="3" t="n">
        <v>3</v>
      </c>
      <c r="J59" s="3" t="s">
        <v>250</v>
      </c>
      <c r="K59" s="8" t="n">
        <v>193200</v>
      </c>
      <c r="L59" s="8" t="n">
        <v>6000</v>
      </c>
      <c r="M59" s="8" t="n">
        <v>14940</v>
      </c>
      <c r="N59" s="8" t="n">
        <v>214140</v>
      </c>
      <c r="O59" s="3" t="s">
        <v>132</v>
      </c>
      <c r="P59" s="3" t="s">
        <v>84</v>
      </c>
      <c r="Q59" s="3" t="s">
        <v>85</v>
      </c>
      <c r="R59" s="3" t="str">
        <f aca="false">IF(Q59="pass","No","Yes")</f>
        <v>Yes</v>
      </c>
      <c r="S59" s="3" t="s">
        <v>86</v>
      </c>
      <c r="T59" s="3" t="s">
        <v>133</v>
      </c>
      <c r="U59" s="3" t="s">
        <v>134</v>
      </c>
      <c r="V59" s="9" t="n">
        <v>4.399</v>
      </c>
    </row>
    <row r="60" customFormat="false" ht="15" hidden="false" customHeight="true" outlineLevel="0" collapsed="false">
      <c r="A60" s="3" t="n">
        <v>59</v>
      </c>
      <c r="B60" s="3" t="n">
        <v>2</v>
      </c>
      <c r="C60" s="3" t="s">
        <v>213</v>
      </c>
      <c r="D60" s="3" t="s">
        <v>214</v>
      </c>
      <c r="E60" s="3" t="s">
        <v>215</v>
      </c>
      <c r="F60" s="3" t="s">
        <v>216</v>
      </c>
      <c r="G60" s="3" t="s">
        <v>67</v>
      </c>
      <c r="H60" s="3" t="n">
        <v>3</v>
      </c>
      <c r="I60" s="3" t="n">
        <v>23</v>
      </c>
      <c r="J60" s="3" t="s">
        <v>251</v>
      </c>
      <c r="K60" s="8" t="n">
        <v>729500</v>
      </c>
      <c r="L60" s="8" t="n">
        <v>4500</v>
      </c>
      <c r="M60" s="8" t="n">
        <v>55050</v>
      </c>
      <c r="N60" s="8" t="n">
        <v>789050</v>
      </c>
      <c r="O60" s="3" t="s">
        <v>83</v>
      </c>
      <c r="P60" s="3" t="s">
        <v>84</v>
      </c>
      <c r="Q60" s="3" t="s">
        <v>85</v>
      </c>
      <c r="R60" s="3" t="str">
        <f aca="false">IF(Q60="pass","No","Yes")</f>
        <v>Yes</v>
      </c>
      <c r="S60" s="3" t="s">
        <v>86</v>
      </c>
      <c r="T60" s="3" t="s">
        <v>87</v>
      </c>
      <c r="U60" s="3" t="s">
        <v>88</v>
      </c>
      <c r="V60" s="9" t="n">
        <v>9.759</v>
      </c>
    </row>
    <row r="61" customFormat="false" ht="15" hidden="false" customHeight="true" outlineLevel="0" collapsed="false">
      <c r="A61" s="3" t="n">
        <v>60</v>
      </c>
      <c r="B61" s="3" t="n">
        <v>2</v>
      </c>
      <c r="C61" s="3" t="s">
        <v>154</v>
      </c>
      <c r="D61" s="3" t="s">
        <v>155</v>
      </c>
      <c r="E61" s="3" t="s">
        <v>156</v>
      </c>
      <c r="F61" s="3" t="s">
        <v>157</v>
      </c>
      <c r="G61" s="3" t="s">
        <v>123</v>
      </c>
      <c r="H61" s="3" t="n">
        <v>1</v>
      </c>
      <c r="I61" s="3" t="n">
        <v>54</v>
      </c>
      <c r="J61" s="3" t="s">
        <v>252</v>
      </c>
      <c r="K61" s="8" t="n">
        <v>637200</v>
      </c>
      <c r="L61" s="8" t="n">
        <v>5000</v>
      </c>
      <c r="M61" s="8" t="n">
        <v>48165</v>
      </c>
      <c r="N61" s="8" t="n">
        <v>690365</v>
      </c>
      <c r="O61" s="3" t="s">
        <v>94</v>
      </c>
      <c r="P61" s="3" t="s">
        <v>84</v>
      </c>
      <c r="Q61" s="3" t="s">
        <v>85</v>
      </c>
      <c r="R61" s="3" t="str">
        <f aca="false">IF(Q61="pass","No","Yes")</f>
        <v>Yes</v>
      </c>
      <c r="S61" s="3" t="s">
        <v>86</v>
      </c>
      <c r="T61" s="3" t="s">
        <v>253</v>
      </c>
      <c r="U61" s="3" t="s">
        <v>254</v>
      </c>
      <c r="V61" s="9" t="n">
        <v>3.39</v>
      </c>
    </row>
    <row r="62" customFormat="false" ht="15" hidden="false" customHeight="true" outlineLevel="0" collapsed="false">
      <c r="A62" s="3" t="n">
        <v>61</v>
      </c>
      <c r="B62" s="3" t="n">
        <v>2</v>
      </c>
      <c r="C62" s="3" t="s">
        <v>51</v>
      </c>
      <c r="D62" s="3" t="s">
        <v>52</v>
      </c>
      <c r="E62" s="3" t="s">
        <v>53</v>
      </c>
      <c r="F62" s="3" t="s">
        <v>54</v>
      </c>
      <c r="G62" s="3" t="s">
        <v>55</v>
      </c>
      <c r="H62" s="3" t="n">
        <v>1</v>
      </c>
      <c r="I62" s="3" t="n">
        <v>2</v>
      </c>
      <c r="J62" s="3" t="s">
        <v>255</v>
      </c>
      <c r="K62" s="8" t="n">
        <v>8200</v>
      </c>
      <c r="L62" s="8" t="n">
        <v>6000</v>
      </c>
      <c r="M62" s="8" t="n">
        <v>1065</v>
      </c>
      <c r="N62" s="8" t="n">
        <v>15265</v>
      </c>
      <c r="O62" s="3" t="s">
        <v>57</v>
      </c>
      <c r="P62" s="3" t="s">
        <v>58</v>
      </c>
      <c r="Q62" s="3" t="s">
        <v>69</v>
      </c>
      <c r="R62" s="3" t="str">
        <f aca="false">IF(Q62="pass","No","Yes")</f>
        <v>No</v>
      </c>
      <c r="S62" s="3" t="s">
        <v>60</v>
      </c>
      <c r="T62" s="3"/>
      <c r="U62" s="3"/>
      <c r="V62" s="9" t="n">
        <v>4.274</v>
      </c>
    </row>
    <row r="63" customFormat="false" ht="15" hidden="false" customHeight="true" outlineLevel="0" collapsed="false">
      <c r="A63" s="3" t="n">
        <v>62</v>
      </c>
      <c r="B63" s="3" t="n">
        <v>2</v>
      </c>
      <c r="C63" s="3" t="s">
        <v>186</v>
      </c>
      <c r="D63" s="3" t="s">
        <v>187</v>
      </c>
      <c r="E63" s="3" t="s">
        <v>188</v>
      </c>
      <c r="F63" s="3" t="s">
        <v>189</v>
      </c>
      <c r="G63" s="3" t="s">
        <v>123</v>
      </c>
      <c r="H63" s="3" t="n">
        <v>1</v>
      </c>
      <c r="I63" s="3" t="n">
        <v>60</v>
      </c>
      <c r="J63" s="3" t="s">
        <v>185</v>
      </c>
      <c r="K63" s="8" t="n">
        <v>516000</v>
      </c>
      <c r="L63" s="8" t="n">
        <v>5000</v>
      </c>
      <c r="M63" s="8" t="n">
        <v>39075</v>
      </c>
      <c r="N63" s="8" t="n">
        <v>560075</v>
      </c>
      <c r="O63" s="3" t="s">
        <v>57</v>
      </c>
      <c r="P63" s="3" t="s">
        <v>58</v>
      </c>
      <c r="Q63" s="3" t="s">
        <v>69</v>
      </c>
      <c r="R63" s="3" t="str">
        <f aca="false">IF(Q63="pass","No","Yes")</f>
        <v>No</v>
      </c>
      <c r="S63" s="3" t="s">
        <v>60</v>
      </c>
      <c r="T63" s="3"/>
      <c r="U63" s="3"/>
      <c r="V63" s="9" t="n">
        <v>4.146</v>
      </c>
    </row>
    <row r="64" customFormat="false" ht="15" hidden="false" customHeight="true" outlineLevel="0" collapsed="false">
      <c r="A64" s="3" t="n">
        <v>63</v>
      </c>
      <c r="B64" s="3" t="n">
        <v>2</v>
      </c>
      <c r="C64" s="3" t="s">
        <v>237</v>
      </c>
      <c r="D64" s="3" t="s">
        <v>238</v>
      </c>
      <c r="E64" s="3" t="s">
        <v>239</v>
      </c>
      <c r="F64" s="3" t="s">
        <v>240</v>
      </c>
      <c r="G64" s="3" t="s">
        <v>116</v>
      </c>
      <c r="H64" s="3" t="n">
        <v>1</v>
      </c>
      <c r="I64" s="3" t="n">
        <v>211</v>
      </c>
      <c r="J64" s="3" t="s">
        <v>256</v>
      </c>
      <c r="K64" s="8" t="n">
        <v>2004500</v>
      </c>
      <c r="L64" s="8" t="n">
        <v>15000</v>
      </c>
      <c r="M64" s="8" t="n">
        <v>151462.5</v>
      </c>
      <c r="N64" s="8" t="n">
        <v>2170962.5</v>
      </c>
      <c r="O64" s="3" t="s">
        <v>110</v>
      </c>
      <c r="P64" s="3" t="s">
        <v>58</v>
      </c>
      <c r="Q64" s="3" t="s">
        <v>59</v>
      </c>
      <c r="R64" s="3" t="str">
        <f aca="false">IF(Q64="pass","No","Yes")</f>
        <v>Yes</v>
      </c>
      <c r="S64" s="3" t="s">
        <v>60</v>
      </c>
      <c r="T64" s="3" t="s">
        <v>61</v>
      </c>
      <c r="U64" s="3" t="s">
        <v>257</v>
      </c>
      <c r="V64" s="9" t="n">
        <v>12.886</v>
      </c>
    </row>
    <row r="65" customFormat="false" ht="15" hidden="false" customHeight="true" outlineLevel="0" collapsed="false">
      <c r="A65" s="3" t="n">
        <v>64</v>
      </c>
      <c r="B65" s="3" t="n">
        <v>2</v>
      </c>
      <c r="C65" s="3" t="s">
        <v>186</v>
      </c>
      <c r="D65" s="3" t="s">
        <v>187</v>
      </c>
      <c r="E65" s="3" t="s">
        <v>188</v>
      </c>
      <c r="F65" s="3" t="s">
        <v>189</v>
      </c>
      <c r="G65" s="3" t="s">
        <v>123</v>
      </c>
      <c r="H65" s="3" t="n">
        <v>1</v>
      </c>
      <c r="I65" s="3" t="n">
        <v>60</v>
      </c>
      <c r="J65" s="3" t="s">
        <v>185</v>
      </c>
      <c r="K65" s="8" t="n">
        <v>516000</v>
      </c>
      <c r="L65" s="8" t="n">
        <v>5000</v>
      </c>
      <c r="M65" s="8" t="n">
        <v>39075</v>
      </c>
      <c r="N65" s="8" t="n">
        <v>560075</v>
      </c>
      <c r="O65" s="3" t="s">
        <v>97</v>
      </c>
      <c r="P65" s="3" t="s">
        <v>84</v>
      </c>
      <c r="Q65" s="3" t="s">
        <v>59</v>
      </c>
      <c r="R65" s="3" t="str">
        <f aca="false">IF(Q65="pass","No","Yes")</f>
        <v>Yes</v>
      </c>
      <c r="S65" s="3" t="s">
        <v>98</v>
      </c>
      <c r="T65" s="3" t="s">
        <v>97</v>
      </c>
      <c r="U65" s="3" t="s">
        <v>258</v>
      </c>
      <c r="V65" s="9" t="n">
        <v>2.622</v>
      </c>
    </row>
    <row r="66" customFormat="false" ht="15" hidden="false" customHeight="true" outlineLevel="0" collapsed="false">
      <c r="A66" s="3" t="n">
        <v>65</v>
      </c>
      <c r="B66" s="3" t="n">
        <v>2</v>
      </c>
      <c r="C66" s="3" t="s">
        <v>127</v>
      </c>
      <c r="D66" s="3" t="s">
        <v>128</v>
      </c>
      <c r="E66" s="3" t="s">
        <v>129</v>
      </c>
      <c r="F66" s="3" t="s">
        <v>130</v>
      </c>
      <c r="G66" s="3" t="s">
        <v>55</v>
      </c>
      <c r="H66" s="3" t="n">
        <v>3</v>
      </c>
      <c r="I66" s="3" t="n">
        <v>120</v>
      </c>
      <c r="J66" s="3" t="s">
        <v>259</v>
      </c>
      <c r="K66" s="8" t="n">
        <v>1622300</v>
      </c>
      <c r="L66" s="8" t="n">
        <v>6000</v>
      </c>
      <c r="M66" s="8" t="n">
        <v>122122.5</v>
      </c>
      <c r="N66" s="8" t="n">
        <v>1750422.5</v>
      </c>
      <c r="O66" s="3" t="s">
        <v>57</v>
      </c>
      <c r="P66" s="3" t="s">
        <v>58</v>
      </c>
      <c r="Q66" s="3" t="s">
        <v>69</v>
      </c>
      <c r="R66" s="3" t="str">
        <f aca="false">IF(Q66="pass","No","Yes")</f>
        <v>No</v>
      </c>
      <c r="S66" s="3" t="s">
        <v>60</v>
      </c>
      <c r="T66" s="3"/>
      <c r="U66" s="3"/>
      <c r="V66" s="9" t="n">
        <v>6.034</v>
      </c>
    </row>
    <row r="67" customFormat="false" ht="15" hidden="false" customHeight="true" outlineLevel="0" collapsed="false">
      <c r="A67" s="3" t="n">
        <v>66</v>
      </c>
      <c r="B67" s="3" t="n">
        <v>2</v>
      </c>
      <c r="C67" s="3" t="s">
        <v>186</v>
      </c>
      <c r="D67" s="3" t="s">
        <v>187</v>
      </c>
      <c r="E67" s="3" t="s">
        <v>188</v>
      </c>
      <c r="F67" s="3" t="s">
        <v>189</v>
      </c>
      <c r="G67" s="3" t="s">
        <v>123</v>
      </c>
      <c r="H67" s="3" t="n">
        <v>1</v>
      </c>
      <c r="I67" s="3" t="n">
        <v>3</v>
      </c>
      <c r="J67" s="3" t="s">
        <v>260</v>
      </c>
      <c r="K67" s="8" t="n">
        <v>114000</v>
      </c>
      <c r="L67" s="8" t="n">
        <v>5000</v>
      </c>
      <c r="M67" s="8" t="n">
        <v>8925</v>
      </c>
      <c r="N67" s="8" t="n">
        <v>127925</v>
      </c>
      <c r="O67" s="3" t="s">
        <v>57</v>
      </c>
      <c r="P67" s="3" t="s">
        <v>58</v>
      </c>
      <c r="Q67" s="3" t="s">
        <v>69</v>
      </c>
      <c r="R67" s="3" t="str">
        <f aca="false">IF(Q67="pass","No","Yes")</f>
        <v>No</v>
      </c>
      <c r="S67" s="3" t="s">
        <v>60</v>
      </c>
      <c r="T67" s="3"/>
      <c r="U67" s="3"/>
      <c r="V67" s="9" t="n">
        <v>3.887</v>
      </c>
    </row>
    <row r="68" customFormat="false" ht="15" hidden="false" customHeight="true" outlineLevel="0" collapsed="false">
      <c r="A68" s="3" t="n">
        <v>67</v>
      </c>
      <c r="B68" s="3" t="n">
        <v>2</v>
      </c>
      <c r="C68" s="3" t="s">
        <v>186</v>
      </c>
      <c r="D68" s="3" t="s">
        <v>187</v>
      </c>
      <c r="E68" s="3" t="s">
        <v>188</v>
      </c>
      <c r="F68" s="3" t="s">
        <v>189</v>
      </c>
      <c r="G68" s="3" t="s">
        <v>123</v>
      </c>
      <c r="H68" s="3" t="n">
        <v>3</v>
      </c>
      <c r="I68" s="3" t="n">
        <v>18</v>
      </c>
      <c r="J68" s="3" t="s">
        <v>261</v>
      </c>
      <c r="K68" s="8" t="n">
        <v>553000</v>
      </c>
      <c r="L68" s="8" t="n">
        <v>5000</v>
      </c>
      <c r="M68" s="8" t="n">
        <v>41850</v>
      </c>
      <c r="N68" s="8" t="n">
        <v>599850</v>
      </c>
      <c r="O68" s="3" t="s">
        <v>152</v>
      </c>
      <c r="P68" s="3" t="s">
        <v>84</v>
      </c>
      <c r="Q68" s="3" t="s">
        <v>85</v>
      </c>
      <c r="R68" s="3" t="str">
        <f aca="false">IF(Q68="pass","No","Yes")</f>
        <v>Yes</v>
      </c>
      <c r="S68" s="3" t="s">
        <v>86</v>
      </c>
      <c r="T68" s="3" t="s">
        <v>87</v>
      </c>
      <c r="U68" s="3" t="s">
        <v>262</v>
      </c>
      <c r="V68" s="9" t="n">
        <v>5.128</v>
      </c>
    </row>
    <row r="69" customFormat="false" ht="15" hidden="false" customHeight="true" outlineLevel="0" collapsed="false">
      <c r="A69" s="3" t="n">
        <v>68</v>
      </c>
      <c r="B69" s="3" t="n">
        <v>2</v>
      </c>
      <c r="C69" s="3" t="s">
        <v>105</v>
      </c>
      <c r="D69" s="3" t="s">
        <v>106</v>
      </c>
      <c r="E69" s="3" t="s">
        <v>107</v>
      </c>
      <c r="F69" s="3" t="s">
        <v>108</v>
      </c>
      <c r="G69" s="3" t="s">
        <v>81</v>
      </c>
      <c r="H69" s="3" t="n">
        <v>1</v>
      </c>
      <c r="I69" s="3" t="n">
        <v>2</v>
      </c>
      <c r="J69" s="3" t="s">
        <v>263</v>
      </c>
      <c r="K69" s="8" t="n">
        <v>76000</v>
      </c>
      <c r="L69" s="8" t="n">
        <v>4000</v>
      </c>
      <c r="M69" s="8" t="n">
        <v>6000</v>
      </c>
      <c r="N69" s="8" t="n">
        <v>86000</v>
      </c>
      <c r="O69" s="3" t="s">
        <v>57</v>
      </c>
      <c r="P69" s="3" t="s">
        <v>58</v>
      </c>
      <c r="Q69" s="3" t="s">
        <v>69</v>
      </c>
      <c r="R69" s="3" t="str">
        <f aca="false">IF(Q69="pass","No","Yes")</f>
        <v>No</v>
      </c>
      <c r="S69" s="3" t="s">
        <v>60</v>
      </c>
      <c r="T69" s="3"/>
      <c r="U69" s="3"/>
      <c r="V69" s="9" t="n">
        <v>4.226</v>
      </c>
    </row>
    <row r="70" customFormat="false" ht="15" hidden="false" customHeight="true" outlineLevel="0" collapsed="false">
      <c r="A70" s="3" t="n">
        <v>69</v>
      </c>
      <c r="B70" s="3" t="n">
        <v>2</v>
      </c>
      <c r="C70" s="3" t="s">
        <v>166</v>
      </c>
      <c r="D70" s="3" t="s">
        <v>167</v>
      </c>
      <c r="E70" s="3" t="s">
        <v>168</v>
      </c>
      <c r="F70" s="3" t="s">
        <v>169</v>
      </c>
      <c r="G70" s="3" t="s">
        <v>74</v>
      </c>
      <c r="H70" s="3" t="n">
        <v>1</v>
      </c>
      <c r="I70" s="3" t="n">
        <v>33</v>
      </c>
      <c r="J70" s="3" t="s">
        <v>163</v>
      </c>
      <c r="K70" s="8" t="n">
        <v>389400</v>
      </c>
      <c r="L70" s="8" t="n">
        <v>9000</v>
      </c>
      <c r="M70" s="8" t="n">
        <v>29880</v>
      </c>
      <c r="N70" s="8" t="n">
        <v>428280</v>
      </c>
      <c r="O70" s="3" t="s">
        <v>152</v>
      </c>
      <c r="P70" s="3" t="s">
        <v>84</v>
      </c>
      <c r="Q70" s="3" t="s">
        <v>85</v>
      </c>
      <c r="R70" s="3" t="str">
        <f aca="false">IF(Q70="pass","No","Yes")</f>
        <v>Yes</v>
      </c>
      <c r="S70" s="3" t="s">
        <v>86</v>
      </c>
      <c r="T70" s="3" t="s">
        <v>87</v>
      </c>
      <c r="U70" s="3" t="s">
        <v>264</v>
      </c>
      <c r="V70" s="9" t="n">
        <v>3.61</v>
      </c>
    </row>
    <row r="71" customFormat="false" ht="15" hidden="false" customHeight="true" outlineLevel="0" collapsed="false">
      <c r="A71" s="3" t="n">
        <v>70</v>
      </c>
      <c r="B71" s="3" t="n">
        <v>2</v>
      </c>
      <c r="C71" s="3" t="s">
        <v>237</v>
      </c>
      <c r="D71" s="3" t="s">
        <v>238</v>
      </c>
      <c r="E71" s="3" t="s">
        <v>239</v>
      </c>
      <c r="F71" s="3" t="s">
        <v>240</v>
      </c>
      <c r="G71" s="3" t="s">
        <v>116</v>
      </c>
      <c r="H71" s="3" t="n">
        <v>1</v>
      </c>
      <c r="I71" s="3" t="n">
        <v>55</v>
      </c>
      <c r="J71" s="3" t="s">
        <v>265</v>
      </c>
      <c r="K71" s="8" t="n">
        <v>649000</v>
      </c>
      <c r="L71" s="8" t="n">
        <v>15000</v>
      </c>
      <c r="M71" s="8" t="n">
        <v>49800</v>
      </c>
      <c r="N71" s="8" t="n">
        <v>713800</v>
      </c>
      <c r="O71" s="3" t="s">
        <v>57</v>
      </c>
      <c r="P71" s="3" t="s">
        <v>58</v>
      </c>
      <c r="Q71" s="3" t="s">
        <v>69</v>
      </c>
      <c r="R71" s="3" t="str">
        <f aca="false">IF(Q71="pass","No","Yes")</f>
        <v>No</v>
      </c>
      <c r="S71" s="3" t="s">
        <v>60</v>
      </c>
      <c r="T71" s="3"/>
      <c r="U71" s="3"/>
      <c r="V71" s="9" t="n">
        <v>4.355</v>
      </c>
    </row>
    <row r="72" customFormat="false" ht="15" hidden="false" customHeight="true" outlineLevel="0" collapsed="false">
      <c r="A72" s="3" t="n">
        <v>71</v>
      </c>
      <c r="B72" s="3" t="n">
        <v>2</v>
      </c>
      <c r="C72" s="3" t="s">
        <v>237</v>
      </c>
      <c r="D72" s="3" t="s">
        <v>238</v>
      </c>
      <c r="E72" s="3" t="s">
        <v>239</v>
      </c>
      <c r="F72" s="3" t="s">
        <v>240</v>
      </c>
      <c r="G72" s="3" t="s">
        <v>116</v>
      </c>
      <c r="H72" s="3" t="n">
        <v>3</v>
      </c>
      <c r="I72" s="3" t="n">
        <v>72</v>
      </c>
      <c r="J72" s="3" t="s">
        <v>266</v>
      </c>
      <c r="K72" s="8" t="n">
        <v>1281000</v>
      </c>
      <c r="L72" s="8" t="n">
        <v>15000</v>
      </c>
      <c r="M72" s="8" t="n">
        <v>97200</v>
      </c>
      <c r="N72" s="8" t="n">
        <v>1393200</v>
      </c>
      <c r="O72" s="3" t="s">
        <v>57</v>
      </c>
      <c r="P72" s="3" t="s">
        <v>58</v>
      </c>
      <c r="Q72" s="3" t="s">
        <v>69</v>
      </c>
      <c r="R72" s="3" t="str">
        <f aca="false">IF(Q72="pass","No","Yes")</f>
        <v>No</v>
      </c>
      <c r="S72" s="3" t="s">
        <v>60</v>
      </c>
      <c r="T72" s="3"/>
      <c r="U72" s="3"/>
      <c r="V72" s="9" t="n">
        <v>11.216</v>
      </c>
    </row>
    <row r="73" customFormat="false" ht="15" hidden="false" customHeight="true" outlineLevel="0" collapsed="false">
      <c r="A73" s="3" t="n">
        <v>72</v>
      </c>
      <c r="B73" s="3" t="n">
        <v>2</v>
      </c>
      <c r="C73" s="3" t="s">
        <v>100</v>
      </c>
      <c r="D73" s="3" t="s">
        <v>101</v>
      </c>
      <c r="E73" s="3" t="s">
        <v>102</v>
      </c>
      <c r="F73" s="3" t="s">
        <v>103</v>
      </c>
      <c r="G73" s="3" t="s">
        <v>67</v>
      </c>
      <c r="H73" s="3" t="n">
        <v>4</v>
      </c>
      <c r="I73" s="3" t="n">
        <v>44</v>
      </c>
      <c r="J73" s="3" t="s">
        <v>267</v>
      </c>
      <c r="K73" s="8" t="n">
        <v>1421500</v>
      </c>
      <c r="L73" s="8" t="n">
        <v>4500</v>
      </c>
      <c r="M73" s="8" t="n">
        <v>106950</v>
      </c>
      <c r="N73" s="8" t="n">
        <v>1532950</v>
      </c>
      <c r="O73" s="3" t="s">
        <v>83</v>
      </c>
      <c r="P73" s="3" t="s">
        <v>84</v>
      </c>
      <c r="Q73" s="3" t="s">
        <v>85</v>
      </c>
      <c r="R73" s="3" t="str">
        <f aca="false">IF(Q73="pass","No","Yes")</f>
        <v>Yes</v>
      </c>
      <c r="S73" s="3" t="s">
        <v>86</v>
      </c>
      <c r="T73" s="3" t="s">
        <v>87</v>
      </c>
      <c r="U73" s="3" t="s">
        <v>268</v>
      </c>
      <c r="V73" s="9" t="n">
        <v>6.874</v>
      </c>
    </row>
    <row r="74" customFormat="false" ht="15" hidden="false" customHeight="true" outlineLevel="0" collapsed="false">
      <c r="A74" s="3" t="n">
        <v>73</v>
      </c>
      <c r="B74" s="3" t="n">
        <v>2</v>
      </c>
      <c r="C74" s="3" t="s">
        <v>237</v>
      </c>
      <c r="D74" s="3" t="s">
        <v>238</v>
      </c>
      <c r="E74" s="3" t="s">
        <v>239</v>
      </c>
      <c r="F74" s="3" t="s">
        <v>240</v>
      </c>
      <c r="G74" s="3" t="s">
        <v>116</v>
      </c>
      <c r="H74" s="3" t="n">
        <v>3</v>
      </c>
      <c r="I74" s="3" t="n">
        <v>74</v>
      </c>
      <c r="J74" s="3" t="s">
        <v>269</v>
      </c>
      <c r="K74" s="8" t="n">
        <v>1259000</v>
      </c>
      <c r="L74" s="8" t="n">
        <v>15000</v>
      </c>
      <c r="M74" s="8" t="n">
        <v>95550</v>
      </c>
      <c r="N74" s="8" t="n">
        <v>1369550</v>
      </c>
      <c r="O74" s="3" t="s">
        <v>57</v>
      </c>
      <c r="P74" s="3" t="s">
        <v>58</v>
      </c>
      <c r="Q74" s="3" t="s">
        <v>69</v>
      </c>
      <c r="R74" s="3" t="str">
        <f aca="false">IF(Q74="pass","No","Yes")</f>
        <v>No</v>
      </c>
      <c r="S74" s="3" t="s">
        <v>60</v>
      </c>
      <c r="T74" s="3"/>
      <c r="U74" s="3"/>
      <c r="V74" s="9" t="n">
        <v>11.617</v>
      </c>
    </row>
    <row r="75" customFormat="false" ht="15" hidden="false" customHeight="true" outlineLevel="0" collapsed="false">
      <c r="A75" s="3" t="n">
        <v>74</v>
      </c>
      <c r="B75" s="3" t="n">
        <v>2</v>
      </c>
      <c r="C75" s="3" t="s">
        <v>89</v>
      </c>
      <c r="D75" s="3" t="s">
        <v>90</v>
      </c>
      <c r="E75" s="3" t="s">
        <v>91</v>
      </c>
      <c r="F75" s="3" t="s">
        <v>92</v>
      </c>
      <c r="G75" s="3" t="s">
        <v>67</v>
      </c>
      <c r="H75" s="3" t="n">
        <v>4</v>
      </c>
      <c r="I75" s="3" t="n">
        <v>917</v>
      </c>
      <c r="J75" s="3" t="s">
        <v>270</v>
      </c>
      <c r="K75" s="8" t="n">
        <v>13595800</v>
      </c>
      <c r="L75" s="8" t="n">
        <v>4500</v>
      </c>
      <c r="M75" s="8" t="n">
        <v>1020022.5</v>
      </c>
      <c r="N75" s="8" t="n">
        <v>14620322.5</v>
      </c>
      <c r="O75" s="3" t="s">
        <v>159</v>
      </c>
      <c r="P75" s="3" t="s">
        <v>84</v>
      </c>
      <c r="Q75" s="3" t="s">
        <v>85</v>
      </c>
      <c r="R75" s="3" t="str">
        <f aca="false">IF(Q75="pass","No","Yes")</f>
        <v>Yes</v>
      </c>
      <c r="S75" s="3" t="s">
        <v>86</v>
      </c>
      <c r="T75" s="3" t="s">
        <v>160</v>
      </c>
      <c r="U75" s="3" t="s">
        <v>161</v>
      </c>
      <c r="V75" s="9" t="n">
        <v>7.499</v>
      </c>
    </row>
    <row r="76" customFormat="false" ht="15" hidden="false" customHeight="true" outlineLevel="0" collapsed="false">
      <c r="A76" s="3" t="n">
        <v>75</v>
      </c>
      <c r="B76" s="3" t="n">
        <v>2</v>
      </c>
      <c r="C76" s="3" t="s">
        <v>77</v>
      </c>
      <c r="D76" s="3" t="s">
        <v>78</v>
      </c>
      <c r="E76" s="3" t="s">
        <v>79</v>
      </c>
      <c r="F76" s="3" t="s">
        <v>80</v>
      </c>
      <c r="G76" s="3" t="s">
        <v>81</v>
      </c>
      <c r="H76" s="3" t="n">
        <v>4</v>
      </c>
      <c r="I76" s="3" t="n">
        <v>91</v>
      </c>
      <c r="J76" s="3" t="s">
        <v>271</v>
      </c>
      <c r="K76" s="8" t="n">
        <v>1738500</v>
      </c>
      <c r="L76" s="8" t="n">
        <v>4000</v>
      </c>
      <c r="M76" s="8" t="n">
        <v>130687.5</v>
      </c>
      <c r="N76" s="8" t="n">
        <v>1873187.5</v>
      </c>
      <c r="O76" s="3" t="s">
        <v>272</v>
      </c>
      <c r="P76" s="3" t="s">
        <v>84</v>
      </c>
      <c r="Q76" s="3" t="s">
        <v>85</v>
      </c>
      <c r="R76" s="3" t="str">
        <f aca="false">IF(Q76="pass","No","Yes")</f>
        <v>Yes</v>
      </c>
      <c r="S76" s="3" t="s">
        <v>86</v>
      </c>
      <c r="T76" s="3" t="s">
        <v>273</v>
      </c>
      <c r="U76" s="3" t="s">
        <v>274</v>
      </c>
      <c r="V76" s="9" t="n">
        <v>6.048</v>
      </c>
    </row>
    <row r="77" customFormat="false" ht="15" hidden="false" customHeight="true" outlineLevel="0" collapsed="false">
      <c r="A77" s="3" t="n">
        <v>76</v>
      </c>
      <c r="B77" s="3" t="n">
        <v>2</v>
      </c>
      <c r="C77" s="3" t="s">
        <v>166</v>
      </c>
      <c r="D77" s="3" t="s">
        <v>167</v>
      </c>
      <c r="E77" s="3" t="s">
        <v>168</v>
      </c>
      <c r="F77" s="3" t="s">
        <v>169</v>
      </c>
      <c r="G77" s="3" t="s">
        <v>74</v>
      </c>
      <c r="H77" s="3" t="n">
        <v>2</v>
      </c>
      <c r="I77" s="3" t="n">
        <v>145</v>
      </c>
      <c r="J77" s="3" t="s">
        <v>275</v>
      </c>
      <c r="K77" s="8" t="n">
        <v>1105600</v>
      </c>
      <c r="L77" s="8" t="n">
        <v>9000</v>
      </c>
      <c r="M77" s="8" t="n">
        <v>83595</v>
      </c>
      <c r="N77" s="8" t="n">
        <v>1198195</v>
      </c>
      <c r="O77" s="3" t="s">
        <v>57</v>
      </c>
      <c r="P77" s="3" t="s">
        <v>58</v>
      </c>
      <c r="Q77" s="3" t="s">
        <v>59</v>
      </c>
      <c r="R77" s="3" t="str">
        <f aca="false">IF(Q77="pass","No","Yes")</f>
        <v>Yes</v>
      </c>
      <c r="S77" s="3" t="s">
        <v>60</v>
      </c>
      <c r="T77" s="3" t="s">
        <v>61</v>
      </c>
      <c r="U77" s="3" t="s">
        <v>276</v>
      </c>
      <c r="V77" s="9" t="n">
        <v>10.479</v>
      </c>
    </row>
    <row r="78" customFormat="false" ht="15" hidden="false" customHeight="true" outlineLevel="0" collapsed="false">
      <c r="A78" s="3" t="n">
        <v>77</v>
      </c>
      <c r="B78" s="3" t="n">
        <v>2</v>
      </c>
      <c r="C78" s="3" t="s">
        <v>105</v>
      </c>
      <c r="D78" s="3" t="s">
        <v>106</v>
      </c>
      <c r="E78" s="3" t="s">
        <v>107</v>
      </c>
      <c r="F78" s="3" t="s">
        <v>108</v>
      </c>
      <c r="G78" s="3" t="s">
        <v>81</v>
      </c>
      <c r="H78" s="3" t="n">
        <v>1</v>
      </c>
      <c r="I78" s="3" t="n">
        <v>2</v>
      </c>
      <c r="J78" s="3" t="s">
        <v>277</v>
      </c>
      <c r="K78" s="8" t="n">
        <v>62000</v>
      </c>
      <c r="L78" s="8" t="n">
        <v>4000</v>
      </c>
      <c r="M78" s="8" t="n">
        <v>4950</v>
      </c>
      <c r="N78" s="8" t="n">
        <v>70950</v>
      </c>
      <c r="O78" s="3" t="s">
        <v>57</v>
      </c>
      <c r="P78" s="3" t="s">
        <v>58</v>
      </c>
      <c r="Q78" s="3" t="s">
        <v>69</v>
      </c>
      <c r="R78" s="3" t="str">
        <f aca="false">IF(Q78="pass","No","Yes")</f>
        <v>No</v>
      </c>
      <c r="S78" s="3" t="s">
        <v>60</v>
      </c>
      <c r="T78" s="3"/>
      <c r="U78" s="3"/>
      <c r="V78" s="9" t="n">
        <v>4.637</v>
      </c>
    </row>
    <row r="79" customFormat="false" ht="15" hidden="false" customHeight="true" outlineLevel="0" collapsed="false">
      <c r="A79" s="3" t="n">
        <v>78</v>
      </c>
      <c r="B79" s="3" t="n">
        <v>2</v>
      </c>
      <c r="C79" s="3" t="s">
        <v>105</v>
      </c>
      <c r="D79" s="3" t="s">
        <v>106</v>
      </c>
      <c r="E79" s="3" t="s">
        <v>107</v>
      </c>
      <c r="F79" s="3" t="s">
        <v>108</v>
      </c>
      <c r="G79" s="3" t="s">
        <v>146</v>
      </c>
      <c r="H79" s="3" t="n">
        <v>1</v>
      </c>
      <c r="I79" s="3" t="n">
        <v>49</v>
      </c>
      <c r="J79" s="3" t="s">
        <v>278</v>
      </c>
      <c r="K79" s="8" t="n">
        <v>612500</v>
      </c>
      <c r="L79" s="8" t="n">
        <v>0</v>
      </c>
      <c r="M79" s="8" t="n">
        <v>45937.5</v>
      </c>
      <c r="N79" s="8" t="n">
        <v>658437.5</v>
      </c>
      <c r="O79" s="3" t="s">
        <v>148</v>
      </c>
      <c r="P79" s="3" t="s">
        <v>84</v>
      </c>
      <c r="Q79" s="3" t="s">
        <v>85</v>
      </c>
      <c r="R79" s="3" t="str">
        <f aca="false">IF(Q79="pass","No","Yes")</f>
        <v>Yes</v>
      </c>
      <c r="S79" s="3" t="s">
        <v>86</v>
      </c>
      <c r="T79" s="3" t="s">
        <v>149</v>
      </c>
      <c r="U79" s="3" t="s">
        <v>150</v>
      </c>
      <c r="V79" s="9" t="n">
        <v>4.471</v>
      </c>
    </row>
    <row r="80" customFormat="false" ht="15" hidden="false" customHeight="true" outlineLevel="0" collapsed="false">
      <c r="A80" s="3" t="n">
        <v>79</v>
      </c>
      <c r="B80" s="3" t="n">
        <v>2</v>
      </c>
      <c r="C80" s="3" t="s">
        <v>142</v>
      </c>
      <c r="D80" s="3" t="s">
        <v>143</v>
      </c>
      <c r="E80" s="3" t="s">
        <v>144</v>
      </c>
      <c r="F80" s="3" t="s">
        <v>145</v>
      </c>
      <c r="G80" s="3" t="s">
        <v>74</v>
      </c>
      <c r="H80" s="3" t="n">
        <v>2</v>
      </c>
      <c r="I80" s="3" t="n">
        <v>26</v>
      </c>
      <c r="J80" s="3" t="s">
        <v>279</v>
      </c>
      <c r="K80" s="8" t="n">
        <v>345200</v>
      </c>
      <c r="L80" s="8" t="n">
        <v>9000</v>
      </c>
      <c r="M80" s="8" t="n">
        <v>26565</v>
      </c>
      <c r="N80" s="8" t="n">
        <v>380765</v>
      </c>
      <c r="O80" s="3" t="s">
        <v>57</v>
      </c>
      <c r="P80" s="3" t="s">
        <v>58</v>
      </c>
      <c r="Q80" s="3" t="s">
        <v>69</v>
      </c>
      <c r="R80" s="3" t="str">
        <f aca="false">IF(Q80="pass","No","Yes")</f>
        <v>No</v>
      </c>
      <c r="S80" s="3" t="s">
        <v>60</v>
      </c>
      <c r="T80" s="3"/>
      <c r="U80" s="3"/>
      <c r="V80" s="9" t="n">
        <v>5.675</v>
      </c>
    </row>
    <row r="81" customFormat="false" ht="15" hidden="false" customHeight="true" outlineLevel="0" collapsed="false">
      <c r="A81" s="3" t="n">
        <v>80</v>
      </c>
      <c r="B81" s="3" t="n">
        <v>2</v>
      </c>
      <c r="C81" s="3" t="s">
        <v>100</v>
      </c>
      <c r="D81" s="3" t="s">
        <v>101</v>
      </c>
      <c r="E81" s="3" t="s">
        <v>102</v>
      </c>
      <c r="F81" s="3" t="s">
        <v>103</v>
      </c>
      <c r="G81" s="3" t="s">
        <v>67</v>
      </c>
      <c r="H81" s="3" t="n">
        <v>0</v>
      </c>
      <c r="I81" s="3" t="n">
        <v>0</v>
      </c>
      <c r="J81" s="3"/>
      <c r="K81" s="8" t="n">
        <v>0</v>
      </c>
      <c r="L81" s="8" t="n">
        <v>4500</v>
      </c>
      <c r="M81" s="8" t="n">
        <v>337.5</v>
      </c>
      <c r="N81" s="8" t="n">
        <v>4837.5</v>
      </c>
      <c r="O81" s="3" t="s">
        <v>76</v>
      </c>
      <c r="P81" s="3" t="s">
        <v>58</v>
      </c>
      <c r="Q81" s="3" t="s">
        <v>85</v>
      </c>
      <c r="R81" s="3" t="str">
        <f aca="false">IF(Q81="pass","No","Yes")</f>
        <v>Yes</v>
      </c>
      <c r="S81" s="3" t="s">
        <v>86</v>
      </c>
      <c r="T81" s="3" t="s">
        <v>87</v>
      </c>
      <c r="U81" s="3" t="s">
        <v>205</v>
      </c>
      <c r="V81" s="9" t="n">
        <v>2.73</v>
      </c>
    </row>
    <row r="82" customFormat="false" ht="15" hidden="false" customHeight="true" outlineLevel="0" collapsed="false">
      <c r="A82" s="3" t="n">
        <v>81</v>
      </c>
      <c r="B82" s="3" t="n">
        <v>2</v>
      </c>
      <c r="C82" s="3" t="s">
        <v>77</v>
      </c>
      <c r="D82" s="3" t="s">
        <v>78</v>
      </c>
      <c r="E82" s="3" t="s">
        <v>79</v>
      </c>
      <c r="F82" s="3" t="s">
        <v>80</v>
      </c>
      <c r="G82" s="3" t="s">
        <v>81</v>
      </c>
      <c r="H82" s="3" t="n">
        <v>3</v>
      </c>
      <c r="I82" s="3" t="n">
        <v>21</v>
      </c>
      <c r="J82" s="3" t="s">
        <v>280</v>
      </c>
      <c r="K82" s="8" t="n">
        <v>598800</v>
      </c>
      <c r="L82" s="8" t="n">
        <v>4000</v>
      </c>
      <c r="M82" s="8" t="n">
        <v>45210</v>
      </c>
      <c r="N82" s="8" t="n">
        <v>648010</v>
      </c>
      <c r="O82" s="3" t="s">
        <v>57</v>
      </c>
      <c r="P82" s="3" t="s">
        <v>58</v>
      </c>
      <c r="Q82" s="3" t="s">
        <v>69</v>
      </c>
      <c r="R82" s="3" t="str">
        <f aca="false">IF(Q82="pass","No","Yes")</f>
        <v>No</v>
      </c>
      <c r="S82" s="3" t="s">
        <v>60</v>
      </c>
      <c r="T82" s="3"/>
      <c r="U82" s="3"/>
      <c r="V82" s="9" t="n">
        <v>7.114</v>
      </c>
    </row>
    <row r="83" customFormat="false" ht="15" hidden="false" customHeight="true" outlineLevel="0" collapsed="false">
      <c r="A83" s="3" t="n">
        <v>82</v>
      </c>
      <c r="B83" s="3" t="n">
        <v>2</v>
      </c>
      <c r="C83" s="3" t="s">
        <v>142</v>
      </c>
      <c r="D83" s="3" t="s">
        <v>143</v>
      </c>
      <c r="E83" s="3" t="s">
        <v>144</v>
      </c>
      <c r="F83" s="3" t="s">
        <v>145</v>
      </c>
      <c r="G83" s="3" t="s">
        <v>74</v>
      </c>
      <c r="H83" s="3" t="n">
        <v>1</v>
      </c>
      <c r="I83" s="3" t="n">
        <v>14</v>
      </c>
      <c r="J83" s="3" t="s">
        <v>281</v>
      </c>
      <c r="K83" s="8" t="n">
        <v>728000</v>
      </c>
      <c r="L83" s="8" t="n">
        <v>9000</v>
      </c>
      <c r="M83" s="8" t="n">
        <v>55275</v>
      </c>
      <c r="N83" s="8" t="n">
        <v>792275</v>
      </c>
      <c r="O83" s="3" t="s">
        <v>57</v>
      </c>
      <c r="P83" s="3" t="s">
        <v>58</v>
      </c>
      <c r="Q83" s="3" t="s">
        <v>69</v>
      </c>
      <c r="R83" s="3" t="str">
        <f aca="false">IF(Q83="pass","No","Yes")</f>
        <v>No</v>
      </c>
      <c r="S83" s="3" t="s">
        <v>60</v>
      </c>
      <c r="T83" s="3"/>
      <c r="U83" s="3"/>
      <c r="V83" s="9" t="n">
        <v>5.183</v>
      </c>
    </row>
    <row r="84" customFormat="false" ht="15" hidden="false" customHeight="true" outlineLevel="0" collapsed="false">
      <c r="A84" s="3" t="n">
        <v>83</v>
      </c>
      <c r="B84" s="3" t="n">
        <v>2</v>
      </c>
      <c r="C84" s="3" t="s">
        <v>63</v>
      </c>
      <c r="D84" s="3" t="s">
        <v>64</v>
      </c>
      <c r="E84" s="3" t="s">
        <v>65</v>
      </c>
      <c r="F84" s="3" t="s">
        <v>66</v>
      </c>
      <c r="G84" s="3" t="s">
        <v>67</v>
      </c>
      <c r="H84" s="3" t="n">
        <v>2</v>
      </c>
      <c r="I84" s="3" t="n">
        <v>99</v>
      </c>
      <c r="J84" s="3" t="s">
        <v>282</v>
      </c>
      <c r="K84" s="8" t="n">
        <v>709700</v>
      </c>
      <c r="L84" s="8" t="n">
        <v>4500</v>
      </c>
      <c r="M84" s="8" t="n">
        <v>53565</v>
      </c>
      <c r="N84" s="8" t="n">
        <v>767765</v>
      </c>
      <c r="O84" s="3" t="s">
        <v>83</v>
      </c>
      <c r="P84" s="3" t="s">
        <v>84</v>
      </c>
      <c r="Q84" s="3" t="s">
        <v>85</v>
      </c>
      <c r="R84" s="3" t="str">
        <f aca="false">IF(Q84="pass","No","Yes")</f>
        <v>Yes</v>
      </c>
      <c r="S84" s="3" t="s">
        <v>86</v>
      </c>
      <c r="T84" s="3" t="s">
        <v>183</v>
      </c>
      <c r="U84" s="3" t="s">
        <v>283</v>
      </c>
      <c r="V84" s="9" t="n">
        <v>11.695</v>
      </c>
    </row>
    <row r="85" customFormat="false" ht="15" hidden="false" customHeight="true" outlineLevel="0" collapsed="false">
      <c r="A85" s="3" t="n">
        <v>84</v>
      </c>
      <c r="B85" s="3" t="n">
        <v>2</v>
      </c>
      <c r="C85" s="3" t="s">
        <v>63</v>
      </c>
      <c r="D85" s="3" t="s">
        <v>64</v>
      </c>
      <c r="E85" s="3" t="s">
        <v>65</v>
      </c>
      <c r="F85" s="3" t="s">
        <v>66</v>
      </c>
      <c r="G85" s="3" t="s">
        <v>67</v>
      </c>
      <c r="H85" s="3" t="n">
        <v>2</v>
      </c>
      <c r="I85" s="3" t="n">
        <v>41</v>
      </c>
      <c r="J85" s="3" t="s">
        <v>284</v>
      </c>
      <c r="K85" s="8" t="n">
        <v>765000</v>
      </c>
      <c r="L85" s="8" t="n">
        <v>4500</v>
      </c>
      <c r="M85" s="8" t="n">
        <v>57712.5</v>
      </c>
      <c r="N85" s="8" t="n">
        <v>827212.5</v>
      </c>
      <c r="O85" s="3" t="s">
        <v>132</v>
      </c>
      <c r="P85" s="3" t="s">
        <v>84</v>
      </c>
      <c r="Q85" s="3" t="s">
        <v>85</v>
      </c>
      <c r="R85" s="3" t="str">
        <f aca="false">IF(Q85="pass","No","Yes")</f>
        <v>Yes</v>
      </c>
      <c r="S85" s="3" t="s">
        <v>86</v>
      </c>
      <c r="T85" s="3" t="s">
        <v>133</v>
      </c>
      <c r="U85" s="3" t="s">
        <v>134</v>
      </c>
      <c r="V85" s="9" t="n">
        <v>5.135</v>
      </c>
    </row>
    <row r="86" customFormat="false" ht="15" hidden="false" customHeight="true" outlineLevel="0" collapsed="false">
      <c r="A86" s="3" t="n">
        <v>85</v>
      </c>
      <c r="B86" s="3" t="n">
        <v>2</v>
      </c>
      <c r="C86" s="3" t="s">
        <v>213</v>
      </c>
      <c r="D86" s="3" t="s">
        <v>214</v>
      </c>
      <c r="E86" s="3" t="s">
        <v>215</v>
      </c>
      <c r="F86" s="3" t="s">
        <v>216</v>
      </c>
      <c r="G86" s="3" t="s">
        <v>67</v>
      </c>
      <c r="H86" s="3" t="n">
        <v>2</v>
      </c>
      <c r="I86" s="3" t="n">
        <v>87</v>
      </c>
      <c r="J86" s="3" t="s">
        <v>285</v>
      </c>
      <c r="K86" s="8" t="n">
        <v>1025100</v>
      </c>
      <c r="L86" s="8" t="n">
        <v>4500</v>
      </c>
      <c r="M86" s="8" t="n">
        <v>77220</v>
      </c>
      <c r="N86" s="8" t="n">
        <v>1106820</v>
      </c>
      <c r="O86" s="3" t="s">
        <v>57</v>
      </c>
      <c r="P86" s="3" t="s">
        <v>58</v>
      </c>
      <c r="Q86" s="3" t="s">
        <v>69</v>
      </c>
      <c r="R86" s="3" t="str">
        <f aca="false">IF(Q86="pass","No","Yes")</f>
        <v>No</v>
      </c>
      <c r="S86" s="3" t="s">
        <v>60</v>
      </c>
      <c r="T86" s="3"/>
      <c r="U86" s="3"/>
      <c r="V86" s="9" t="n">
        <v>7.172</v>
      </c>
    </row>
    <row r="87" customFormat="false" ht="15" hidden="false" customHeight="true" outlineLevel="0" collapsed="false">
      <c r="A87" s="3" t="n">
        <v>86</v>
      </c>
      <c r="B87" s="3" t="n">
        <v>2</v>
      </c>
      <c r="C87" s="3" t="s">
        <v>105</v>
      </c>
      <c r="D87" s="3" t="s">
        <v>106</v>
      </c>
      <c r="E87" s="3" t="s">
        <v>107</v>
      </c>
      <c r="F87" s="3" t="s">
        <v>108</v>
      </c>
      <c r="G87" s="3" t="s">
        <v>146</v>
      </c>
      <c r="H87" s="3" t="n">
        <v>1</v>
      </c>
      <c r="I87" s="3" t="n">
        <v>14</v>
      </c>
      <c r="J87" s="3" t="s">
        <v>219</v>
      </c>
      <c r="K87" s="8" t="n">
        <v>532000</v>
      </c>
      <c r="L87" s="8" t="n">
        <v>0</v>
      </c>
      <c r="M87" s="8" t="n">
        <v>39900</v>
      </c>
      <c r="N87" s="8" t="n">
        <v>571900</v>
      </c>
      <c r="O87" s="3" t="s">
        <v>148</v>
      </c>
      <c r="P87" s="3" t="s">
        <v>84</v>
      </c>
      <c r="Q87" s="3" t="s">
        <v>85</v>
      </c>
      <c r="R87" s="3" t="str">
        <f aca="false">IF(Q87="pass","No","Yes")</f>
        <v>Yes</v>
      </c>
      <c r="S87" s="3" t="s">
        <v>86</v>
      </c>
      <c r="T87" s="3" t="s">
        <v>149</v>
      </c>
      <c r="U87" s="3" t="s">
        <v>150</v>
      </c>
      <c r="V87" s="9" t="n">
        <v>5.538</v>
      </c>
    </row>
    <row r="88" customFormat="false" ht="15" hidden="false" customHeight="true" outlineLevel="0" collapsed="false">
      <c r="A88" s="3" t="n">
        <v>87</v>
      </c>
      <c r="B88" s="3" t="n">
        <v>2</v>
      </c>
      <c r="C88" s="3" t="s">
        <v>51</v>
      </c>
      <c r="D88" s="3" t="s">
        <v>52</v>
      </c>
      <c r="E88" s="3" t="s">
        <v>53</v>
      </c>
      <c r="F88" s="3" t="s">
        <v>54</v>
      </c>
      <c r="G88" s="3" t="s">
        <v>55</v>
      </c>
      <c r="H88" s="3" t="n">
        <v>1</v>
      </c>
      <c r="I88" s="3" t="n">
        <v>48</v>
      </c>
      <c r="J88" s="3" t="s">
        <v>286</v>
      </c>
      <c r="K88" s="8" t="n">
        <v>696000</v>
      </c>
      <c r="L88" s="8" t="n">
        <v>6000</v>
      </c>
      <c r="M88" s="8" t="n">
        <v>52650</v>
      </c>
      <c r="N88" s="8" t="n">
        <v>754650</v>
      </c>
      <c r="O88" s="3" t="s">
        <v>57</v>
      </c>
      <c r="P88" s="3" t="s">
        <v>58</v>
      </c>
      <c r="Q88" s="3" t="s">
        <v>69</v>
      </c>
      <c r="R88" s="3" t="str">
        <f aca="false">IF(Q88="pass","No","Yes")</f>
        <v>No</v>
      </c>
      <c r="S88" s="3" t="s">
        <v>60</v>
      </c>
      <c r="T88" s="3"/>
      <c r="U88" s="3"/>
      <c r="V88" s="9" t="n">
        <v>5.763</v>
      </c>
    </row>
    <row r="89" customFormat="false" ht="15" hidden="false" customHeight="true" outlineLevel="0" collapsed="false">
      <c r="A89" s="3" t="n">
        <v>88</v>
      </c>
      <c r="B89" s="3" t="n">
        <v>2</v>
      </c>
      <c r="C89" s="3" t="s">
        <v>51</v>
      </c>
      <c r="D89" s="3" t="s">
        <v>52</v>
      </c>
      <c r="E89" s="3" t="s">
        <v>53</v>
      </c>
      <c r="F89" s="3" t="s">
        <v>54</v>
      </c>
      <c r="G89" s="3" t="s">
        <v>55</v>
      </c>
      <c r="H89" s="3" t="n">
        <v>1</v>
      </c>
      <c r="I89" s="3" t="n">
        <v>48</v>
      </c>
      <c r="J89" s="3" t="s">
        <v>286</v>
      </c>
      <c r="K89" s="8" t="n">
        <v>696000</v>
      </c>
      <c r="L89" s="8" t="n">
        <v>6000</v>
      </c>
      <c r="M89" s="8" t="n">
        <v>52650</v>
      </c>
      <c r="N89" s="8" t="n">
        <v>754650</v>
      </c>
      <c r="O89" s="3" t="s">
        <v>97</v>
      </c>
      <c r="P89" s="3" t="s">
        <v>84</v>
      </c>
      <c r="Q89" s="3" t="s">
        <v>59</v>
      </c>
      <c r="R89" s="3" t="str">
        <f aca="false">IF(Q89="pass","No","Yes")</f>
        <v>Yes</v>
      </c>
      <c r="S89" s="3" t="s">
        <v>98</v>
      </c>
      <c r="T89" s="3" t="s">
        <v>97</v>
      </c>
      <c r="U89" s="3" t="s">
        <v>287</v>
      </c>
      <c r="V89" s="9" t="n">
        <v>3.68</v>
      </c>
    </row>
    <row r="90" customFormat="false" ht="15" hidden="false" customHeight="true" outlineLevel="0" collapsed="false">
      <c r="A90" s="3" t="n">
        <v>89</v>
      </c>
      <c r="B90" s="3" t="n">
        <v>2</v>
      </c>
      <c r="C90" s="3" t="s">
        <v>51</v>
      </c>
      <c r="D90" s="3" t="s">
        <v>52</v>
      </c>
      <c r="E90" s="3" t="s">
        <v>53</v>
      </c>
      <c r="F90" s="3" t="s">
        <v>54</v>
      </c>
      <c r="G90" s="3" t="s">
        <v>55</v>
      </c>
      <c r="H90" s="3" t="n">
        <v>1</v>
      </c>
      <c r="I90" s="3" t="n">
        <v>48</v>
      </c>
      <c r="J90" s="3" t="s">
        <v>286</v>
      </c>
      <c r="K90" s="8" t="n">
        <v>696000</v>
      </c>
      <c r="L90" s="8" t="n">
        <v>6000</v>
      </c>
      <c r="M90" s="8" t="n">
        <v>52650</v>
      </c>
      <c r="N90" s="8" t="n">
        <v>754650</v>
      </c>
      <c r="O90" s="3" t="s">
        <v>97</v>
      </c>
      <c r="P90" s="3" t="s">
        <v>84</v>
      </c>
      <c r="Q90" s="3" t="s">
        <v>59</v>
      </c>
      <c r="R90" s="3" t="str">
        <f aca="false">IF(Q90="pass","No","Yes")</f>
        <v>Yes</v>
      </c>
      <c r="S90" s="3" t="s">
        <v>98</v>
      </c>
      <c r="T90" s="3" t="s">
        <v>97</v>
      </c>
      <c r="U90" s="3" t="s">
        <v>287</v>
      </c>
      <c r="V90" s="9" t="n">
        <v>3.75</v>
      </c>
    </row>
    <row r="91" customFormat="false" ht="15" hidden="false" customHeight="true" outlineLevel="0" collapsed="false">
      <c r="A91" s="3" t="n">
        <v>90</v>
      </c>
      <c r="B91" s="3" t="n">
        <v>2</v>
      </c>
      <c r="C91" s="3" t="s">
        <v>112</v>
      </c>
      <c r="D91" s="3" t="s">
        <v>113</v>
      </c>
      <c r="E91" s="3" t="s">
        <v>114</v>
      </c>
      <c r="F91" s="3" t="s">
        <v>115</v>
      </c>
      <c r="G91" s="3" t="s">
        <v>116</v>
      </c>
      <c r="H91" s="3" t="n">
        <v>1</v>
      </c>
      <c r="I91" s="3" t="n">
        <v>40</v>
      </c>
      <c r="J91" s="3" t="s">
        <v>288</v>
      </c>
      <c r="K91" s="8" t="n">
        <v>500000</v>
      </c>
      <c r="L91" s="8" t="n">
        <v>15000</v>
      </c>
      <c r="M91" s="8" t="n">
        <v>38625</v>
      </c>
      <c r="N91" s="8" t="n">
        <v>553625</v>
      </c>
      <c r="O91" s="3" t="s">
        <v>57</v>
      </c>
      <c r="P91" s="3" t="s">
        <v>58</v>
      </c>
      <c r="Q91" s="3" t="s">
        <v>69</v>
      </c>
      <c r="R91" s="3" t="str">
        <f aca="false">IF(Q91="pass","No","Yes")</f>
        <v>No</v>
      </c>
      <c r="S91" s="3" t="s">
        <v>60</v>
      </c>
      <c r="T91" s="3"/>
      <c r="U91" s="3"/>
      <c r="V91" s="9" t="n">
        <v>7.028</v>
      </c>
    </row>
    <row r="92" customFormat="false" ht="15" hidden="false" customHeight="true" outlineLevel="0" collapsed="false">
      <c r="A92" s="3" t="n">
        <v>91</v>
      </c>
      <c r="B92" s="3" t="n">
        <v>2</v>
      </c>
      <c r="C92" s="3" t="s">
        <v>70</v>
      </c>
      <c r="D92" s="3" t="s">
        <v>71</v>
      </c>
      <c r="E92" s="3" t="s">
        <v>72</v>
      </c>
      <c r="F92" s="3" t="s">
        <v>73</v>
      </c>
      <c r="G92" s="3" t="s">
        <v>74</v>
      </c>
      <c r="H92" s="3" t="n">
        <v>3</v>
      </c>
      <c r="I92" s="3" t="n">
        <v>50</v>
      </c>
      <c r="J92" s="3" t="s">
        <v>289</v>
      </c>
      <c r="K92" s="8" t="n">
        <v>707400</v>
      </c>
      <c r="L92" s="8" t="n">
        <v>9000</v>
      </c>
      <c r="M92" s="8" t="n">
        <v>53730</v>
      </c>
      <c r="N92" s="8" t="n">
        <v>770130</v>
      </c>
      <c r="O92" s="3" t="s">
        <v>83</v>
      </c>
      <c r="P92" s="3" t="s">
        <v>84</v>
      </c>
      <c r="Q92" s="3" t="s">
        <v>85</v>
      </c>
      <c r="R92" s="3" t="str">
        <f aca="false">IF(Q92="pass","No","Yes")</f>
        <v>Yes</v>
      </c>
      <c r="S92" s="3" t="s">
        <v>86</v>
      </c>
      <c r="T92" s="3" t="s">
        <v>87</v>
      </c>
      <c r="U92" s="3" t="s">
        <v>290</v>
      </c>
      <c r="V92" s="9" t="n">
        <v>7.293</v>
      </c>
    </row>
    <row r="93" customFormat="false" ht="15" hidden="false" customHeight="true" outlineLevel="0" collapsed="false">
      <c r="A93" s="3" t="n">
        <v>92</v>
      </c>
      <c r="B93" s="3" t="n">
        <v>2</v>
      </c>
      <c r="C93" s="3" t="s">
        <v>51</v>
      </c>
      <c r="D93" s="3" t="s">
        <v>52</v>
      </c>
      <c r="E93" s="3" t="s">
        <v>53</v>
      </c>
      <c r="F93" s="3" t="s">
        <v>54</v>
      </c>
      <c r="G93" s="3" t="s">
        <v>55</v>
      </c>
      <c r="H93" s="3" t="n">
        <v>3</v>
      </c>
      <c r="I93" s="3" t="n">
        <v>145</v>
      </c>
      <c r="J93" s="3" t="s">
        <v>291</v>
      </c>
      <c r="K93" s="8" t="n">
        <v>1293200</v>
      </c>
      <c r="L93" s="8" t="n">
        <v>6000</v>
      </c>
      <c r="M93" s="8" t="n">
        <v>97440</v>
      </c>
      <c r="N93" s="8" t="n">
        <v>1396640</v>
      </c>
      <c r="O93" s="3" t="s">
        <v>57</v>
      </c>
      <c r="P93" s="3" t="s">
        <v>58</v>
      </c>
      <c r="Q93" s="3" t="s">
        <v>59</v>
      </c>
      <c r="R93" s="3" t="str">
        <f aca="false">IF(Q93="pass","No","Yes")</f>
        <v>Yes</v>
      </c>
      <c r="S93" s="3" t="s">
        <v>60</v>
      </c>
      <c r="T93" s="3" t="s">
        <v>61</v>
      </c>
      <c r="U93" s="3" t="s">
        <v>292</v>
      </c>
      <c r="V93" s="9" t="n">
        <v>14.453</v>
      </c>
    </row>
    <row r="94" customFormat="false" ht="15" hidden="false" customHeight="true" outlineLevel="0" collapsed="false">
      <c r="A94" s="3" t="n">
        <v>93</v>
      </c>
      <c r="B94" s="3" t="n">
        <v>2</v>
      </c>
      <c r="C94" s="3" t="s">
        <v>177</v>
      </c>
      <c r="D94" s="3" t="s">
        <v>178</v>
      </c>
      <c r="E94" s="3" t="s">
        <v>179</v>
      </c>
      <c r="F94" s="3" t="s">
        <v>180</v>
      </c>
      <c r="G94" s="3" t="s">
        <v>81</v>
      </c>
      <c r="H94" s="3" t="n">
        <v>2</v>
      </c>
      <c r="I94" s="3" t="n">
        <v>18</v>
      </c>
      <c r="J94" s="3" t="s">
        <v>293</v>
      </c>
      <c r="K94" s="8" t="n">
        <v>225000</v>
      </c>
      <c r="L94" s="8" t="n">
        <v>4000</v>
      </c>
      <c r="M94" s="8" t="n">
        <v>17175</v>
      </c>
      <c r="N94" s="8" t="n">
        <v>246175</v>
      </c>
      <c r="O94" s="3" t="s">
        <v>272</v>
      </c>
      <c r="P94" s="3" t="s">
        <v>84</v>
      </c>
      <c r="Q94" s="3" t="s">
        <v>85</v>
      </c>
      <c r="R94" s="3" t="str">
        <f aca="false">IF(Q94="pass","No","Yes")</f>
        <v>Yes</v>
      </c>
      <c r="S94" s="3" t="s">
        <v>86</v>
      </c>
      <c r="T94" s="3" t="s">
        <v>273</v>
      </c>
      <c r="U94" s="3" t="s">
        <v>294</v>
      </c>
      <c r="V94" s="9" t="n">
        <v>4.866</v>
      </c>
    </row>
    <row r="95" customFormat="false" ht="15" hidden="false" customHeight="true" outlineLevel="0" collapsed="false">
      <c r="A95" s="3" t="n">
        <v>94</v>
      </c>
      <c r="B95" s="3" t="n">
        <v>2</v>
      </c>
      <c r="C95" s="3" t="s">
        <v>100</v>
      </c>
      <c r="D95" s="3" t="s">
        <v>101</v>
      </c>
      <c r="E95" s="3" t="s">
        <v>102</v>
      </c>
      <c r="F95" s="3" t="s">
        <v>103</v>
      </c>
      <c r="G95" s="3" t="s">
        <v>67</v>
      </c>
      <c r="H95" s="3" t="n">
        <v>4</v>
      </c>
      <c r="I95" s="3" t="n">
        <v>88</v>
      </c>
      <c r="J95" s="3" t="s">
        <v>295</v>
      </c>
      <c r="K95" s="8" t="n">
        <v>1752200</v>
      </c>
      <c r="L95" s="8" t="n">
        <v>4500</v>
      </c>
      <c r="M95" s="8" t="n">
        <v>131752.5</v>
      </c>
      <c r="N95" s="8" t="n">
        <v>1888452.5</v>
      </c>
      <c r="O95" s="3" t="s">
        <v>272</v>
      </c>
      <c r="P95" s="3" t="s">
        <v>84</v>
      </c>
      <c r="Q95" s="3" t="s">
        <v>85</v>
      </c>
      <c r="R95" s="3" t="str">
        <f aca="false">IF(Q95="pass","No","Yes")</f>
        <v>Yes</v>
      </c>
      <c r="S95" s="3" t="s">
        <v>86</v>
      </c>
      <c r="T95" s="3" t="s">
        <v>273</v>
      </c>
      <c r="U95" s="3" t="s">
        <v>296</v>
      </c>
      <c r="V95" s="9" t="n">
        <v>12.915</v>
      </c>
    </row>
    <row r="96" customFormat="false" ht="15" hidden="false" customHeight="true" outlineLevel="0" collapsed="false">
      <c r="A96" s="3" t="n">
        <v>95</v>
      </c>
      <c r="B96" s="3" t="n">
        <v>2</v>
      </c>
      <c r="C96" s="3" t="s">
        <v>154</v>
      </c>
      <c r="D96" s="3" t="s">
        <v>155</v>
      </c>
      <c r="E96" s="3" t="s">
        <v>156</v>
      </c>
      <c r="F96" s="3" t="s">
        <v>157</v>
      </c>
      <c r="G96" s="3" t="s">
        <v>123</v>
      </c>
      <c r="H96" s="3" t="n">
        <v>1</v>
      </c>
      <c r="I96" s="3" t="n">
        <v>22</v>
      </c>
      <c r="J96" s="3" t="s">
        <v>297</v>
      </c>
      <c r="K96" s="8" t="n">
        <v>836000</v>
      </c>
      <c r="L96" s="8" t="n">
        <v>5000</v>
      </c>
      <c r="M96" s="8" t="n">
        <v>63075</v>
      </c>
      <c r="N96" s="8" t="n">
        <v>904075</v>
      </c>
      <c r="O96" s="3" t="s">
        <v>57</v>
      </c>
      <c r="P96" s="3" t="s">
        <v>58</v>
      </c>
      <c r="Q96" s="3" t="s">
        <v>69</v>
      </c>
      <c r="R96" s="3" t="str">
        <f aca="false">IF(Q96="pass","No","Yes")</f>
        <v>No</v>
      </c>
      <c r="S96" s="3" t="s">
        <v>60</v>
      </c>
      <c r="T96" s="3"/>
      <c r="U96" s="3"/>
      <c r="V96" s="9" t="n">
        <v>4.88</v>
      </c>
    </row>
    <row r="97" customFormat="false" ht="15" hidden="false" customHeight="true" outlineLevel="0" collapsed="false">
      <c r="A97" s="3" t="n">
        <v>96</v>
      </c>
      <c r="B97" s="3" t="n">
        <v>2</v>
      </c>
      <c r="C97" s="3" t="s">
        <v>127</v>
      </c>
      <c r="D97" s="3" t="s">
        <v>128</v>
      </c>
      <c r="E97" s="3" t="s">
        <v>129</v>
      </c>
      <c r="F97" s="3" t="s">
        <v>130</v>
      </c>
      <c r="G97" s="3" t="s">
        <v>55</v>
      </c>
      <c r="H97" s="3" t="n">
        <v>2</v>
      </c>
      <c r="I97" s="3" t="n">
        <v>47</v>
      </c>
      <c r="J97" s="3" t="s">
        <v>298</v>
      </c>
      <c r="K97" s="8" t="n">
        <v>1117400</v>
      </c>
      <c r="L97" s="8" t="n">
        <v>6000</v>
      </c>
      <c r="M97" s="8" t="n">
        <v>84255</v>
      </c>
      <c r="N97" s="8" t="n">
        <v>1207655</v>
      </c>
      <c r="O97" s="3" t="s">
        <v>152</v>
      </c>
      <c r="P97" s="3" t="s">
        <v>84</v>
      </c>
      <c r="Q97" s="3" t="s">
        <v>85</v>
      </c>
      <c r="R97" s="3" t="str">
        <f aca="false">IF(Q97="pass","No","Yes")</f>
        <v>Yes</v>
      </c>
      <c r="S97" s="3" t="s">
        <v>86</v>
      </c>
      <c r="T97" s="3" t="s">
        <v>87</v>
      </c>
      <c r="U97" s="3" t="s">
        <v>264</v>
      </c>
      <c r="V97" s="9" t="n">
        <v>6.218</v>
      </c>
    </row>
    <row r="98" customFormat="false" ht="15" hidden="false" customHeight="true" outlineLevel="0" collapsed="false">
      <c r="A98" s="3" t="n">
        <v>97</v>
      </c>
      <c r="B98" s="3" t="n">
        <v>2</v>
      </c>
      <c r="C98" s="3" t="s">
        <v>198</v>
      </c>
      <c r="D98" s="3" t="s">
        <v>199</v>
      </c>
      <c r="E98" s="3" t="s">
        <v>200</v>
      </c>
      <c r="F98" s="3" t="s">
        <v>201</v>
      </c>
      <c r="G98" s="3" t="s">
        <v>81</v>
      </c>
      <c r="H98" s="3" t="n">
        <v>2</v>
      </c>
      <c r="I98" s="3" t="n">
        <v>31</v>
      </c>
      <c r="J98" s="3" t="s">
        <v>299</v>
      </c>
      <c r="K98" s="8" t="n">
        <v>370700</v>
      </c>
      <c r="L98" s="8" t="n">
        <v>4000</v>
      </c>
      <c r="M98" s="8" t="n">
        <v>28102.5</v>
      </c>
      <c r="N98" s="8" t="n">
        <v>402802.5</v>
      </c>
      <c r="O98" s="3" t="s">
        <v>57</v>
      </c>
      <c r="P98" s="3" t="s">
        <v>58</v>
      </c>
      <c r="Q98" s="3" t="s">
        <v>69</v>
      </c>
      <c r="R98" s="3" t="str">
        <f aca="false">IF(Q98="pass","No","Yes")</f>
        <v>No</v>
      </c>
      <c r="S98" s="3" t="s">
        <v>60</v>
      </c>
      <c r="T98" s="3"/>
      <c r="U98" s="3"/>
      <c r="V98" s="9" t="n">
        <v>6.913</v>
      </c>
    </row>
    <row r="99" customFormat="false" ht="15" hidden="false" customHeight="true" outlineLevel="0" collapsed="false">
      <c r="A99" s="3" t="n">
        <v>98</v>
      </c>
      <c r="B99" s="3" t="n">
        <v>2</v>
      </c>
      <c r="C99" s="3" t="s">
        <v>198</v>
      </c>
      <c r="D99" s="3" t="s">
        <v>199</v>
      </c>
      <c r="E99" s="3" t="s">
        <v>200</v>
      </c>
      <c r="F99" s="3" t="s">
        <v>201</v>
      </c>
      <c r="G99" s="3" t="s">
        <v>81</v>
      </c>
      <c r="H99" s="3" t="n">
        <v>2</v>
      </c>
      <c r="I99" s="3" t="n">
        <v>31</v>
      </c>
      <c r="J99" s="3" t="s">
        <v>299</v>
      </c>
      <c r="K99" s="8" t="n">
        <v>370700</v>
      </c>
      <c r="L99" s="8" t="n">
        <v>4000</v>
      </c>
      <c r="M99" s="8" t="n">
        <v>28102.5</v>
      </c>
      <c r="N99" s="8" t="n">
        <v>402802.5</v>
      </c>
      <c r="O99" s="3" t="s">
        <v>97</v>
      </c>
      <c r="P99" s="3" t="s">
        <v>84</v>
      </c>
      <c r="Q99" s="3" t="s">
        <v>59</v>
      </c>
      <c r="R99" s="3" t="str">
        <f aca="false">IF(Q99="pass","No","Yes")</f>
        <v>Yes</v>
      </c>
      <c r="S99" s="3" t="s">
        <v>98</v>
      </c>
      <c r="T99" s="3" t="s">
        <v>97</v>
      </c>
      <c r="U99" s="3" t="s">
        <v>300</v>
      </c>
      <c r="V99" s="9" t="n">
        <v>5.506</v>
      </c>
    </row>
    <row r="100" customFormat="false" ht="15" hidden="false" customHeight="true" outlineLevel="0" collapsed="false">
      <c r="A100" s="3" t="n">
        <v>99</v>
      </c>
      <c r="B100" s="3" t="n">
        <v>2</v>
      </c>
      <c r="C100" s="3" t="s">
        <v>100</v>
      </c>
      <c r="D100" s="3" t="s">
        <v>101</v>
      </c>
      <c r="E100" s="3" t="s">
        <v>102</v>
      </c>
      <c r="F100" s="3" t="s">
        <v>103</v>
      </c>
      <c r="G100" s="3" t="s">
        <v>67</v>
      </c>
      <c r="H100" s="3" t="n">
        <v>2</v>
      </c>
      <c r="I100" s="3" t="n">
        <v>558</v>
      </c>
      <c r="J100" s="3" t="s">
        <v>301</v>
      </c>
      <c r="K100" s="8" t="n">
        <v>2355300</v>
      </c>
      <c r="L100" s="8" t="n">
        <v>4500</v>
      </c>
      <c r="M100" s="8" t="n">
        <v>176985</v>
      </c>
      <c r="N100" s="8" t="n">
        <v>2536785</v>
      </c>
      <c r="O100" s="3" t="s">
        <v>159</v>
      </c>
      <c r="P100" s="3" t="s">
        <v>84</v>
      </c>
      <c r="Q100" s="3" t="s">
        <v>85</v>
      </c>
      <c r="R100" s="3" t="str">
        <f aca="false">IF(Q100="pass","No","Yes")</f>
        <v>Yes</v>
      </c>
      <c r="S100" s="3" t="s">
        <v>86</v>
      </c>
      <c r="T100" s="3" t="s">
        <v>160</v>
      </c>
      <c r="U100" s="3" t="s">
        <v>302</v>
      </c>
      <c r="V100" s="9" t="n">
        <v>6.317</v>
      </c>
    </row>
    <row r="101" customFormat="false" ht="15" hidden="false" customHeight="true" outlineLevel="0" collapsed="false">
      <c r="A101" s="3" t="n">
        <v>100</v>
      </c>
      <c r="B101" s="3" t="n">
        <v>2</v>
      </c>
      <c r="C101" s="3" t="s">
        <v>119</v>
      </c>
      <c r="D101" s="3" t="s">
        <v>120</v>
      </c>
      <c r="E101" s="3" t="s">
        <v>121</v>
      </c>
      <c r="F101" s="3" t="s">
        <v>122</v>
      </c>
      <c r="G101" s="3" t="s">
        <v>123</v>
      </c>
      <c r="H101" s="3" t="n">
        <v>4</v>
      </c>
      <c r="I101" s="3" t="n">
        <v>57</v>
      </c>
      <c r="J101" s="3" t="s">
        <v>303</v>
      </c>
      <c r="K101" s="8" t="n">
        <v>1024800</v>
      </c>
      <c r="L101" s="8" t="n">
        <v>5000</v>
      </c>
      <c r="M101" s="8" t="n">
        <v>77235</v>
      </c>
      <c r="N101" s="8" t="n">
        <v>1107035</v>
      </c>
      <c r="O101" s="3" t="s">
        <v>83</v>
      </c>
      <c r="P101" s="3" t="s">
        <v>84</v>
      </c>
      <c r="Q101" s="3" t="s">
        <v>85</v>
      </c>
      <c r="R101" s="3" t="str">
        <f aca="false">IF(Q101="pass","No","Yes")</f>
        <v>Yes</v>
      </c>
      <c r="S101" s="3" t="s">
        <v>86</v>
      </c>
      <c r="T101" s="3" t="s">
        <v>87</v>
      </c>
      <c r="U101" s="3" t="s">
        <v>304</v>
      </c>
      <c r="V101" s="9" t="n">
        <v>9.672</v>
      </c>
    </row>
    <row r="102" customFormat="false" ht="15" hidden="false" customHeight="true" outlineLevel="0" collapsed="false">
      <c r="A102" s="3" t="n">
        <v>101</v>
      </c>
      <c r="B102" s="3" t="n">
        <v>3</v>
      </c>
      <c r="C102" s="3" t="s">
        <v>177</v>
      </c>
      <c r="D102" s="3" t="s">
        <v>178</v>
      </c>
      <c r="E102" s="3" t="s">
        <v>179</v>
      </c>
      <c r="F102" s="3" t="s">
        <v>180</v>
      </c>
      <c r="G102" s="3" t="s">
        <v>81</v>
      </c>
      <c r="H102" s="3" t="n">
        <v>3</v>
      </c>
      <c r="I102" s="3" t="n">
        <v>134</v>
      </c>
      <c r="J102" s="3" t="s">
        <v>305</v>
      </c>
      <c r="K102" s="8" t="n">
        <v>1765600</v>
      </c>
      <c r="L102" s="8" t="n">
        <v>4000</v>
      </c>
      <c r="M102" s="8" t="n">
        <v>132720</v>
      </c>
      <c r="N102" s="8" t="n">
        <v>1902320</v>
      </c>
      <c r="O102" s="3" t="s">
        <v>94</v>
      </c>
      <c r="P102" s="3" t="s">
        <v>84</v>
      </c>
      <c r="Q102" s="3" t="s">
        <v>85</v>
      </c>
      <c r="R102" s="3" t="str">
        <f aca="false">IF(Q102="pass","No","Yes")</f>
        <v>Yes</v>
      </c>
      <c r="S102" s="3" t="s">
        <v>86</v>
      </c>
      <c r="T102" s="3" t="s">
        <v>95</v>
      </c>
      <c r="U102" s="3" t="s">
        <v>306</v>
      </c>
      <c r="V102" s="9" t="n">
        <v>13.13</v>
      </c>
    </row>
    <row r="103" customFormat="false" ht="15" hidden="false" customHeight="true" outlineLevel="0" collapsed="false">
      <c r="A103" s="3" t="n">
        <v>102</v>
      </c>
      <c r="B103" s="3" t="n">
        <v>3</v>
      </c>
      <c r="C103" s="3" t="s">
        <v>213</v>
      </c>
      <c r="D103" s="3" t="s">
        <v>214</v>
      </c>
      <c r="E103" s="3" t="s">
        <v>215</v>
      </c>
      <c r="F103" s="3" t="s">
        <v>216</v>
      </c>
      <c r="G103" s="3" t="s">
        <v>67</v>
      </c>
      <c r="H103" s="3" t="n">
        <v>2</v>
      </c>
      <c r="I103" s="3" t="n">
        <v>13</v>
      </c>
      <c r="J103" s="3" t="s">
        <v>307</v>
      </c>
      <c r="K103" s="8" t="n">
        <v>571000</v>
      </c>
      <c r="L103" s="8" t="n">
        <v>4500</v>
      </c>
      <c r="M103" s="8" t="n">
        <v>43162.5</v>
      </c>
      <c r="N103" s="8" t="n">
        <v>618662.5</v>
      </c>
      <c r="O103" s="3" t="s">
        <v>57</v>
      </c>
      <c r="P103" s="3" t="s">
        <v>58</v>
      </c>
      <c r="Q103" s="3" t="s">
        <v>69</v>
      </c>
      <c r="R103" s="3" t="str">
        <f aca="false">IF(Q103="pass","No","Yes")</f>
        <v>No</v>
      </c>
      <c r="S103" s="3" t="s">
        <v>60</v>
      </c>
      <c r="T103" s="3"/>
      <c r="U103" s="3"/>
      <c r="V103" s="9" t="n">
        <v>6.914</v>
      </c>
    </row>
    <row r="104" customFormat="false" ht="15" hidden="false" customHeight="true" outlineLevel="0" collapsed="false">
      <c r="A104" s="3" t="n">
        <v>103</v>
      </c>
      <c r="B104" s="3" t="n">
        <v>3</v>
      </c>
      <c r="C104" s="3" t="s">
        <v>154</v>
      </c>
      <c r="D104" s="3" t="s">
        <v>155</v>
      </c>
      <c r="E104" s="3" t="s">
        <v>156</v>
      </c>
      <c r="F104" s="3" t="s">
        <v>157</v>
      </c>
      <c r="G104" s="3" t="s">
        <v>123</v>
      </c>
      <c r="H104" s="3" t="n">
        <v>2</v>
      </c>
      <c r="I104" s="3" t="n">
        <v>593</v>
      </c>
      <c r="J104" s="3" t="s">
        <v>308</v>
      </c>
      <c r="K104" s="8" t="n">
        <v>4279400</v>
      </c>
      <c r="L104" s="8" t="n">
        <v>5000</v>
      </c>
      <c r="M104" s="8" t="n">
        <v>321330</v>
      </c>
      <c r="N104" s="8" t="n">
        <v>4605730</v>
      </c>
      <c r="O104" s="3" t="s">
        <v>171</v>
      </c>
      <c r="P104" s="3" t="s">
        <v>84</v>
      </c>
      <c r="Q104" s="3" t="s">
        <v>85</v>
      </c>
      <c r="R104" s="3" t="str">
        <f aca="false">IF(Q104="pass","No","Yes")</f>
        <v>Yes</v>
      </c>
      <c r="S104" s="3" t="s">
        <v>86</v>
      </c>
      <c r="T104" s="3" t="s">
        <v>172</v>
      </c>
      <c r="U104" s="3" t="s">
        <v>309</v>
      </c>
      <c r="V104" s="9" t="n">
        <v>12.505</v>
      </c>
    </row>
    <row r="105" customFormat="false" ht="15" hidden="false" customHeight="true" outlineLevel="0" collapsed="false">
      <c r="A105" s="3" t="n">
        <v>104</v>
      </c>
      <c r="B105" s="3" t="n">
        <v>3</v>
      </c>
      <c r="C105" s="3" t="s">
        <v>127</v>
      </c>
      <c r="D105" s="3" t="s">
        <v>128</v>
      </c>
      <c r="E105" s="3" t="s">
        <v>129</v>
      </c>
      <c r="F105" s="3" t="s">
        <v>130</v>
      </c>
      <c r="G105" s="3" t="s">
        <v>55</v>
      </c>
      <c r="H105" s="3" t="n">
        <v>3</v>
      </c>
      <c r="I105" s="3" t="n">
        <v>211</v>
      </c>
      <c r="J105" s="3" t="s">
        <v>310</v>
      </c>
      <c r="K105" s="8" t="n">
        <v>1758400</v>
      </c>
      <c r="L105" s="8" t="n">
        <v>6000</v>
      </c>
      <c r="M105" s="8" t="n">
        <v>132330</v>
      </c>
      <c r="N105" s="8" t="n">
        <v>1896730</v>
      </c>
      <c r="O105" s="3" t="s">
        <v>118</v>
      </c>
      <c r="P105" s="3" t="s">
        <v>58</v>
      </c>
      <c r="Q105" s="3" t="s">
        <v>59</v>
      </c>
      <c r="R105" s="3" t="str">
        <f aca="false">IF(Q105="pass","No","Yes")</f>
        <v>Yes</v>
      </c>
      <c r="S105" s="3" t="s">
        <v>60</v>
      </c>
      <c r="T105" s="3" t="s">
        <v>61</v>
      </c>
      <c r="U105" s="3" t="s">
        <v>311</v>
      </c>
      <c r="V105" s="9" t="n">
        <v>20.609</v>
      </c>
    </row>
    <row r="106" customFormat="false" ht="15" hidden="false" customHeight="true" outlineLevel="0" collapsed="false">
      <c r="A106" s="3" t="n">
        <v>105</v>
      </c>
      <c r="B106" s="3" t="n">
        <v>3</v>
      </c>
      <c r="C106" s="3" t="s">
        <v>154</v>
      </c>
      <c r="D106" s="3" t="s">
        <v>155</v>
      </c>
      <c r="E106" s="3" t="s">
        <v>156</v>
      </c>
      <c r="F106" s="3" t="s">
        <v>157</v>
      </c>
      <c r="G106" s="3" t="s">
        <v>123</v>
      </c>
      <c r="H106" s="3" t="n">
        <v>3</v>
      </c>
      <c r="I106" s="3" t="n">
        <v>64</v>
      </c>
      <c r="J106" s="3" t="s">
        <v>312</v>
      </c>
      <c r="K106" s="8" t="n">
        <v>983700</v>
      </c>
      <c r="L106" s="8" t="n">
        <v>5000</v>
      </c>
      <c r="M106" s="8" t="n">
        <v>74152.5</v>
      </c>
      <c r="N106" s="8" t="n">
        <v>1062852.5</v>
      </c>
      <c r="O106" s="3" t="s">
        <v>57</v>
      </c>
      <c r="P106" s="3" t="s">
        <v>58</v>
      </c>
      <c r="Q106" s="3" t="s">
        <v>69</v>
      </c>
      <c r="R106" s="3" t="str">
        <f aca="false">IF(Q106="pass","No","Yes")</f>
        <v>No</v>
      </c>
      <c r="S106" s="3" t="s">
        <v>60</v>
      </c>
      <c r="T106" s="3"/>
      <c r="U106" s="3"/>
      <c r="V106" s="9" t="n">
        <v>9.141</v>
      </c>
    </row>
    <row r="107" customFormat="false" ht="15" hidden="false" customHeight="true" outlineLevel="0" collapsed="false">
      <c r="A107" s="3" t="n">
        <v>106</v>
      </c>
      <c r="B107" s="3" t="n">
        <v>3</v>
      </c>
      <c r="C107" s="3" t="s">
        <v>177</v>
      </c>
      <c r="D107" s="3" t="s">
        <v>178</v>
      </c>
      <c r="E107" s="3" t="s">
        <v>179</v>
      </c>
      <c r="F107" s="3" t="s">
        <v>180</v>
      </c>
      <c r="G107" s="3" t="s">
        <v>81</v>
      </c>
      <c r="H107" s="3" t="n">
        <v>3</v>
      </c>
      <c r="I107" s="3" t="n">
        <v>147</v>
      </c>
      <c r="J107" s="3" t="s">
        <v>313</v>
      </c>
      <c r="K107" s="8" t="n">
        <v>2285500</v>
      </c>
      <c r="L107" s="8" t="n">
        <v>4000</v>
      </c>
      <c r="M107" s="8" t="n">
        <v>171712.5</v>
      </c>
      <c r="N107" s="8" t="n">
        <v>2461212.5</v>
      </c>
      <c r="O107" s="3" t="s">
        <v>118</v>
      </c>
      <c r="P107" s="3" t="s">
        <v>58</v>
      </c>
      <c r="Q107" s="3" t="s">
        <v>69</v>
      </c>
      <c r="R107" s="3" t="str">
        <f aca="false">IF(Q107="pass","No","Yes")</f>
        <v>No</v>
      </c>
      <c r="S107" s="3" t="s">
        <v>60</v>
      </c>
      <c r="T107" s="3"/>
      <c r="U107" s="3"/>
      <c r="V107" s="9" t="n">
        <v>9.566</v>
      </c>
    </row>
    <row r="108" customFormat="false" ht="15" hidden="false" customHeight="true" outlineLevel="0" collapsed="false">
      <c r="A108" s="3" t="n">
        <v>107</v>
      </c>
      <c r="B108" s="3" t="n">
        <v>3</v>
      </c>
      <c r="C108" s="3" t="s">
        <v>63</v>
      </c>
      <c r="D108" s="3" t="s">
        <v>64</v>
      </c>
      <c r="E108" s="3" t="s">
        <v>65</v>
      </c>
      <c r="F108" s="3" t="s">
        <v>66</v>
      </c>
      <c r="G108" s="3" t="s">
        <v>67</v>
      </c>
      <c r="H108" s="3" t="n">
        <v>4</v>
      </c>
      <c r="I108" s="3" t="n">
        <v>96</v>
      </c>
      <c r="J108" s="3" t="s">
        <v>314</v>
      </c>
      <c r="K108" s="8" t="n">
        <v>973300</v>
      </c>
      <c r="L108" s="8" t="n">
        <v>4500</v>
      </c>
      <c r="M108" s="8" t="n">
        <v>73335</v>
      </c>
      <c r="N108" s="8" t="n">
        <v>1051135</v>
      </c>
      <c r="O108" s="3" t="s">
        <v>171</v>
      </c>
      <c r="P108" s="3" t="s">
        <v>84</v>
      </c>
      <c r="Q108" s="3" t="s">
        <v>85</v>
      </c>
      <c r="R108" s="3" t="str">
        <f aca="false">IF(Q108="pass","No","Yes")</f>
        <v>Yes</v>
      </c>
      <c r="S108" s="3" t="s">
        <v>86</v>
      </c>
      <c r="T108" s="3" t="s">
        <v>209</v>
      </c>
      <c r="U108" s="3" t="s">
        <v>242</v>
      </c>
      <c r="V108" s="9" t="n">
        <v>17.166</v>
      </c>
    </row>
    <row r="109" customFormat="false" ht="15" hidden="false" customHeight="true" outlineLevel="0" collapsed="false">
      <c r="A109" s="3" t="n">
        <v>108</v>
      </c>
      <c r="B109" s="3" t="n">
        <v>3</v>
      </c>
      <c r="C109" s="3" t="s">
        <v>119</v>
      </c>
      <c r="D109" s="3" t="s">
        <v>120</v>
      </c>
      <c r="E109" s="3" t="s">
        <v>121</v>
      </c>
      <c r="F109" s="3" t="s">
        <v>122</v>
      </c>
      <c r="G109" s="3" t="s">
        <v>123</v>
      </c>
      <c r="H109" s="3" t="n">
        <v>2</v>
      </c>
      <c r="I109" s="3" t="n">
        <v>54</v>
      </c>
      <c r="J109" s="3" t="s">
        <v>315</v>
      </c>
      <c r="K109" s="8" t="n">
        <v>409500</v>
      </c>
      <c r="L109" s="8" t="n">
        <v>5000</v>
      </c>
      <c r="M109" s="8" t="n">
        <v>31087.5</v>
      </c>
      <c r="N109" s="8" t="n">
        <v>445587.5</v>
      </c>
      <c r="O109" s="3" t="s">
        <v>83</v>
      </c>
      <c r="P109" s="3" t="s">
        <v>84</v>
      </c>
      <c r="Q109" s="3" t="s">
        <v>85</v>
      </c>
      <c r="R109" s="3" t="str">
        <f aca="false">IF(Q109="pass","No","Yes")</f>
        <v>Yes</v>
      </c>
      <c r="S109" s="3" t="s">
        <v>86</v>
      </c>
      <c r="T109" s="3" t="s">
        <v>183</v>
      </c>
      <c r="U109" s="3" t="s">
        <v>316</v>
      </c>
      <c r="V109" s="9" t="n">
        <v>23.05</v>
      </c>
    </row>
    <row r="110" customFormat="false" ht="15" hidden="false" customHeight="true" outlineLevel="0" collapsed="false">
      <c r="A110" s="3" t="n">
        <v>109</v>
      </c>
      <c r="B110" s="3" t="n">
        <v>3</v>
      </c>
      <c r="C110" s="3" t="s">
        <v>105</v>
      </c>
      <c r="D110" s="3" t="s">
        <v>106</v>
      </c>
      <c r="E110" s="3" t="s">
        <v>107</v>
      </c>
      <c r="F110" s="3" t="s">
        <v>108</v>
      </c>
      <c r="G110" s="3" t="s">
        <v>146</v>
      </c>
      <c r="H110" s="3" t="n">
        <v>1</v>
      </c>
      <c r="I110" s="3" t="n">
        <v>26</v>
      </c>
      <c r="J110" s="3" t="s">
        <v>317</v>
      </c>
      <c r="K110" s="8" t="n">
        <v>988000</v>
      </c>
      <c r="L110" s="8" t="n">
        <v>0</v>
      </c>
      <c r="M110" s="8" t="n">
        <v>74100</v>
      </c>
      <c r="N110" s="8" t="n">
        <v>1062100</v>
      </c>
      <c r="O110" s="3" t="s">
        <v>148</v>
      </c>
      <c r="P110" s="3" t="s">
        <v>84</v>
      </c>
      <c r="Q110" s="3" t="s">
        <v>85</v>
      </c>
      <c r="R110" s="3" t="str">
        <f aca="false">IF(Q110="pass","No","Yes")</f>
        <v>Yes</v>
      </c>
      <c r="S110" s="3" t="s">
        <v>86</v>
      </c>
      <c r="T110" s="3" t="s">
        <v>149</v>
      </c>
      <c r="U110" s="3" t="s">
        <v>150</v>
      </c>
      <c r="V110" s="9" t="n">
        <v>4.697</v>
      </c>
    </row>
    <row r="111" customFormat="false" ht="15" hidden="false" customHeight="true" outlineLevel="0" collapsed="false">
      <c r="A111" s="3" t="n">
        <v>110</v>
      </c>
      <c r="B111" s="3" t="n">
        <v>3</v>
      </c>
      <c r="C111" s="3" t="s">
        <v>70</v>
      </c>
      <c r="D111" s="3" t="s">
        <v>71</v>
      </c>
      <c r="E111" s="3" t="s">
        <v>72</v>
      </c>
      <c r="F111" s="3" t="s">
        <v>73</v>
      </c>
      <c r="G111" s="3" t="s">
        <v>74</v>
      </c>
      <c r="H111" s="3" t="n">
        <v>3</v>
      </c>
      <c r="I111" s="3" t="n">
        <v>94</v>
      </c>
      <c r="J111" s="3" t="s">
        <v>318</v>
      </c>
      <c r="K111" s="8" t="n">
        <v>1689200</v>
      </c>
      <c r="L111" s="8" t="n">
        <v>9000</v>
      </c>
      <c r="M111" s="8" t="n">
        <v>127365</v>
      </c>
      <c r="N111" s="8" t="n">
        <v>1825565</v>
      </c>
      <c r="O111" s="3" t="s">
        <v>57</v>
      </c>
      <c r="P111" s="3" t="s">
        <v>58</v>
      </c>
      <c r="Q111" s="3" t="s">
        <v>69</v>
      </c>
      <c r="R111" s="3" t="str">
        <f aca="false">IF(Q111="pass","No","Yes")</f>
        <v>No</v>
      </c>
      <c r="S111" s="3" t="s">
        <v>60</v>
      </c>
      <c r="T111" s="3"/>
      <c r="U111" s="3"/>
      <c r="V111" s="9" t="n">
        <v>15.47</v>
      </c>
    </row>
    <row r="112" customFormat="false" ht="15" hidden="false" customHeight="true" outlineLevel="0" collapsed="false">
      <c r="A112" s="3" t="n">
        <v>111</v>
      </c>
      <c r="B112" s="3" t="n">
        <v>3</v>
      </c>
      <c r="C112" s="3" t="s">
        <v>166</v>
      </c>
      <c r="D112" s="3" t="s">
        <v>167</v>
      </c>
      <c r="E112" s="3" t="s">
        <v>168</v>
      </c>
      <c r="F112" s="3" t="s">
        <v>169</v>
      </c>
      <c r="G112" s="3" t="s">
        <v>74</v>
      </c>
      <c r="H112" s="3" t="n">
        <v>1</v>
      </c>
      <c r="I112" s="3" t="n">
        <v>11</v>
      </c>
      <c r="J112" s="3" t="s">
        <v>319</v>
      </c>
      <c r="K112" s="8" t="n">
        <v>572000</v>
      </c>
      <c r="L112" s="8" t="n">
        <v>9000</v>
      </c>
      <c r="M112" s="8" t="n">
        <v>43575</v>
      </c>
      <c r="N112" s="8" t="n">
        <v>624575</v>
      </c>
      <c r="O112" s="3" t="s">
        <v>57</v>
      </c>
      <c r="P112" s="3" t="s">
        <v>58</v>
      </c>
      <c r="Q112" s="3" t="s">
        <v>69</v>
      </c>
      <c r="R112" s="3" t="str">
        <f aca="false">IF(Q112="pass","No","Yes")</f>
        <v>No</v>
      </c>
      <c r="S112" s="3" t="s">
        <v>60</v>
      </c>
      <c r="T112" s="3"/>
      <c r="U112" s="3"/>
      <c r="V112" s="9" t="n">
        <v>5.824</v>
      </c>
    </row>
    <row r="113" customFormat="false" ht="15" hidden="false" customHeight="true" outlineLevel="0" collapsed="false">
      <c r="A113" s="3" t="n">
        <v>112</v>
      </c>
      <c r="B113" s="3" t="n">
        <v>3</v>
      </c>
      <c r="C113" s="3" t="s">
        <v>154</v>
      </c>
      <c r="D113" s="3" t="s">
        <v>155</v>
      </c>
      <c r="E113" s="3" t="s">
        <v>156</v>
      </c>
      <c r="F113" s="3" t="s">
        <v>157</v>
      </c>
      <c r="G113" s="3" t="s">
        <v>123</v>
      </c>
      <c r="H113" s="3" t="n">
        <v>2</v>
      </c>
      <c r="I113" s="3" t="n">
        <v>13</v>
      </c>
      <c r="J113" s="3" t="s">
        <v>320</v>
      </c>
      <c r="K113" s="8" t="n">
        <v>389200</v>
      </c>
      <c r="L113" s="8" t="n">
        <v>5000</v>
      </c>
      <c r="M113" s="8" t="n">
        <v>29565</v>
      </c>
      <c r="N113" s="8" t="n">
        <v>423765</v>
      </c>
      <c r="O113" s="3" t="s">
        <v>83</v>
      </c>
      <c r="P113" s="3" t="s">
        <v>84</v>
      </c>
      <c r="Q113" s="3" t="s">
        <v>85</v>
      </c>
      <c r="R113" s="3" t="str">
        <f aca="false">IF(Q113="pass","No","Yes")</f>
        <v>Yes</v>
      </c>
      <c r="S113" s="3" t="s">
        <v>86</v>
      </c>
      <c r="T113" s="3" t="s">
        <v>87</v>
      </c>
      <c r="U113" s="3" t="s">
        <v>290</v>
      </c>
      <c r="V113" s="9" t="n">
        <v>6.681</v>
      </c>
    </row>
    <row r="114" customFormat="false" ht="15" hidden="false" customHeight="true" outlineLevel="0" collapsed="false">
      <c r="A114" s="3" t="n">
        <v>113</v>
      </c>
      <c r="B114" s="3" t="n">
        <v>3</v>
      </c>
      <c r="C114" s="3" t="s">
        <v>213</v>
      </c>
      <c r="D114" s="3" t="s">
        <v>214</v>
      </c>
      <c r="E114" s="3" t="s">
        <v>215</v>
      </c>
      <c r="F114" s="3" t="s">
        <v>216</v>
      </c>
      <c r="G114" s="3" t="s">
        <v>67</v>
      </c>
      <c r="H114" s="3" t="n">
        <v>2</v>
      </c>
      <c r="I114" s="3" t="n">
        <v>15</v>
      </c>
      <c r="J114" s="3" t="s">
        <v>321</v>
      </c>
      <c r="K114" s="8" t="n">
        <v>479000</v>
      </c>
      <c r="L114" s="8" t="n">
        <v>4500</v>
      </c>
      <c r="M114" s="8" t="n">
        <v>36262.5</v>
      </c>
      <c r="N114" s="8" t="n">
        <v>519762.5</v>
      </c>
      <c r="O114" s="3" t="s">
        <v>152</v>
      </c>
      <c r="P114" s="3" t="s">
        <v>84</v>
      </c>
      <c r="Q114" s="3" t="s">
        <v>85</v>
      </c>
      <c r="R114" s="3" t="str">
        <f aca="false">IF(Q114="pass","No","Yes")</f>
        <v>Yes</v>
      </c>
      <c r="S114" s="3" t="s">
        <v>86</v>
      </c>
      <c r="T114" s="3" t="s">
        <v>87</v>
      </c>
      <c r="U114" s="3" t="s">
        <v>322</v>
      </c>
      <c r="V114" s="9" t="n">
        <v>6.906</v>
      </c>
    </row>
    <row r="115" customFormat="false" ht="15" hidden="false" customHeight="true" outlineLevel="0" collapsed="false">
      <c r="A115" s="3" t="n">
        <v>114</v>
      </c>
      <c r="B115" s="3" t="n">
        <v>3</v>
      </c>
      <c r="C115" s="3" t="s">
        <v>77</v>
      </c>
      <c r="D115" s="3" t="s">
        <v>78</v>
      </c>
      <c r="E115" s="3" t="s">
        <v>79</v>
      </c>
      <c r="F115" s="3" t="s">
        <v>80</v>
      </c>
      <c r="G115" s="3" t="s">
        <v>81</v>
      </c>
      <c r="H115" s="3" t="n">
        <v>1</v>
      </c>
      <c r="I115" s="3" t="n">
        <v>209</v>
      </c>
      <c r="J115" s="3" t="s">
        <v>323</v>
      </c>
      <c r="K115" s="8" t="n">
        <v>1985500</v>
      </c>
      <c r="L115" s="8" t="n">
        <v>4000</v>
      </c>
      <c r="M115" s="8" t="n">
        <v>149212.5</v>
      </c>
      <c r="N115" s="8" t="n">
        <v>2138712.5</v>
      </c>
      <c r="O115" s="3" t="s">
        <v>110</v>
      </c>
      <c r="P115" s="3" t="s">
        <v>58</v>
      </c>
      <c r="Q115" s="3" t="s">
        <v>59</v>
      </c>
      <c r="R115" s="3" t="str">
        <f aca="false">IF(Q115="pass","No","Yes")</f>
        <v>Yes</v>
      </c>
      <c r="S115" s="3" t="s">
        <v>60</v>
      </c>
      <c r="T115" s="3" t="s">
        <v>61</v>
      </c>
      <c r="U115" s="3" t="s">
        <v>324</v>
      </c>
      <c r="V115" s="9" t="n">
        <v>12.131</v>
      </c>
    </row>
    <row r="116" customFormat="false" ht="15" hidden="false" customHeight="true" outlineLevel="0" collapsed="false">
      <c r="A116" s="3" t="n">
        <v>115</v>
      </c>
      <c r="B116" s="3" t="n">
        <v>3</v>
      </c>
      <c r="C116" s="3" t="s">
        <v>105</v>
      </c>
      <c r="D116" s="3" t="s">
        <v>106</v>
      </c>
      <c r="E116" s="3" t="s">
        <v>107</v>
      </c>
      <c r="F116" s="3" t="s">
        <v>108</v>
      </c>
      <c r="G116" s="3" t="s">
        <v>81</v>
      </c>
      <c r="H116" s="3" t="n">
        <v>3</v>
      </c>
      <c r="I116" s="3" t="n">
        <v>107</v>
      </c>
      <c r="J116" s="3" t="s">
        <v>325</v>
      </c>
      <c r="K116" s="8" t="n">
        <v>1741000</v>
      </c>
      <c r="L116" s="8" t="n">
        <v>4000</v>
      </c>
      <c r="M116" s="8" t="n">
        <v>130875</v>
      </c>
      <c r="N116" s="8" t="n">
        <v>1875875</v>
      </c>
      <c r="O116" s="3" t="s">
        <v>57</v>
      </c>
      <c r="P116" s="3" t="s">
        <v>58</v>
      </c>
      <c r="Q116" s="3" t="s">
        <v>69</v>
      </c>
      <c r="R116" s="3" t="str">
        <f aca="false">IF(Q116="pass","No","Yes")</f>
        <v>No</v>
      </c>
      <c r="S116" s="3" t="s">
        <v>60</v>
      </c>
      <c r="T116" s="3"/>
      <c r="U116" s="3"/>
      <c r="V116" s="9" t="n">
        <v>9.79</v>
      </c>
    </row>
    <row r="117" customFormat="false" ht="15" hidden="false" customHeight="true" outlineLevel="0" collapsed="false">
      <c r="A117" s="3" t="n">
        <v>116</v>
      </c>
      <c r="B117" s="3" t="n">
        <v>3</v>
      </c>
      <c r="C117" s="3" t="s">
        <v>119</v>
      </c>
      <c r="D117" s="3" t="s">
        <v>120</v>
      </c>
      <c r="E117" s="3" t="s">
        <v>121</v>
      </c>
      <c r="F117" s="3" t="s">
        <v>122</v>
      </c>
      <c r="G117" s="3" t="s">
        <v>123</v>
      </c>
      <c r="H117" s="3" t="n">
        <v>4</v>
      </c>
      <c r="I117" s="3" t="n">
        <v>646</v>
      </c>
      <c r="J117" s="3" t="s">
        <v>326</v>
      </c>
      <c r="K117" s="8" t="n">
        <v>5116100</v>
      </c>
      <c r="L117" s="8" t="n">
        <v>5000</v>
      </c>
      <c r="M117" s="8" t="n">
        <v>384082.5</v>
      </c>
      <c r="N117" s="8" t="n">
        <v>5505182.5</v>
      </c>
      <c r="O117" s="3" t="s">
        <v>171</v>
      </c>
      <c r="P117" s="3" t="s">
        <v>84</v>
      </c>
      <c r="Q117" s="3" t="s">
        <v>85</v>
      </c>
      <c r="R117" s="3" t="str">
        <f aca="false">IF(Q117="pass","No","Yes")</f>
        <v>Yes</v>
      </c>
      <c r="S117" s="3" t="s">
        <v>86</v>
      </c>
      <c r="T117" s="3" t="s">
        <v>172</v>
      </c>
      <c r="U117" s="3" t="s">
        <v>327</v>
      </c>
      <c r="V117" s="9" t="n">
        <v>18.072</v>
      </c>
    </row>
    <row r="118" customFormat="false" ht="15" hidden="false" customHeight="true" outlineLevel="0" collapsed="false">
      <c r="A118" s="3" t="n">
        <v>117</v>
      </c>
      <c r="B118" s="3" t="n">
        <v>3</v>
      </c>
      <c r="C118" s="3" t="s">
        <v>213</v>
      </c>
      <c r="D118" s="3" t="s">
        <v>214</v>
      </c>
      <c r="E118" s="3" t="s">
        <v>215</v>
      </c>
      <c r="F118" s="3" t="s">
        <v>216</v>
      </c>
      <c r="G118" s="3" t="s">
        <v>67</v>
      </c>
      <c r="H118" s="3" t="n">
        <v>3</v>
      </c>
      <c r="I118" s="3" t="n">
        <v>39</v>
      </c>
      <c r="J118" s="3" t="s">
        <v>328</v>
      </c>
      <c r="K118" s="8" t="n">
        <v>991200</v>
      </c>
      <c r="L118" s="8" t="n">
        <v>4500</v>
      </c>
      <c r="M118" s="8" t="n">
        <v>74677.5</v>
      </c>
      <c r="N118" s="8" t="n">
        <v>1070377.5</v>
      </c>
      <c r="O118" s="3" t="s">
        <v>57</v>
      </c>
      <c r="P118" s="3" t="s">
        <v>58</v>
      </c>
      <c r="Q118" s="3" t="s">
        <v>69</v>
      </c>
      <c r="R118" s="3" t="str">
        <f aca="false">IF(Q118="pass","No","Yes")</f>
        <v>No</v>
      </c>
      <c r="S118" s="3" t="s">
        <v>60</v>
      </c>
      <c r="T118" s="3"/>
      <c r="U118" s="3"/>
      <c r="V118" s="9" t="n">
        <v>9.822</v>
      </c>
    </row>
    <row r="119" customFormat="false" ht="15" hidden="false" customHeight="true" outlineLevel="0" collapsed="false">
      <c r="A119" s="3" t="n">
        <v>118</v>
      </c>
      <c r="B119" s="3" t="n">
        <v>3</v>
      </c>
      <c r="C119" s="3" t="s">
        <v>89</v>
      </c>
      <c r="D119" s="3" t="s">
        <v>90</v>
      </c>
      <c r="E119" s="3" t="s">
        <v>91</v>
      </c>
      <c r="F119" s="3" t="s">
        <v>92</v>
      </c>
      <c r="G119" s="3" t="s">
        <v>67</v>
      </c>
      <c r="H119" s="3" t="n">
        <v>2</v>
      </c>
      <c r="I119" s="3" t="n">
        <v>5</v>
      </c>
      <c r="J119" s="3" t="s">
        <v>329</v>
      </c>
      <c r="K119" s="8" t="n">
        <v>132600</v>
      </c>
      <c r="L119" s="8" t="n">
        <v>4500</v>
      </c>
      <c r="M119" s="8" t="n">
        <v>10282.5</v>
      </c>
      <c r="N119" s="8" t="n">
        <v>147382.5</v>
      </c>
      <c r="O119" s="3" t="s">
        <v>83</v>
      </c>
      <c r="P119" s="3" t="s">
        <v>84</v>
      </c>
      <c r="Q119" s="3" t="s">
        <v>85</v>
      </c>
      <c r="R119" s="3" t="str">
        <f aca="false">IF(Q119="pass","No","Yes")</f>
        <v>Yes</v>
      </c>
      <c r="S119" s="3" t="s">
        <v>86</v>
      </c>
      <c r="T119" s="3" t="s">
        <v>87</v>
      </c>
      <c r="U119" s="3" t="s">
        <v>304</v>
      </c>
      <c r="V119" s="9" t="n">
        <v>7.106</v>
      </c>
    </row>
    <row r="120" customFormat="false" ht="15" hidden="false" customHeight="true" outlineLevel="0" collapsed="false">
      <c r="A120" s="3" t="n">
        <v>119</v>
      </c>
      <c r="B120" s="3" t="n">
        <v>3</v>
      </c>
      <c r="C120" s="3" t="s">
        <v>154</v>
      </c>
      <c r="D120" s="3" t="s">
        <v>155</v>
      </c>
      <c r="E120" s="3" t="s">
        <v>156</v>
      </c>
      <c r="F120" s="3" t="s">
        <v>157</v>
      </c>
      <c r="G120" s="3" t="s">
        <v>123</v>
      </c>
      <c r="H120" s="3" t="n">
        <v>3</v>
      </c>
      <c r="I120" s="3" t="n">
        <v>31</v>
      </c>
      <c r="J120" s="3" t="s">
        <v>330</v>
      </c>
      <c r="K120" s="8" t="n">
        <v>217000</v>
      </c>
      <c r="L120" s="8" t="n">
        <v>5000</v>
      </c>
      <c r="M120" s="8" t="n">
        <v>16650</v>
      </c>
      <c r="N120" s="8" t="n">
        <v>238650</v>
      </c>
      <c r="O120" s="3" t="s">
        <v>272</v>
      </c>
      <c r="P120" s="3" t="s">
        <v>84</v>
      </c>
      <c r="Q120" s="3" t="s">
        <v>85</v>
      </c>
      <c r="R120" s="3" t="str">
        <f aca="false">IF(Q120="pass","No","Yes")</f>
        <v>Yes</v>
      </c>
      <c r="S120" s="3" t="s">
        <v>86</v>
      </c>
      <c r="T120" s="3" t="s">
        <v>273</v>
      </c>
      <c r="U120" s="3" t="s">
        <v>331</v>
      </c>
      <c r="V120" s="9" t="n">
        <v>14.277</v>
      </c>
    </row>
    <row r="121" customFormat="false" ht="15" hidden="false" customHeight="true" outlineLevel="0" collapsed="false">
      <c r="A121" s="3" t="n">
        <v>120</v>
      </c>
      <c r="B121" s="3" t="n">
        <v>3</v>
      </c>
      <c r="C121" s="3" t="s">
        <v>63</v>
      </c>
      <c r="D121" s="3" t="s">
        <v>64</v>
      </c>
      <c r="E121" s="3" t="s">
        <v>65</v>
      </c>
      <c r="F121" s="3" t="s">
        <v>66</v>
      </c>
      <c r="G121" s="3" t="s">
        <v>67</v>
      </c>
      <c r="H121" s="3" t="n">
        <v>3</v>
      </c>
      <c r="I121" s="3" t="n">
        <v>34</v>
      </c>
      <c r="J121" s="3" t="s">
        <v>332</v>
      </c>
      <c r="K121" s="8" t="n">
        <v>543500</v>
      </c>
      <c r="L121" s="8" t="n">
        <v>4500</v>
      </c>
      <c r="M121" s="8" t="n">
        <v>41100</v>
      </c>
      <c r="N121" s="8" t="n">
        <v>589100</v>
      </c>
      <c r="O121" s="3" t="s">
        <v>272</v>
      </c>
      <c r="P121" s="3" t="s">
        <v>84</v>
      </c>
      <c r="Q121" s="3" t="s">
        <v>85</v>
      </c>
      <c r="R121" s="3" t="str">
        <f aca="false">IF(Q121="pass","No","Yes")</f>
        <v>Yes</v>
      </c>
      <c r="S121" s="3" t="s">
        <v>86</v>
      </c>
      <c r="T121" s="3" t="s">
        <v>273</v>
      </c>
      <c r="U121" s="3" t="s">
        <v>333</v>
      </c>
      <c r="V121" s="9" t="n">
        <v>7.959</v>
      </c>
    </row>
    <row r="122" customFormat="false" ht="15" hidden="false" customHeight="true" outlineLevel="0" collapsed="false">
      <c r="A122" s="3" t="n">
        <v>121</v>
      </c>
      <c r="B122" s="3" t="n">
        <v>3</v>
      </c>
      <c r="C122" s="3" t="s">
        <v>213</v>
      </c>
      <c r="D122" s="3" t="s">
        <v>214</v>
      </c>
      <c r="E122" s="3" t="s">
        <v>215</v>
      </c>
      <c r="F122" s="3" t="s">
        <v>216</v>
      </c>
      <c r="G122" s="3" t="s">
        <v>67</v>
      </c>
      <c r="H122" s="3" t="n">
        <v>3</v>
      </c>
      <c r="I122" s="3" t="n">
        <v>18</v>
      </c>
      <c r="J122" s="3" t="s">
        <v>334</v>
      </c>
      <c r="K122" s="8" t="n">
        <v>381200</v>
      </c>
      <c r="L122" s="8" t="n">
        <v>4500</v>
      </c>
      <c r="M122" s="8" t="n">
        <v>28927.5</v>
      </c>
      <c r="N122" s="8" t="n">
        <v>414627.5</v>
      </c>
      <c r="O122" s="3" t="s">
        <v>57</v>
      </c>
      <c r="P122" s="3" t="s">
        <v>58</v>
      </c>
      <c r="Q122" s="3" t="s">
        <v>69</v>
      </c>
      <c r="R122" s="3" t="str">
        <f aca="false">IF(Q122="pass","No","Yes")</f>
        <v>No</v>
      </c>
      <c r="S122" s="3" t="s">
        <v>60</v>
      </c>
      <c r="T122" s="3"/>
      <c r="U122" s="3"/>
      <c r="V122" s="9" t="n">
        <v>10.152</v>
      </c>
    </row>
    <row r="123" customFormat="false" ht="15" hidden="false" customHeight="true" outlineLevel="0" collapsed="false">
      <c r="A123" s="3" t="n">
        <v>122</v>
      </c>
      <c r="B123" s="3" t="n">
        <v>3</v>
      </c>
      <c r="C123" s="3" t="s">
        <v>119</v>
      </c>
      <c r="D123" s="3" t="s">
        <v>120</v>
      </c>
      <c r="E123" s="3" t="s">
        <v>121</v>
      </c>
      <c r="F123" s="3" t="s">
        <v>122</v>
      </c>
      <c r="G123" s="3" t="s">
        <v>123</v>
      </c>
      <c r="H123" s="3" t="n">
        <v>1</v>
      </c>
      <c r="I123" s="3" t="n">
        <v>21</v>
      </c>
      <c r="J123" s="3" t="s">
        <v>335</v>
      </c>
      <c r="K123" s="8" t="n">
        <v>304500</v>
      </c>
      <c r="L123" s="8" t="n">
        <v>5000</v>
      </c>
      <c r="M123" s="8" t="n">
        <v>23212.5</v>
      </c>
      <c r="N123" s="8" t="n">
        <v>332712.5</v>
      </c>
      <c r="O123" s="3" t="s">
        <v>152</v>
      </c>
      <c r="P123" s="3" t="s">
        <v>84</v>
      </c>
      <c r="Q123" s="3" t="s">
        <v>85</v>
      </c>
      <c r="R123" s="3" t="str">
        <f aca="false">IF(Q123="pass","No","Yes")</f>
        <v>Yes</v>
      </c>
      <c r="S123" s="3" t="s">
        <v>86</v>
      </c>
      <c r="T123" s="3" t="s">
        <v>87</v>
      </c>
      <c r="U123" s="3" t="s">
        <v>336</v>
      </c>
      <c r="V123" s="9" t="n">
        <v>5.841</v>
      </c>
    </row>
    <row r="124" customFormat="false" ht="15" hidden="false" customHeight="true" outlineLevel="0" collapsed="false">
      <c r="A124" s="3" t="n">
        <v>123</v>
      </c>
      <c r="B124" s="3" t="n">
        <v>3</v>
      </c>
      <c r="C124" s="3" t="s">
        <v>89</v>
      </c>
      <c r="D124" s="3" t="s">
        <v>90</v>
      </c>
      <c r="E124" s="3" t="s">
        <v>91</v>
      </c>
      <c r="F124" s="3" t="s">
        <v>92</v>
      </c>
      <c r="G124" s="3" t="s">
        <v>67</v>
      </c>
      <c r="H124" s="3" t="n">
        <v>1</v>
      </c>
      <c r="I124" s="3" t="n">
        <v>2</v>
      </c>
      <c r="J124" s="3" t="s">
        <v>263</v>
      </c>
      <c r="K124" s="8" t="n">
        <v>76000</v>
      </c>
      <c r="L124" s="8" t="n">
        <v>4500</v>
      </c>
      <c r="M124" s="8" t="n">
        <v>6037.5</v>
      </c>
      <c r="N124" s="8" t="n">
        <v>86537.5</v>
      </c>
      <c r="O124" s="3" t="s">
        <v>57</v>
      </c>
      <c r="P124" s="3" t="s">
        <v>58</v>
      </c>
      <c r="Q124" s="3" t="s">
        <v>69</v>
      </c>
      <c r="R124" s="3" t="str">
        <f aca="false">IF(Q124="pass","No","Yes")</f>
        <v>No</v>
      </c>
      <c r="S124" s="3" t="s">
        <v>60</v>
      </c>
      <c r="T124" s="3"/>
      <c r="U124" s="3"/>
      <c r="V124" s="9" t="n">
        <v>6.057</v>
      </c>
    </row>
    <row r="125" customFormat="false" ht="15" hidden="false" customHeight="true" outlineLevel="0" collapsed="false">
      <c r="A125" s="3" t="n">
        <v>124</v>
      </c>
      <c r="B125" s="3" t="n">
        <v>3</v>
      </c>
      <c r="C125" s="3" t="s">
        <v>77</v>
      </c>
      <c r="D125" s="3" t="s">
        <v>78</v>
      </c>
      <c r="E125" s="3" t="s">
        <v>79</v>
      </c>
      <c r="F125" s="3" t="s">
        <v>80</v>
      </c>
      <c r="G125" s="3" t="s">
        <v>81</v>
      </c>
      <c r="H125" s="3" t="n">
        <v>2</v>
      </c>
      <c r="I125" s="3" t="n">
        <v>39</v>
      </c>
      <c r="J125" s="3" t="s">
        <v>337</v>
      </c>
      <c r="K125" s="8" t="n">
        <v>488800</v>
      </c>
      <c r="L125" s="8" t="n">
        <v>4000</v>
      </c>
      <c r="M125" s="8" t="n">
        <v>36960</v>
      </c>
      <c r="N125" s="8" t="n">
        <v>529760</v>
      </c>
      <c r="O125" s="3" t="s">
        <v>57</v>
      </c>
      <c r="P125" s="3" t="s">
        <v>58</v>
      </c>
      <c r="Q125" s="3" t="s">
        <v>69</v>
      </c>
      <c r="R125" s="3" t="str">
        <f aca="false">IF(Q125="pass","No","Yes")</f>
        <v>No</v>
      </c>
      <c r="S125" s="3" t="s">
        <v>60</v>
      </c>
      <c r="T125" s="3"/>
      <c r="U125" s="3"/>
      <c r="V125" s="9" t="n">
        <v>8.507</v>
      </c>
    </row>
    <row r="126" customFormat="false" ht="15" hidden="false" customHeight="true" outlineLevel="0" collapsed="false">
      <c r="A126" s="3" t="n">
        <v>125</v>
      </c>
      <c r="B126" s="3" t="n">
        <v>3</v>
      </c>
      <c r="C126" s="3" t="s">
        <v>154</v>
      </c>
      <c r="D126" s="3" t="s">
        <v>155</v>
      </c>
      <c r="E126" s="3" t="s">
        <v>156</v>
      </c>
      <c r="F126" s="3" t="s">
        <v>157</v>
      </c>
      <c r="G126" s="3" t="s">
        <v>123</v>
      </c>
      <c r="H126" s="3" t="n">
        <v>1</v>
      </c>
      <c r="I126" s="3" t="n">
        <v>207</v>
      </c>
      <c r="J126" s="3" t="s">
        <v>338</v>
      </c>
      <c r="K126" s="8" t="n">
        <v>1966500</v>
      </c>
      <c r="L126" s="8" t="n">
        <v>5000</v>
      </c>
      <c r="M126" s="8" t="n">
        <v>147862.5</v>
      </c>
      <c r="N126" s="8" t="n">
        <v>2119362.5</v>
      </c>
      <c r="O126" s="3" t="s">
        <v>110</v>
      </c>
      <c r="P126" s="3" t="s">
        <v>58</v>
      </c>
      <c r="Q126" s="3" t="s">
        <v>59</v>
      </c>
      <c r="R126" s="3" t="str">
        <f aca="false">IF(Q126="pass","No","Yes")</f>
        <v>Yes</v>
      </c>
      <c r="S126" s="3" t="s">
        <v>60</v>
      </c>
      <c r="T126" s="3" t="s">
        <v>61</v>
      </c>
      <c r="U126" s="3" t="s">
        <v>339</v>
      </c>
      <c r="V126" s="9" t="n">
        <v>13.018</v>
      </c>
    </row>
    <row r="127" customFormat="false" ht="15" hidden="false" customHeight="true" outlineLevel="0" collapsed="false">
      <c r="A127" s="3" t="n">
        <v>126</v>
      </c>
      <c r="B127" s="3" t="n">
        <v>3</v>
      </c>
      <c r="C127" s="3" t="s">
        <v>63</v>
      </c>
      <c r="D127" s="3" t="s">
        <v>64</v>
      </c>
      <c r="E127" s="3" t="s">
        <v>65</v>
      </c>
      <c r="F127" s="3" t="s">
        <v>66</v>
      </c>
      <c r="G127" s="3" t="s">
        <v>67</v>
      </c>
      <c r="H127" s="3" t="n">
        <v>1</v>
      </c>
      <c r="I127" s="3" t="n">
        <v>219</v>
      </c>
      <c r="J127" s="3" t="s">
        <v>340</v>
      </c>
      <c r="K127" s="8" t="n">
        <v>2080500</v>
      </c>
      <c r="L127" s="8" t="n">
        <v>4500</v>
      </c>
      <c r="M127" s="8" t="n">
        <v>156375</v>
      </c>
      <c r="N127" s="8" t="n">
        <v>2241375</v>
      </c>
      <c r="O127" s="3" t="s">
        <v>110</v>
      </c>
      <c r="P127" s="3" t="s">
        <v>58</v>
      </c>
      <c r="Q127" s="3" t="s">
        <v>59</v>
      </c>
      <c r="R127" s="3" t="str">
        <f aca="false">IF(Q127="pass","No","Yes")</f>
        <v>Yes</v>
      </c>
      <c r="S127" s="3" t="s">
        <v>60</v>
      </c>
      <c r="T127" s="3" t="s">
        <v>61</v>
      </c>
      <c r="U127" s="3" t="s">
        <v>341</v>
      </c>
      <c r="V127" s="9" t="n">
        <v>12.849</v>
      </c>
    </row>
    <row r="128" customFormat="false" ht="15" hidden="false" customHeight="true" outlineLevel="0" collapsed="false">
      <c r="A128" s="3" t="n">
        <v>127</v>
      </c>
      <c r="B128" s="3" t="n">
        <v>3</v>
      </c>
      <c r="C128" s="3" t="s">
        <v>112</v>
      </c>
      <c r="D128" s="3" t="s">
        <v>113</v>
      </c>
      <c r="E128" s="3" t="s">
        <v>114</v>
      </c>
      <c r="F128" s="3" t="s">
        <v>115</v>
      </c>
      <c r="G128" s="3" t="s">
        <v>146</v>
      </c>
      <c r="H128" s="3" t="n">
        <v>1</v>
      </c>
      <c r="I128" s="3" t="n">
        <v>14</v>
      </c>
      <c r="J128" s="3" t="s">
        <v>342</v>
      </c>
      <c r="K128" s="8" t="n">
        <v>120400</v>
      </c>
      <c r="L128" s="8" t="n">
        <v>0</v>
      </c>
      <c r="M128" s="8" t="n">
        <v>9030</v>
      </c>
      <c r="N128" s="8" t="n">
        <v>129430</v>
      </c>
      <c r="O128" s="3" t="s">
        <v>148</v>
      </c>
      <c r="P128" s="3" t="s">
        <v>84</v>
      </c>
      <c r="Q128" s="3" t="s">
        <v>85</v>
      </c>
      <c r="R128" s="3" t="str">
        <f aca="false">IF(Q128="pass","No","Yes")</f>
        <v>Yes</v>
      </c>
      <c r="S128" s="3" t="s">
        <v>86</v>
      </c>
      <c r="T128" s="3" t="s">
        <v>149</v>
      </c>
      <c r="U128" s="3" t="s">
        <v>150</v>
      </c>
      <c r="V128" s="9" t="n">
        <v>5.367</v>
      </c>
    </row>
    <row r="129" customFormat="false" ht="15" hidden="false" customHeight="true" outlineLevel="0" collapsed="false">
      <c r="A129" s="3" t="n">
        <v>128</v>
      </c>
      <c r="B129" s="3" t="n">
        <v>3</v>
      </c>
      <c r="C129" s="3" t="s">
        <v>142</v>
      </c>
      <c r="D129" s="3" t="s">
        <v>143</v>
      </c>
      <c r="E129" s="3" t="s">
        <v>144</v>
      </c>
      <c r="F129" s="3" t="s">
        <v>145</v>
      </c>
      <c r="G129" s="3" t="s">
        <v>74</v>
      </c>
      <c r="H129" s="3" t="n">
        <v>2</v>
      </c>
      <c r="I129" s="3" t="n">
        <v>155</v>
      </c>
      <c r="J129" s="3" t="s">
        <v>343</v>
      </c>
      <c r="K129" s="8" t="n">
        <v>1642700</v>
      </c>
      <c r="L129" s="8" t="n">
        <v>9000</v>
      </c>
      <c r="M129" s="8" t="n">
        <v>123877.5</v>
      </c>
      <c r="N129" s="8" t="n">
        <v>1775577.5</v>
      </c>
      <c r="O129" s="3" t="s">
        <v>57</v>
      </c>
      <c r="P129" s="3" t="s">
        <v>58</v>
      </c>
      <c r="Q129" s="3" t="s">
        <v>59</v>
      </c>
      <c r="R129" s="3" t="str">
        <f aca="false">IF(Q129="pass","No","Yes")</f>
        <v>Yes</v>
      </c>
      <c r="S129" s="3" t="s">
        <v>60</v>
      </c>
      <c r="T129" s="3" t="s">
        <v>61</v>
      </c>
      <c r="U129" s="3" t="s">
        <v>344</v>
      </c>
      <c r="V129" s="9" t="n">
        <v>15.764</v>
      </c>
    </row>
    <row r="130" customFormat="false" ht="15" hidden="false" customHeight="true" outlineLevel="0" collapsed="false">
      <c r="A130" s="3" t="n">
        <v>129</v>
      </c>
      <c r="B130" s="3" t="n">
        <v>3</v>
      </c>
      <c r="C130" s="3" t="s">
        <v>186</v>
      </c>
      <c r="D130" s="3" t="s">
        <v>187</v>
      </c>
      <c r="E130" s="3" t="s">
        <v>188</v>
      </c>
      <c r="F130" s="3" t="s">
        <v>189</v>
      </c>
      <c r="G130" s="3" t="s">
        <v>123</v>
      </c>
      <c r="H130" s="3" t="n">
        <v>1</v>
      </c>
      <c r="I130" s="3" t="n">
        <v>7</v>
      </c>
      <c r="J130" s="3" t="s">
        <v>345</v>
      </c>
      <c r="K130" s="8" t="n">
        <v>60200</v>
      </c>
      <c r="L130" s="8" t="n">
        <v>5000</v>
      </c>
      <c r="M130" s="8" t="n">
        <v>4890</v>
      </c>
      <c r="N130" s="8" t="n">
        <v>70090</v>
      </c>
      <c r="O130" s="3" t="s">
        <v>76</v>
      </c>
      <c r="P130" s="3" t="s">
        <v>58</v>
      </c>
      <c r="Q130" s="3" t="s">
        <v>69</v>
      </c>
      <c r="R130" s="3" t="str">
        <f aca="false">IF(Q130="pass","No","Yes")</f>
        <v>No</v>
      </c>
      <c r="S130" s="3" t="s">
        <v>60</v>
      </c>
      <c r="T130" s="3"/>
      <c r="U130" s="3"/>
      <c r="V130" s="9" t="n">
        <v>6.263</v>
      </c>
    </row>
    <row r="131" customFormat="false" ht="15" hidden="false" customHeight="true" outlineLevel="0" collapsed="false">
      <c r="A131" s="3" t="n">
        <v>130</v>
      </c>
      <c r="B131" s="3" t="n">
        <v>3</v>
      </c>
      <c r="C131" s="3" t="s">
        <v>142</v>
      </c>
      <c r="D131" s="3" t="s">
        <v>143</v>
      </c>
      <c r="E131" s="3" t="s">
        <v>144</v>
      </c>
      <c r="F131" s="3" t="s">
        <v>145</v>
      </c>
      <c r="G131" s="3" t="s">
        <v>74</v>
      </c>
      <c r="H131" s="3" t="n">
        <v>3</v>
      </c>
      <c r="I131" s="3" t="n">
        <v>34</v>
      </c>
      <c r="J131" s="3" t="s">
        <v>346</v>
      </c>
      <c r="K131" s="8" t="n">
        <v>498200</v>
      </c>
      <c r="L131" s="8" t="n">
        <v>9000</v>
      </c>
      <c r="M131" s="8" t="n">
        <v>38040</v>
      </c>
      <c r="N131" s="8" t="n">
        <v>545240</v>
      </c>
      <c r="O131" s="3" t="s">
        <v>132</v>
      </c>
      <c r="P131" s="3" t="s">
        <v>84</v>
      </c>
      <c r="Q131" s="3" t="s">
        <v>85</v>
      </c>
      <c r="R131" s="3" t="str">
        <f aca="false">IF(Q131="pass","No","Yes")</f>
        <v>Yes</v>
      </c>
      <c r="S131" s="3" t="s">
        <v>86</v>
      </c>
      <c r="T131" s="3" t="s">
        <v>133</v>
      </c>
      <c r="U131" s="3" t="s">
        <v>134</v>
      </c>
      <c r="V131" s="9" t="n">
        <v>8.395</v>
      </c>
    </row>
    <row r="132" customFormat="false" ht="15" hidden="false" customHeight="true" outlineLevel="0" collapsed="false">
      <c r="A132" s="3" t="n">
        <v>131</v>
      </c>
      <c r="B132" s="3" t="n">
        <v>3</v>
      </c>
      <c r="C132" s="3" t="s">
        <v>127</v>
      </c>
      <c r="D132" s="3" t="s">
        <v>128</v>
      </c>
      <c r="E132" s="3" t="s">
        <v>129</v>
      </c>
      <c r="F132" s="3" t="s">
        <v>130</v>
      </c>
      <c r="G132" s="3" t="s">
        <v>55</v>
      </c>
      <c r="H132" s="3" t="n">
        <v>1</v>
      </c>
      <c r="I132" s="3" t="n">
        <v>10</v>
      </c>
      <c r="J132" s="3" t="s">
        <v>347</v>
      </c>
      <c r="K132" s="8" t="n">
        <v>310000</v>
      </c>
      <c r="L132" s="8" t="n">
        <v>6000</v>
      </c>
      <c r="M132" s="8" t="n">
        <v>23700</v>
      </c>
      <c r="N132" s="8" t="n">
        <v>339700</v>
      </c>
      <c r="O132" s="3" t="s">
        <v>152</v>
      </c>
      <c r="P132" s="3" t="s">
        <v>84</v>
      </c>
      <c r="Q132" s="3" t="s">
        <v>85</v>
      </c>
      <c r="R132" s="3" t="str">
        <f aca="false">IF(Q132="pass","No","Yes")</f>
        <v>Yes</v>
      </c>
      <c r="S132" s="3" t="s">
        <v>86</v>
      </c>
      <c r="T132" s="3" t="s">
        <v>87</v>
      </c>
      <c r="U132" s="3" t="s">
        <v>264</v>
      </c>
      <c r="V132" s="9" t="n">
        <v>5.659</v>
      </c>
    </row>
    <row r="133" customFormat="false" ht="15" hidden="false" customHeight="true" outlineLevel="0" collapsed="false">
      <c r="A133" s="3" t="n">
        <v>132</v>
      </c>
      <c r="B133" s="3" t="n">
        <v>3</v>
      </c>
      <c r="C133" s="3" t="s">
        <v>213</v>
      </c>
      <c r="D133" s="3" t="s">
        <v>214</v>
      </c>
      <c r="E133" s="3" t="s">
        <v>215</v>
      </c>
      <c r="F133" s="3" t="s">
        <v>216</v>
      </c>
      <c r="G133" s="3" t="s">
        <v>67</v>
      </c>
      <c r="H133" s="3" t="n">
        <v>2</v>
      </c>
      <c r="I133" s="3" t="n">
        <v>11</v>
      </c>
      <c r="J133" s="3" t="s">
        <v>348</v>
      </c>
      <c r="K133" s="8" t="n">
        <v>341000</v>
      </c>
      <c r="L133" s="8" t="n">
        <v>4500</v>
      </c>
      <c r="M133" s="8" t="n">
        <v>25912.5</v>
      </c>
      <c r="N133" s="8" t="n">
        <v>371412.5</v>
      </c>
      <c r="O133" s="3" t="s">
        <v>272</v>
      </c>
      <c r="P133" s="3" t="s">
        <v>84</v>
      </c>
      <c r="Q133" s="3" t="s">
        <v>85</v>
      </c>
      <c r="R133" s="3" t="str">
        <f aca="false">IF(Q133="pass","No","Yes")</f>
        <v>Yes</v>
      </c>
      <c r="S133" s="3" t="s">
        <v>86</v>
      </c>
      <c r="T133" s="3" t="s">
        <v>273</v>
      </c>
      <c r="U133" s="3" t="s">
        <v>349</v>
      </c>
      <c r="V133" s="9" t="n">
        <v>5.841</v>
      </c>
    </row>
    <row r="134" customFormat="false" ht="15" hidden="false" customHeight="true" outlineLevel="0" collapsed="false">
      <c r="A134" s="3" t="n">
        <v>133</v>
      </c>
      <c r="B134" s="3" t="n">
        <v>3</v>
      </c>
      <c r="C134" s="3" t="s">
        <v>186</v>
      </c>
      <c r="D134" s="3" t="s">
        <v>187</v>
      </c>
      <c r="E134" s="3" t="s">
        <v>188</v>
      </c>
      <c r="F134" s="3" t="s">
        <v>189</v>
      </c>
      <c r="G134" s="3" t="s">
        <v>123</v>
      </c>
      <c r="H134" s="3" t="n">
        <v>1</v>
      </c>
      <c r="I134" s="3" t="n">
        <v>9</v>
      </c>
      <c r="J134" s="3" t="s">
        <v>350</v>
      </c>
      <c r="K134" s="8" t="n">
        <v>36900</v>
      </c>
      <c r="L134" s="8" t="n">
        <v>5000</v>
      </c>
      <c r="M134" s="8" t="n">
        <v>3142.5</v>
      </c>
      <c r="N134" s="8" t="n">
        <v>45042.5</v>
      </c>
      <c r="O134" s="3" t="s">
        <v>76</v>
      </c>
      <c r="P134" s="3" t="s">
        <v>58</v>
      </c>
      <c r="Q134" s="3" t="s">
        <v>69</v>
      </c>
      <c r="R134" s="3" t="str">
        <f aca="false">IF(Q134="pass","No","Yes")</f>
        <v>No</v>
      </c>
      <c r="S134" s="3" t="s">
        <v>60</v>
      </c>
      <c r="T134" s="3"/>
      <c r="U134" s="3"/>
      <c r="V134" s="9" t="n">
        <v>6.528</v>
      </c>
    </row>
    <row r="135" customFormat="false" ht="15" hidden="false" customHeight="true" outlineLevel="0" collapsed="false">
      <c r="A135" s="3" t="n">
        <v>134</v>
      </c>
      <c r="B135" s="3" t="n">
        <v>3</v>
      </c>
      <c r="C135" s="3" t="s">
        <v>186</v>
      </c>
      <c r="D135" s="3" t="s">
        <v>187</v>
      </c>
      <c r="E135" s="3" t="s">
        <v>188</v>
      </c>
      <c r="F135" s="3" t="s">
        <v>189</v>
      </c>
      <c r="G135" s="3" t="s">
        <v>123</v>
      </c>
      <c r="H135" s="3" t="n">
        <v>3</v>
      </c>
      <c r="I135" s="3" t="n">
        <v>301</v>
      </c>
      <c r="J135" s="3" t="s">
        <v>351</v>
      </c>
      <c r="K135" s="8" t="n">
        <v>3005300</v>
      </c>
      <c r="L135" s="8" t="n">
        <v>5000</v>
      </c>
      <c r="M135" s="8" t="n">
        <v>225772.5</v>
      </c>
      <c r="N135" s="8" t="n">
        <v>3236072.5</v>
      </c>
      <c r="O135" s="3" t="s">
        <v>57</v>
      </c>
      <c r="P135" s="3" t="s">
        <v>58</v>
      </c>
      <c r="Q135" s="3" t="s">
        <v>59</v>
      </c>
      <c r="R135" s="3" t="str">
        <f aca="false">IF(Q135="pass","No","Yes")</f>
        <v>Yes</v>
      </c>
      <c r="S135" s="3" t="s">
        <v>60</v>
      </c>
      <c r="T135" s="3" t="s">
        <v>61</v>
      </c>
      <c r="U135" s="3" t="s">
        <v>352</v>
      </c>
      <c r="V135" s="9" t="n">
        <v>19.163</v>
      </c>
    </row>
    <row r="136" customFormat="false" ht="15" hidden="false" customHeight="true" outlineLevel="0" collapsed="false">
      <c r="A136" s="3" t="n">
        <v>135</v>
      </c>
      <c r="B136" s="3" t="n">
        <v>3</v>
      </c>
      <c r="C136" s="3" t="s">
        <v>186</v>
      </c>
      <c r="D136" s="3" t="s">
        <v>187</v>
      </c>
      <c r="E136" s="3" t="s">
        <v>188</v>
      </c>
      <c r="F136" s="3" t="s">
        <v>189</v>
      </c>
      <c r="G136" s="3" t="s">
        <v>123</v>
      </c>
      <c r="H136" s="3" t="n">
        <v>2</v>
      </c>
      <c r="I136" s="3" t="n">
        <v>22</v>
      </c>
      <c r="J136" s="3" t="s">
        <v>353</v>
      </c>
      <c r="K136" s="8" t="n">
        <v>351500</v>
      </c>
      <c r="L136" s="8" t="n">
        <v>5000</v>
      </c>
      <c r="M136" s="8" t="n">
        <v>26737.5</v>
      </c>
      <c r="N136" s="8" t="n">
        <v>383237.5</v>
      </c>
      <c r="O136" s="3" t="s">
        <v>57</v>
      </c>
      <c r="P136" s="3" t="s">
        <v>58</v>
      </c>
      <c r="Q136" s="3" t="s">
        <v>69</v>
      </c>
      <c r="R136" s="3" t="str">
        <f aca="false">IF(Q136="pass","No","Yes")</f>
        <v>No</v>
      </c>
      <c r="S136" s="3" t="s">
        <v>60</v>
      </c>
      <c r="T136" s="3"/>
      <c r="U136" s="3"/>
      <c r="V136" s="9" t="n">
        <v>9.02</v>
      </c>
    </row>
    <row r="137" customFormat="false" ht="15" hidden="false" customHeight="true" outlineLevel="0" collapsed="false">
      <c r="A137" s="3" t="n">
        <v>136</v>
      </c>
      <c r="B137" s="3" t="n">
        <v>3</v>
      </c>
      <c r="C137" s="3" t="s">
        <v>100</v>
      </c>
      <c r="D137" s="3" t="s">
        <v>101</v>
      </c>
      <c r="E137" s="3" t="s">
        <v>102</v>
      </c>
      <c r="F137" s="3" t="s">
        <v>103</v>
      </c>
      <c r="G137" s="3" t="s">
        <v>67</v>
      </c>
      <c r="H137" s="3" t="n">
        <v>0</v>
      </c>
      <c r="I137" s="3" t="n">
        <v>0</v>
      </c>
      <c r="J137" s="3"/>
      <c r="K137" s="8" t="n">
        <v>0</v>
      </c>
      <c r="L137" s="8" t="n">
        <v>4500</v>
      </c>
      <c r="M137" s="8" t="n">
        <v>337.5</v>
      </c>
      <c r="N137" s="8" t="n">
        <v>4837.5</v>
      </c>
      <c r="O137" s="3" t="s">
        <v>76</v>
      </c>
      <c r="P137" s="3" t="s">
        <v>58</v>
      </c>
      <c r="Q137" s="3" t="s">
        <v>85</v>
      </c>
      <c r="R137" s="3" t="str">
        <f aca="false">IF(Q137="pass","No","Yes")</f>
        <v>Yes</v>
      </c>
      <c r="S137" s="3" t="s">
        <v>86</v>
      </c>
      <c r="T137" s="3" t="s">
        <v>87</v>
      </c>
      <c r="U137" s="3" t="s">
        <v>205</v>
      </c>
      <c r="V137" s="9" t="n">
        <v>3.236</v>
      </c>
    </row>
    <row r="138" customFormat="false" ht="15" hidden="false" customHeight="true" outlineLevel="0" collapsed="false">
      <c r="A138" s="3" t="n">
        <v>137</v>
      </c>
      <c r="B138" s="3" t="n">
        <v>3</v>
      </c>
      <c r="C138" s="3" t="s">
        <v>213</v>
      </c>
      <c r="D138" s="3" t="s">
        <v>214</v>
      </c>
      <c r="E138" s="3" t="s">
        <v>215</v>
      </c>
      <c r="F138" s="3" t="s">
        <v>216</v>
      </c>
      <c r="G138" s="3" t="s">
        <v>67</v>
      </c>
      <c r="H138" s="3" t="n">
        <v>3</v>
      </c>
      <c r="I138" s="3" t="n">
        <v>50</v>
      </c>
      <c r="J138" s="3" t="s">
        <v>354</v>
      </c>
      <c r="K138" s="8" t="n">
        <v>1248000</v>
      </c>
      <c r="L138" s="8" t="n">
        <v>4500</v>
      </c>
      <c r="M138" s="8" t="n">
        <v>93937.5</v>
      </c>
      <c r="N138" s="8" t="n">
        <v>1346437.5</v>
      </c>
      <c r="O138" s="3" t="s">
        <v>132</v>
      </c>
      <c r="P138" s="3" t="s">
        <v>84</v>
      </c>
      <c r="Q138" s="3" t="s">
        <v>85</v>
      </c>
      <c r="R138" s="3" t="str">
        <f aca="false">IF(Q138="pass","No","Yes")</f>
        <v>Yes</v>
      </c>
      <c r="S138" s="3" t="s">
        <v>86</v>
      </c>
      <c r="T138" s="3" t="s">
        <v>133</v>
      </c>
      <c r="U138" s="3" t="s">
        <v>134</v>
      </c>
      <c r="V138" s="9" t="n">
        <v>9.303</v>
      </c>
    </row>
    <row r="139" customFormat="false" ht="15" hidden="false" customHeight="true" outlineLevel="0" collapsed="false">
      <c r="A139" s="3" t="n">
        <v>138</v>
      </c>
      <c r="B139" s="3" t="n">
        <v>3</v>
      </c>
      <c r="C139" s="3" t="s">
        <v>137</v>
      </c>
      <c r="D139" s="3" t="s">
        <v>138</v>
      </c>
      <c r="E139" s="3" t="s">
        <v>139</v>
      </c>
      <c r="F139" s="3" t="s">
        <v>140</v>
      </c>
      <c r="G139" s="3" t="s">
        <v>55</v>
      </c>
      <c r="H139" s="3" t="n">
        <v>3</v>
      </c>
      <c r="I139" s="3" t="n">
        <v>92</v>
      </c>
      <c r="J139" s="3" t="s">
        <v>355</v>
      </c>
      <c r="K139" s="8" t="n">
        <v>1031000</v>
      </c>
      <c r="L139" s="8" t="n">
        <v>6000</v>
      </c>
      <c r="M139" s="8" t="n">
        <v>77775</v>
      </c>
      <c r="N139" s="8" t="n">
        <v>1114775</v>
      </c>
      <c r="O139" s="3" t="s">
        <v>132</v>
      </c>
      <c r="P139" s="3" t="s">
        <v>84</v>
      </c>
      <c r="Q139" s="3" t="s">
        <v>85</v>
      </c>
      <c r="R139" s="3" t="str">
        <f aca="false">IF(Q139="pass","No","Yes")</f>
        <v>Yes</v>
      </c>
      <c r="S139" s="3" t="s">
        <v>86</v>
      </c>
      <c r="T139" s="3" t="s">
        <v>133</v>
      </c>
      <c r="U139" s="3" t="s">
        <v>134</v>
      </c>
      <c r="V139" s="9" t="n">
        <v>16.838</v>
      </c>
    </row>
    <row r="140" customFormat="false" ht="15" hidden="false" customHeight="true" outlineLevel="0" collapsed="false">
      <c r="A140" s="3" t="n">
        <v>139</v>
      </c>
      <c r="B140" s="3" t="n">
        <v>3</v>
      </c>
      <c r="C140" s="3" t="s">
        <v>137</v>
      </c>
      <c r="D140" s="3" t="s">
        <v>138</v>
      </c>
      <c r="E140" s="3" t="s">
        <v>139</v>
      </c>
      <c r="F140" s="3" t="s">
        <v>140</v>
      </c>
      <c r="G140" s="3" t="s">
        <v>55</v>
      </c>
      <c r="H140" s="3" t="n">
        <v>3</v>
      </c>
      <c r="I140" s="3" t="n">
        <v>32</v>
      </c>
      <c r="J140" s="3" t="s">
        <v>356</v>
      </c>
      <c r="K140" s="8" t="n">
        <v>605000</v>
      </c>
      <c r="L140" s="8" t="n">
        <v>6000</v>
      </c>
      <c r="M140" s="8" t="n">
        <v>45825</v>
      </c>
      <c r="N140" s="8" t="n">
        <v>656825</v>
      </c>
      <c r="O140" s="3" t="s">
        <v>57</v>
      </c>
      <c r="P140" s="3" t="s">
        <v>58</v>
      </c>
      <c r="Q140" s="3" t="s">
        <v>69</v>
      </c>
      <c r="R140" s="3" t="str">
        <f aca="false">IF(Q140="pass","No","Yes")</f>
        <v>No</v>
      </c>
      <c r="S140" s="3" t="s">
        <v>60</v>
      </c>
      <c r="T140" s="3"/>
      <c r="U140" s="3"/>
      <c r="V140" s="9" t="n">
        <v>10.764</v>
      </c>
    </row>
    <row r="141" customFormat="false" ht="15" hidden="false" customHeight="true" outlineLevel="0" collapsed="false">
      <c r="A141" s="3" t="n">
        <v>140</v>
      </c>
      <c r="B141" s="3" t="n">
        <v>3</v>
      </c>
      <c r="C141" s="3" t="s">
        <v>119</v>
      </c>
      <c r="D141" s="3" t="s">
        <v>120</v>
      </c>
      <c r="E141" s="3" t="s">
        <v>121</v>
      </c>
      <c r="F141" s="3" t="s">
        <v>122</v>
      </c>
      <c r="G141" s="3" t="s">
        <v>123</v>
      </c>
      <c r="H141" s="3" t="n">
        <v>2</v>
      </c>
      <c r="I141" s="3" t="n">
        <v>51</v>
      </c>
      <c r="J141" s="3" t="s">
        <v>357</v>
      </c>
      <c r="K141" s="8" t="n">
        <v>628000</v>
      </c>
      <c r="L141" s="8" t="n">
        <v>5000</v>
      </c>
      <c r="M141" s="8" t="n">
        <v>47475</v>
      </c>
      <c r="N141" s="8" t="n">
        <v>680475</v>
      </c>
      <c r="O141" s="3" t="s">
        <v>152</v>
      </c>
      <c r="P141" s="3" t="s">
        <v>84</v>
      </c>
      <c r="Q141" s="3" t="s">
        <v>85</v>
      </c>
      <c r="R141" s="3" t="str">
        <f aca="false">IF(Q141="pass","No","Yes")</f>
        <v>Yes</v>
      </c>
      <c r="S141" s="3" t="s">
        <v>86</v>
      </c>
      <c r="T141" s="3" t="s">
        <v>87</v>
      </c>
      <c r="U141" s="3" t="s">
        <v>336</v>
      </c>
      <c r="V141" s="9" t="n">
        <v>8.04</v>
      </c>
    </row>
    <row r="142" customFormat="false" ht="15" hidden="false" customHeight="true" outlineLevel="0" collapsed="false">
      <c r="A142" s="3" t="n">
        <v>141</v>
      </c>
      <c r="B142" s="3" t="n">
        <v>3</v>
      </c>
      <c r="C142" s="3" t="s">
        <v>89</v>
      </c>
      <c r="D142" s="3" t="s">
        <v>90</v>
      </c>
      <c r="E142" s="3" t="s">
        <v>91</v>
      </c>
      <c r="F142" s="3" t="s">
        <v>92</v>
      </c>
      <c r="G142" s="3" t="s">
        <v>67</v>
      </c>
      <c r="H142" s="3" t="n">
        <v>4</v>
      </c>
      <c r="I142" s="3" t="n">
        <v>79</v>
      </c>
      <c r="J142" s="3" t="s">
        <v>358</v>
      </c>
      <c r="K142" s="8" t="n">
        <v>1848000</v>
      </c>
      <c r="L142" s="8" t="n">
        <v>4500</v>
      </c>
      <c r="M142" s="8" t="n">
        <v>138937.5</v>
      </c>
      <c r="N142" s="8" t="n">
        <v>1991437.5</v>
      </c>
      <c r="O142" s="3" t="s">
        <v>132</v>
      </c>
      <c r="P142" s="3" t="s">
        <v>84</v>
      </c>
      <c r="Q142" s="3" t="s">
        <v>85</v>
      </c>
      <c r="R142" s="3" t="str">
        <f aca="false">IF(Q142="pass","No","Yes")</f>
        <v>Yes</v>
      </c>
      <c r="S142" s="3" t="s">
        <v>86</v>
      </c>
      <c r="T142" s="3" t="s">
        <v>133</v>
      </c>
      <c r="U142" s="3" t="s">
        <v>134</v>
      </c>
      <c r="V142" s="9" t="n">
        <v>12.096</v>
      </c>
    </row>
    <row r="143" customFormat="false" ht="15" hidden="false" customHeight="true" outlineLevel="0" collapsed="false">
      <c r="A143" s="3" t="n">
        <v>142</v>
      </c>
      <c r="B143" s="3" t="n">
        <v>3</v>
      </c>
      <c r="C143" s="3" t="s">
        <v>198</v>
      </c>
      <c r="D143" s="3" t="s">
        <v>199</v>
      </c>
      <c r="E143" s="3" t="s">
        <v>200</v>
      </c>
      <c r="F143" s="3" t="s">
        <v>201</v>
      </c>
      <c r="G143" s="3" t="s">
        <v>81</v>
      </c>
      <c r="H143" s="3" t="n">
        <v>3</v>
      </c>
      <c r="I143" s="3" t="n">
        <v>174</v>
      </c>
      <c r="J143" s="3" t="s">
        <v>359</v>
      </c>
      <c r="K143" s="8" t="n">
        <v>1734100</v>
      </c>
      <c r="L143" s="8" t="n">
        <v>4000</v>
      </c>
      <c r="M143" s="8" t="n">
        <v>130357.5</v>
      </c>
      <c r="N143" s="8" t="n">
        <v>1868457.5</v>
      </c>
      <c r="O143" s="3" t="s">
        <v>57</v>
      </c>
      <c r="P143" s="3" t="s">
        <v>58</v>
      </c>
      <c r="Q143" s="3" t="s">
        <v>59</v>
      </c>
      <c r="R143" s="3" t="str">
        <f aca="false">IF(Q143="pass","No","Yes")</f>
        <v>Yes</v>
      </c>
      <c r="S143" s="3" t="s">
        <v>60</v>
      </c>
      <c r="T143" s="3" t="s">
        <v>61</v>
      </c>
      <c r="U143" s="3" t="s">
        <v>360</v>
      </c>
      <c r="V143" s="9" t="n">
        <v>20.26</v>
      </c>
    </row>
    <row r="144" customFormat="false" ht="15" hidden="false" customHeight="true" outlineLevel="0" collapsed="false">
      <c r="A144" s="3" t="n">
        <v>143</v>
      </c>
      <c r="B144" s="3" t="n">
        <v>3</v>
      </c>
      <c r="C144" s="3" t="s">
        <v>70</v>
      </c>
      <c r="D144" s="3" t="s">
        <v>71</v>
      </c>
      <c r="E144" s="3" t="s">
        <v>72</v>
      </c>
      <c r="F144" s="3" t="s">
        <v>73</v>
      </c>
      <c r="G144" s="3" t="s">
        <v>74</v>
      </c>
      <c r="H144" s="3" t="n">
        <v>1</v>
      </c>
      <c r="I144" s="3" t="n">
        <v>7</v>
      </c>
      <c r="J144" s="3" t="s">
        <v>361</v>
      </c>
      <c r="K144" s="8" t="n">
        <v>266000</v>
      </c>
      <c r="L144" s="8" t="n">
        <v>9000</v>
      </c>
      <c r="M144" s="8" t="n">
        <v>20625</v>
      </c>
      <c r="N144" s="8" t="n">
        <v>295625</v>
      </c>
      <c r="O144" s="3" t="s">
        <v>118</v>
      </c>
      <c r="P144" s="3" t="s">
        <v>58</v>
      </c>
      <c r="Q144" s="3" t="s">
        <v>69</v>
      </c>
      <c r="R144" s="3" t="str">
        <f aca="false">IF(Q144="pass","No","Yes")</f>
        <v>No</v>
      </c>
      <c r="S144" s="3" t="s">
        <v>60</v>
      </c>
      <c r="T144" s="3"/>
      <c r="U144" s="3"/>
      <c r="V144" s="9" t="n">
        <v>6.575</v>
      </c>
    </row>
    <row r="145" customFormat="false" ht="15" hidden="false" customHeight="true" outlineLevel="0" collapsed="false">
      <c r="A145" s="3" t="n">
        <v>144</v>
      </c>
      <c r="B145" s="3" t="n">
        <v>3</v>
      </c>
      <c r="C145" s="3" t="s">
        <v>137</v>
      </c>
      <c r="D145" s="3" t="s">
        <v>138</v>
      </c>
      <c r="E145" s="3" t="s">
        <v>139</v>
      </c>
      <c r="F145" s="3" t="s">
        <v>140</v>
      </c>
      <c r="G145" s="3" t="s">
        <v>55</v>
      </c>
      <c r="H145" s="3" t="n">
        <v>3</v>
      </c>
      <c r="I145" s="3" t="n">
        <v>32</v>
      </c>
      <c r="J145" s="3" t="s">
        <v>356</v>
      </c>
      <c r="K145" s="8" t="n">
        <v>605000</v>
      </c>
      <c r="L145" s="8" t="n">
        <v>6000</v>
      </c>
      <c r="M145" s="8" t="n">
        <v>45825</v>
      </c>
      <c r="N145" s="8" t="n">
        <v>656825</v>
      </c>
      <c r="O145" s="3" t="s">
        <v>97</v>
      </c>
      <c r="P145" s="3" t="s">
        <v>84</v>
      </c>
      <c r="Q145" s="3" t="s">
        <v>59</v>
      </c>
      <c r="R145" s="3" t="str">
        <f aca="false">IF(Q145="pass","No","Yes")</f>
        <v>Yes</v>
      </c>
      <c r="S145" s="3" t="s">
        <v>98</v>
      </c>
      <c r="T145" s="3" t="s">
        <v>97</v>
      </c>
      <c r="U145" s="3" t="s">
        <v>362</v>
      </c>
      <c r="V145" s="9" t="n">
        <v>10.191</v>
      </c>
    </row>
    <row r="146" customFormat="false" ht="15" hidden="false" customHeight="true" outlineLevel="0" collapsed="false">
      <c r="A146" s="3" t="n">
        <v>145</v>
      </c>
      <c r="B146" s="3" t="n">
        <v>3</v>
      </c>
      <c r="C146" s="3" t="s">
        <v>112</v>
      </c>
      <c r="D146" s="3" t="s">
        <v>113</v>
      </c>
      <c r="E146" s="3" t="s">
        <v>114</v>
      </c>
      <c r="F146" s="3" t="s">
        <v>115</v>
      </c>
      <c r="G146" s="3" t="s">
        <v>116</v>
      </c>
      <c r="H146" s="3" t="n">
        <v>1</v>
      </c>
      <c r="I146" s="3" t="n">
        <v>208</v>
      </c>
      <c r="J146" s="3" t="s">
        <v>363</v>
      </c>
      <c r="K146" s="8" t="n">
        <v>1976000</v>
      </c>
      <c r="L146" s="8" t="n">
        <v>15000</v>
      </c>
      <c r="M146" s="8" t="n">
        <v>149325</v>
      </c>
      <c r="N146" s="8" t="n">
        <v>2140325</v>
      </c>
      <c r="O146" s="3" t="s">
        <v>110</v>
      </c>
      <c r="P146" s="3" t="s">
        <v>58</v>
      </c>
      <c r="Q146" s="3" t="s">
        <v>59</v>
      </c>
      <c r="R146" s="3" t="str">
        <f aca="false">IF(Q146="pass","No","Yes")</f>
        <v>Yes</v>
      </c>
      <c r="S146" s="3" t="s">
        <v>60</v>
      </c>
      <c r="T146" s="3" t="s">
        <v>61</v>
      </c>
      <c r="U146" s="3" t="s">
        <v>364</v>
      </c>
      <c r="V146" s="9" t="n">
        <v>20.901</v>
      </c>
    </row>
    <row r="147" customFormat="false" ht="15" hidden="false" customHeight="true" outlineLevel="0" collapsed="false">
      <c r="A147" s="3" t="n">
        <v>146</v>
      </c>
      <c r="B147" s="3" t="n">
        <v>3</v>
      </c>
      <c r="C147" s="3" t="s">
        <v>166</v>
      </c>
      <c r="D147" s="3" t="s">
        <v>167</v>
      </c>
      <c r="E147" s="3" t="s">
        <v>168</v>
      </c>
      <c r="F147" s="3" t="s">
        <v>169</v>
      </c>
      <c r="G147" s="3" t="s">
        <v>74</v>
      </c>
      <c r="H147" s="3" t="n">
        <v>3</v>
      </c>
      <c r="I147" s="3" t="n">
        <v>16</v>
      </c>
      <c r="J147" s="3" t="s">
        <v>365</v>
      </c>
      <c r="K147" s="8" t="n">
        <v>573000</v>
      </c>
      <c r="L147" s="8" t="n">
        <v>9000</v>
      </c>
      <c r="M147" s="8" t="n">
        <v>43650</v>
      </c>
      <c r="N147" s="8" t="n">
        <v>625650</v>
      </c>
      <c r="O147" s="3" t="s">
        <v>57</v>
      </c>
      <c r="P147" s="3" t="s">
        <v>58</v>
      </c>
      <c r="Q147" s="3" t="s">
        <v>69</v>
      </c>
      <c r="R147" s="3" t="str">
        <f aca="false">IF(Q147="pass","No","Yes")</f>
        <v>No</v>
      </c>
      <c r="S147" s="3" t="s">
        <v>60</v>
      </c>
      <c r="T147" s="3"/>
      <c r="U147" s="3"/>
      <c r="V147" s="9" t="n">
        <v>11.493</v>
      </c>
    </row>
    <row r="148" customFormat="false" ht="15" hidden="false" customHeight="true" outlineLevel="0" collapsed="false">
      <c r="A148" s="3" t="n">
        <v>147</v>
      </c>
      <c r="B148" s="3" t="n">
        <v>3</v>
      </c>
      <c r="C148" s="3" t="s">
        <v>51</v>
      </c>
      <c r="D148" s="3" t="s">
        <v>52</v>
      </c>
      <c r="E148" s="3" t="s">
        <v>53</v>
      </c>
      <c r="F148" s="3" t="s">
        <v>54</v>
      </c>
      <c r="G148" s="3" t="s">
        <v>55</v>
      </c>
      <c r="H148" s="3" t="n">
        <v>2</v>
      </c>
      <c r="I148" s="3" t="n">
        <v>112</v>
      </c>
      <c r="J148" s="3" t="s">
        <v>366</v>
      </c>
      <c r="K148" s="8" t="n">
        <v>2235000</v>
      </c>
      <c r="L148" s="8" t="n">
        <v>6000</v>
      </c>
      <c r="M148" s="8" t="n">
        <v>168075</v>
      </c>
      <c r="N148" s="8" t="n">
        <v>2409075</v>
      </c>
      <c r="O148" s="3" t="s">
        <v>57</v>
      </c>
      <c r="P148" s="3" t="s">
        <v>58</v>
      </c>
      <c r="Q148" s="3" t="s">
        <v>69</v>
      </c>
      <c r="R148" s="3" t="str">
        <f aca="false">IF(Q148="pass","No","Yes")</f>
        <v>No</v>
      </c>
      <c r="S148" s="3" t="s">
        <v>60</v>
      </c>
      <c r="T148" s="3"/>
      <c r="U148" s="3"/>
      <c r="V148" s="9" t="n">
        <v>10.203</v>
      </c>
    </row>
    <row r="149" customFormat="false" ht="15" hidden="false" customHeight="true" outlineLevel="0" collapsed="false">
      <c r="A149" s="3" t="n">
        <v>148</v>
      </c>
      <c r="B149" s="3" t="n">
        <v>3</v>
      </c>
      <c r="C149" s="3" t="s">
        <v>119</v>
      </c>
      <c r="D149" s="3" t="s">
        <v>120</v>
      </c>
      <c r="E149" s="3" t="s">
        <v>121</v>
      </c>
      <c r="F149" s="3" t="s">
        <v>122</v>
      </c>
      <c r="G149" s="3" t="s">
        <v>123</v>
      </c>
      <c r="H149" s="3" t="n">
        <v>3</v>
      </c>
      <c r="I149" s="3" t="n">
        <v>320</v>
      </c>
      <c r="J149" s="3" t="s">
        <v>367</v>
      </c>
      <c r="K149" s="8" t="n">
        <v>4273800</v>
      </c>
      <c r="L149" s="8" t="n">
        <v>5000</v>
      </c>
      <c r="M149" s="8" t="n">
        <v>320910</v>
      </c>
      <c r="N149" s="8" t="n">
        <v>4599710</v>
      </c>
      <c r="O149" s="3" t="s">
        <v>171</v>
      </c>
      <c r="P149" s="3" t="s">
        <v>84</v>
      </c>
      <c r="Q149" s="3" t="s">
        <v>85</v>
      </c>
      <c r="R149" s="3" t="str">
        <f aca="false">IF(Q149="pass","No","Yes")</f>
        <v>Yes</v>
      </c>
      <c r="S149" s="3" t="s">
        <v>86</v>
      </c>
      <c r="T149" s="3" t="s">
        <v>209</v>
      </c>
      <c r="U149" s="3" t="s">
        <v>368</v>
      </c>
      <c r="V149" s="9" t="n">
        <v>12.004</v>
      </c>
    </row>
    <row r="150" customFormat="false" ht="15" hidden="false" customHeight="true" outlineLevel="0" collapsed="false">
      <c r="A150" s="3" t="n">
        <v>149</v>
      </c>
      <c r="B150" s="3" t="n">
        <v>3</v>
      </c>
      <c r="C150" s="3" t="s">
        <v>63</v>
      </c>
      <c r="D150" s="3" t="s">
        <v>64</v>
      </c>
      <c r="E150" s="3" t="s">
        <v>65</v>
      </c>
      <c r="F150" s="3" t="s">
        <v>66</v>
      </c>
      <c r="G150" s="3" t="s">
        <v>67</v>
      </c>
      <c r="H150" s="3" t="n">
        <v>2</v>
      </c>
      <c r="I150" s="3" t="n">
        <v>78</v>
      </c>
      <c r="J150" s="3" t="s">
        <v>369</v>
      </c>
      <c r="K150" s="8" t="n">
        <v>1104500</v>
      </c>
      <c r="L150" s="8" t="n">
        <v>4500</v>
      </c>
      <c r="M150" s="8" t="n">
        <v>83175</v>
      </c>
      <c r="N150" s="8" t="n">
        <v>1192175</v>
      </c>
      <c r="O150" s="3" t="s">
        <v>94</v>
      </c>
      <c r="P150" s="3" t="s">
        <v>84</v>
      </c>
      <c r="Q150" s="3" t="s">
        <v>85</v>
      </c>
      <c r="R150" s="3" t="str">
        <f aca="false">IF(Q150="pass","No","Yes")</f>
        <v>Yes</v>
      </c>
      <c r="S150" s="3" t="s">
        <v>86</v>
      </c>
      <c r="T150" s="3" t="s">
        <v>253</v>
      </c>
      <c r="U150" s="3" t="s">
        <v>254</v>
      </c>
      <c r="V150" s="9" t="n">
        <v>9.678</v>
      </c>
    </row>
    <row r="151" customFormat="false" ht="15" hidden="false" customHeight="true" outlineLevel="0" collapsed="false">
      <c r="A151" s="3" t="n">
        <v>150</v>
      </c>
      <c r="B151" s="3" t="n">
        <v>3</v>
      </c>
      <c r="C151" s="3" t="s">
        <v>70</v>
      </c>
      <c r="D151" s="3" t="s">
        <v>71</v>
      </c>
      <c r="E151" s="3" t="s">
        <v>72</v>
      </c>
      <c r="F151" s="3" t="s">
        <v>73</v>
      </c>
      <c r="G151" s="3" t="s">
        <v>74</v>
      </c>
      <c r="H151" s="3" t="n">
        <v>2</v>
      </c>
      <c r="I151" s="3" t="n">
        <v>87</v>
      </c>
      <c r="J151" s="3" t="s">
        <v>370</v>
      </c>
      <c r="K151" s="8" t="n">
        <v>838100</v>
      </c>
      <c r="L151" s="8" t="n">
        <v>9000</v>
      </c>
      <c r="M151" s="8" t="n">
        <v>63532.5</v>
      </c>
      <c r="N151" s="8" t="n">
        <v>910632.5</v>
      </c>
      <c r="O151" s="3" t="s">
        <v>57</v>
      </c>
      <c r="P151" s="3" t="s">
        <v>58</v>
      </c>
      <c r="Q151" s="3" t="s">
        <v>59</v>
      </c>
      <c r="R151" s="3" t="str">
        <f aca="false">IF(Q151="pass","No","Yes")</f>
        <v>Yes</v>
      </c>
      <c r="S151" s="3" t="s">
        <v>60</v>
      </c>
      <c r="T151" s="3" t="s">
        <v>61</v>
      </c>
      <c r="U151" s="3" t="s">
        <v>371</v>
      </c>
      <c r="V151" s="9" t="n">
        <v>18.056</v>
      </c>
    </row>
    <row r="152" customFormat="false" ht="15" hidden="false" customHeight="true" outlineLevel="0" collapsed="false">
      <c r="A152" s="3" t="n">
        <v>151</v>
      </c>
      <c r="B152" s="3" t="n">
        <v>4</v>
      </c>
      <c r="C152" s="3" t="s">
        <v>186</v>
      </c>
      <c r="D152" s="3" t="s">
        <v>187</v>
      </c>
      <c r="E152" s="3" t="s">
        <v>188</v>
      </c>
      <c r="F152" s="3" t="s">
        <v>189</v>
      </c>
      <c r="G152" s="3" t="s">
        <v>123</v>
      </c>
      <c r="H152" s="3" t="n">
        <v>1</v>
      </c>
      <c r="I152" s="3" t="n">
        <v>22</v>
      </c>
      <c r="J152" s="3" t="s">
        <v>372</v>
      </c>
      <c r="K152" s="8" t="n">
        <v>319000</v>
      </c>
      <c r="L152" s="8" t="n">
        <v>5000</v>
      </c>
      <c r="M152" s="8" t="n">
        <v>24300</v>
      </c>
      <c r="N152" s="8" t="n">
        <v>348300</v>
      </c>
      <c r="O152" s="3" t="s">
        <v>57</v>
      </c>
      <c r="P152" s="3" t="s">
        <v>58</v>
      </c>
      <c r="Q152" s="3" t="s">
        <v>69</v>
      </c>
      <c r="R152" s="3" t="str">
        <f aca="false">IF(Q152="pass","No","Yes")</f>
        <v>No</v>
      </c>
      <c r="S152" s="3" t="s">
        <v>60</v>
      </c>
      <c r="T152" s="3"/>
      <c r="U152" s="3"/>
      <c r="V152" s="9" t="n">
        <v>8.248</v>
      </c>
    </row>
    <row r="153" customFormat="false" ht="15" hidden="false" customHeight="true" outlineLevel="0" collapsed="false">
      <c r="A153" s="3" t="n">
        <v>152</v>
      </c>
      <c r="B153" s="3" t="n">
        <v>4</v>
      </c>
      <c r="C153" s="3" t="s">
        <v>100</v>
      </c>
      <c r="D153" s="3" t="s">
        <v>101</v>
      </c>
      <c r="E153" s="3" t="s">
        <v>102</v>
      </c>
      <c r="F153" s="3" t="s">
        <v>103</v>
      </c>
      <c r="G153" s="3" t="s">
        <v>67</v>
      </c>
      <c r="H153" s="3" t="n">
        <v>2</v>
      </c>
      <c r="I153" s="3" t="n">
        <v>191</v>
      </c>
      <c r="J153" s="3" t="s">
        <v>373</v>
      </c>
      <c r="K153" s="8" t="n">
        <v>1900000</v>
      </c>
      <c r="L153" s="8" t="n">
        <v>4500</v>
      </c>
      <c r="M153" s="8" t="n">
        <v>142837.5</v>
      </c>
      <c r="N153" s="8" t="n">
        <v>2047337.5</v>
      </c>
      <c r="O153" s="3" t="s">
        <v>224</v>
      </c>
      <c r="P153" s="3" t="s">
        <v>84</v>
      </c>
      <c r="Q153" s="3" t="s">
        <v>85</v>
      </c>
      <c r="R153" s="3" t="str">
        <f aca="false">IF(Q153="pass","No","Yes")</f>
        <v>Yes</v>
      </c>
      <c r="S153" s="3" t="s">
        <v>86</v>
      </c>
      <c r="T153" s="3" t="s">
        <v>374</v>
      </c>
      <c r="U153" s="3" t="s">
        <v>375</v>
      </c>
      <c r="V153" s="9" t="n">
        <v>16.605</v>
      </c>
    </row>
    <row r="154" customFormat="false" ht="15" hidden="false" customHeight="true" outlineLevel="0" collapsed="false">
      <c r="A154" s="3" t="n">
        <v>153</v>
      </c>
      <c r="B154" s="3" t="n">
        <v>4</v>
      </c>
      <c r="C154" s="3" t="s">
        <v>89</v>
      </c>
      <c r="D154" s="3" t="s">
        <v>90</v>
      </c>
      <c r="E154" s="3" t="s">
        <v>91</v>
      </c>
      <c r="F154" s="3" t="s">
        <v>92</v>
      </c>
      <c r="G154" s="3" t="s">
        <v>67</v>
      </c>
      <c r="H154" s="3" t="n">
        <v>1</v>
      </c>
      <c r="I154" s="3" t="n">
        <v>9</v>
      </c>
      <c r="J154" s="3" t="s">
        <v>376</v>
      </c>
      <c r="K154" s="8" t="n">
        <v>342000</v>
      </c>
      <c r="L154" s="8" t="n">
        <v>4500</v>
      </c>
      <c r="M154" s="8" t="n">
        <v>25987.5</v>
      </c>
      <c r="N154" s="8" t="n">
        <v>372487.5</v>
      </c>
      <c r="O154" s="3" t="s">
        <v>57</v>
      </c>
      <c r="P154" s="3" t="s">
        <v>58</v>
      </c>
      <c r="Q154" s="3" t="s">
        <v>69</v>
      </c>
      <c r="R154" s="3" t="str">
        <f aca="false">IF(Q154="pass","No","Yes")</f>
        <v>No</v>
      </c>
      <c r="S154" s="3" t="s">
        <v>60</v>
      </c>
      <c r="T154" s="3"/>
      <c r="U154" s="3"/>
      <c r="V154" s="9" t="n">
        <v>7.473</v>
      </c>
    </row>
    <row r="155" customFormat="false" ht="15" hidden="false" customHeight="true" outlineLevel="0" collapsed="false">
      <c r="A155" s="3" t="n">
        <v>154</v>
      </c>
      <c r="B155" s="3" t="n">
        <v>4</v>
      </c>
      <c r="C155" s="3" t="s">
        <v>89</v>
      </c>
      <c r="D155" s="3" t="s">
        <v>90</v>
      </c>
      <c r="E155" s="3" t="s">
        <v>91</v>
      </c>
      <c r="F155" s="3" t="s">
        <v>92</v>
      </c>
      <c r="G155" s="3" t="s">
        <v>67</v>
      </c>
      <c r="H155" s="3" t="n">
        <v>1</v>
      </c>
      <c r="I155" s="3" t="n">
        <v>206</v>
      </c>
      <c r="J155" s="3" t="s">
        <v>377</v>
      </c>
      <c r="K155" s="8" t="n">
        <v>1957000</v>
      </c>
      <c r="L155" s="8" t="n">
        <v>4500</v>
      </c>
      <c r="M155" s="8" t="n">
        <v>147112.5</v>
      </c>
      <c r="N155" s="8" t="n">
        <v>2108612.5</v>
      </c>
      <c r="O155" s="3" t="s">
        <v>110</v>
      </c>
      <c r="P155" s="3" t="s">
        <v>58</v>
      </c>
      <c r="Q155" s="3" t="s">
        <v>59</v>
      </c>
      <c r="R155" s="3" t="str">
        <f aca="false">IF(Q155="pass","No","Yes")</f>
        <v>Yes</v>
      </c>
      <c r="S155" s="3" t="s">
        <v>60</v>
      </c>
      <c r="T155" s="3" t="s">
        <v>61</v>
      </c>
      <c r="U155" s="3" t="s">
        <v>378</v>
      </c>
      <c r="V155" s="9" t="n">
        <v>15.073</v>
      </c>
    </row>
    <row r="156" customFormat="false" ht="15" hidden="false" customHeight="true" outlineLevel="0" collapsed="false">
      <c r="A156" s="3" t="n">
        <v>155</v>
      </c>
      <c r="B156" s="3" t="n">
        <v>4</v>
      </c>
      <c r="C156" s="3" t="s">
        <v>237</v>
      </c>
      <c r="D156" s="3" t="s">
        <v>238</v>
      </c>
      <c r="E156" s="3" t="s">
        <v>239</v>
      </c>
      <c r="F156" s="3" t="s">
        <v>240</v>
      </c>
      <c r="G156" s="3" t="s">
        <v>116</v>
      </c>
      <c r="H156" s="3" t="n">
        <v>1</v>
      </c>
      <c r="I156" s="3" t="n">
        <v>7</v>
      </c>
      <c r="J156" s="3" t="s">
        <v>379</v>
      </c>
      <c r="K156" s="8" t="n">
        <v>364000</v>
      </c>
      <c r="L156" s="8" t="n">
        <v>15000</v>
      </c>
      <c r="M156" s="8" t="n">
        <v>28425</v>
      </c>
      <c r="N156" s="8" t="n">
        <v>407425</v>
      </c>
      <c r="O156" s="3" t="s">
        <v>57</v>
      </c>
      <c r="P156" s="3" t="s">
        <v>58</v>
      </c>
      <c r="Q156" s="3" t="s">
        <v>69</v>
      </c>
      <c r="R156" s="3" t="str">
        <f aca="false">IF(Q156="pass","No","Yes")</f>
        <v>No</v>
      </c>
      <c r="S156" s="3" t="s">
        <v>60</v>
      </c>
      <c r="T156" s="3"/>
      <c r="U156" s="3"/>
      <c r="V156" s="9" t="n">
        <v>6.702</v>
      </c>
    </row>
    <row r="157" customFormat="false" ht="15" hidden="false" customHeight="true" outlineLevel="0" collapsed="false">
      <c r="A157" s="3" t="n">
        <v>156</v>
      </c>
      <c r="B157" s="3" t="n">
        <v>4</v>
      </c>
      <c r="C157" s="3" t="s">
        <v>237</v>
      </c>
      <c r="D157" s="3" t="s">
        <v>238</v>
      </c>
      <c r="E157" s="3" t="s">
        <v>239</v>
      </c>
      <c r="F157" s="3" t="s">
        <v>240</v>
      </c>
      <c r="G157" s="3" t="s">
        <v>146</v>
      </c>
      <c r="H157" s="3" t="n">
        <v>1</v>
      </c>
      <c r="I157" s="3" t="n">
        <v>53</v>
      </c>
      <c r="J157" s="3" t="s">
        <v>380</v>
      </c>
      <c r="K157" s="8" t="n">
        <v>381600</v>
      </c>
      <c r="L157" s="8" t="n">
        <v>0</v>
      </c>
      <c r="M157" s="8" t="n">
        <v>28620</v>
      </c>
      <c r="N157" s="8" t="n">
        <v>410220</v>
      </c>
      <c r="O157" s="3" t="s">
        <v>148</v>
      </c>
      <c r="P157" s="3" t="s">
        <v>84</v>
      </c>
      <c r="Q157" s="3" t="s">
        <v>85</v>
      </c>
      <c r="R157" s="3" t="str">
        <f aca="false">IF(Q157="pass","No","Yes")</f>
        <v>Yes</v>
      </c>
      <c r="S157" s="3" t="s">
        <v>86</v>
      </c>
      <c r="T157" s="3" t="s">
        <v>374</v>
      </c>
      <c r="U157" s="3" t="s">
        <v>381</v>
      </c>
      <c r="V157" s="9" t="n">
        <v>14.081</v>
      </c>
    </row>
    <row r="158" customFormat="false" ht="15" hidden="false" customHeight="true" outlineLevel="0" collapsed="false">
      <c r="A158" s="3" t="n">
        <v>157</v>
      </c>
      <c r="B158" s="3" t="n">
        <v>4</v>
      </c>
      <c r="C158" s="3" t="s">
        <v>77</v>
      </c>
      <c r="D158" s="3" t="s">
        <v>78</v>
      </c>
      <c r="E158" s="3" t="s">
        <v>79</v>
      </c>
      <c r="F158" s="3" t="s">
        <v>80</v>
      </c>
      <c r="G158" s="3" t="s">
        <v>81</v>
      </c>
      <c r="H158" s="3" t="n">
        <v>1</v>
      </c>
      <c r="I158" s="3" t="n">
        <v>14</v>
      </c>
      <c r="J158" s="3" t="s">
        <v>382</v>
      </c>
      <c r="K158" s="8" t="n">
        <v>434000</v>
      </c>
      <c r="L158" s="8" t="n">
        <v>4000</v>
      </c>
      <c r="M158" s="8" t="n">
        <v>32850</v>
      </c>
      <c r="N158" s="8" t="n">
        <v>470850</v>
      </c>
      <c r="O158" s="3" t="s">
        <v>57</v>
      </c>
      <c r="P158" s="3" t="s">
        <v>58</v>
      </c>
      <c r="Q158" s="3" t="s">
        <v>69</v>
      </c>
      <c r="R158" s="3" t="str">
        <f aca="false">IF(Q158="pass","No","Yes")</f>
        <v>No</v>
      </c>
      <c r="S158" s="3" t="s">
        <v>60</v>
      </c>
      <c r="T158" s="3"/>
      <c r="U158" s="3"/>
      <c r="V158" s="9" t="n">
        <v>6.982</v>
      </c>
    </row>
    <row r="159" customFormat="false" ht="15" hidden="false" customHeight="true" outlineLevel="0" collapsed="false">
      <c r="A159" s="3" t="n">
        <v>158</v>
      </c>
      <c r="B159" s="3" t="n">
        <v>4</v>
      </c>
      <c r="C159" s="3" t="s">
        <v>119</v>
      </c>
      <c r="D159" s="3" t="s">
        <v>120</v>
      </c>
      <c r="E159" s="3" t="s">
        <v>121</v>
      </c>
      <c r="F159" s="3" t="s">
        <v>122</v>
      </c>
      <c r="G159" s="3" t="s">
        <v>146</v>
      </c>
      <c r="H159" s="3" t="n">
        <v>2</v>
      </c>
      <c r="I159" s="3" t="n">
        <v>84</v>
      </c>
      <c r="J159" s="3" t="s">
        <v>383</v>
      </c>
      <c r="K159" s="8" t="n">
        <v>1399500</v>
      </c>
      <c r="L159" s="8" t="n">
        <v>0</v>
      </c>
      <c r="M159" s="8" t="n">
        <v>104962.5</v>
      </c>
      <c r="N159" s="8" t="n">
        <v>1504462.5</v>
      </c>
      <c r="O159" s="3" t="s">
        <v>148</v>
      </c>
      <c r="P159" s="3" t="s">
        <v>84</v>
      </c>
      <c r="Q159" s="3" t="s">
        <v>85</v>
      </c>
      <c r="R159" s="3" t="str">
        <f aca="false">IF(Q159="pass","No","Yes")</f>
        <v>Yes</v>
      </c>
      <c r="S159" s="3" t="s">
        <v>86</v>
      </c>
      <c r="T159" s="3" t="s">
        <v>149</v>
      </c>
      <c r="U159" s="3" t="s">
        <v>150</v>
      </c>
      <c r="V159" s="9" t="n">
        <v>9.895</v>
      </c>
    </row>
    <row r="160" customFormat="false" ht="15" hidden="false" customHeight="true" outlineLevel="0" collapsed="false">
      <c r="A160" s="3" t="n">
        <v>159</v>
      </c>
      <c r="B160" s="3" t="n">
        <v>4</v>
      </c>
      <c r="C160" s="3" t="s">
        <v>119</v>
      </c>
      <c r="D160" s="3" t="s">
        <v>120</v>
      </c>
      <c r="E160" s="3" t="s">
        <v>121</v>
      </c>
      <c r="F160" s="3" t="s">
        <v>122</v>
      </c>
      <c r="G160" s="3" t="s">
        <v>123</v>
      </c>
      <c r="H160" s="3" t="n">
        <v>1</v>
      </c>
      <c r="I160" s="3" t="n">
        <v>7</v>
      </c>
      <c r="J160" s="3" t="s">
        <v>384</v>
      </c>
      <c r="K160" s="8" t="n">
        <v>82600</v>
      </c>
      <c r="L160" s="8" t="n">
        <v>5000</v>
      </c>
      <c r="M160" s="8" t="n">
        <v>6570</v>
      </c>
      <c r="N160" s="8" t="n">
        <v>94170</v>
      </c>
      <c r="O160" s="3" t="s">
        <v>76</v>
      </c>
      <c r="P160" s="3" t="s">
        <v>58</v>
      </c>
      <c r="Q160" s="3" t="s">
        <v>69</v>
      </c>
      <c r="R160" s="3" t="str">
        <f aca="false">IF(Q160="pass","No","Yes")</f>
        <v>No</v>
      </c>
      <c r="S160" s="3" t="s">
        <v>60</v>
      </c>
      <c r="T160" s="3"/>
      <c r="U160" s="3"/>
      <c r="V160" s="9" t="n">
        <v>7.579</v>
      </c>
    </row>
    <row r="161" customFormat="false" ht="15" hidden="false" customHeight="true" outlineLevel="0" collapsed="false">
      <c r="A161" s="3" t="n">
        <v>160</v>
      </c>
      <c r="B161" s="3" t="n">
        <v>4</v>
      </c>
      <c r="C161" s="3" t="s">
        <v>213</v>
      </c>
      <c r="D161" s="3" t="s">
        <v>214</v>
      </c>
      <c r="E161" s="3" t="s">
        <v>215</v>
      </c>
      <c r="F161" s="3" t="s">
        <v>216</v>
      </c>
      <c r="G161" s="3" t="s">
        <v>67</v>
      </c>
      <c r="H161" s="3" t="n">
        <v>1</v>
      </c>
      <c r="I161" s="3" t="n">
        <v>101</v>
      </c>
      <c r="J161" s="3" t="s">
        <v>385</v>
      </c>
      <c r="K161" s="8" t="n">
        <v>727200</v>
      </c>
      <c r="L161" s="8" t="n">
        <v>4500</v>
      </c>
      <c r="M161" s="8" t="n">
        <v>54877.5</v>
      </c>
      <c r="N161" s="8" t="n">
        <v>786577.5</v>
      </c>
      <c r="O161" s="3" t="s">
        <v>152</v>
      </c>
      <c r="P161" s="3" t="s">
        <v>84</v>
      </c>
      <c r="Q161" s="3" t="s">
        <v>85</v>
      </c>
      <c r="R161" s="3" t="str">
        <f aca="false">IF(Q161="pass","No","Yes")</f>
        <v>Yes</v>
      </c>
      <c r="S161" s="3" t="s">
        <v>86</v>
      </c>
      <c r="T161" s="3" t="s">
        <v>183</v>
      </c>
      <c r="U161" s="3" t="s">
        <v>386</v>
      </c>
      <c r="V161" s="9" t="n">
        <v>14.424</v>
      </c>
    </row>
    <row r="162" customFormat="false" ht="15" hidden="false" customHeight="true" outlineLevel="0" collapsed="false">
      <c r="A162" s="3" t="n">
        <v>161</v>
      </c>
      <c r="B162" s="3" t="n">
        <v>4</v>
      </c>
      <c r="C162" s="3" t="s">
        <v>100</v>
      </c>
      <c r="D162" s="3" t="s">
        <v>101</v>
      </c>
      <c r="E162" s="3" t="s">
        <v>102</v>
      </c>
      <c r="F162" s="3" t="s">
        <v>103</v>
      </c>
      <c r="G162" s="3" t="s">
        <v>67</v>
      </c>
      <c r="H162" s="3" t="n">
        <v>3</v>
      </c>
      <c r="I162" s="3" t="n">
        <v>48</v>
      </c>
      <c r="J162" s="3" t="s">
        <v>387</v>
      </c>
      <c r="K162" s="8" t="n">
        <v>1377400</v>
      </c>
      <c r="L162" s="8" t="n">
        <v>4500</v>
      </c>
      <c r="M162" s="8" t="n">
        <v>103642.5</v>
      </c>
      <c r="N162" s="8" t="n">
        <v>1485542.5</v>
      </c>
      <c r="O162" s="3" t="s">
        <v>57</v>
      </c>
      <c r="P162" s="3" t="s">
        <v>58</v>
      </c>
      <c r="Q162" s="3" t="s">
        <v>69</v>
      </c>
      <c r="R162" s="3" t="str">
        <f aca="false">IF(Q162="pass","No","Yes")</f>
        <v>No</v>
      </c>
      <c r="S162" s="3" t="s">
        <v>60</v>
      </c>
      <c r="T162" s="3"/>
      <c r="U162" s="3"/>
      <c r="V162" s="9" t="n">
        <v>13.614</v>
      </c>
    </row>
    <row r="163" customFormat="false" ht="15" hidden="false" customHeight="true" outlineLevel="0" collapsed="false">
      <c r="A163" s="3" t="n">
        <v>162</v>
      </c>
      <c r="B163" s="3" t="n">
        <v>4</v>
      </c>
      <c r="C163" s="3" t="s">
        <v>186</v>
      </c>
      <c r="D163" s="3" t="s">
        <v>187</v>
      </c>
      <c r="E163" s="3" t="s">
        <v>188</v>
      </c>
      <c r="F163" s="3" t="s">
        <v>189</v>
      </c>
      <c r="G163" s="3" t="s">
        <v>123</v>
      </c>
      <c r="H163" s="3" t="n">
        <v>3</v>
      </c>
      <c r="I163" s="3" t="n">
        <v>112</v>
      </c>
      <c r="J163" s="3" t="s">
        <v>388</v>
      </c>
      <c r="K163" s="8" t="n">
        <v>1760900</v>
      </c>
      <c r="L163" s="8" t="n">
        <v>5000</v>
      </c>
      <c r="M163" s="8" t="n">
        <v>132442.5</v>
      </c>
      <c r="N163" s="8" t="n">
        <v>1898342.5</v>
      </c>
      <c r="O163" s="3" t="s">
        <v>57</v>
      </c>
      <c r="P163" s="3" t="s">
        <v>58</v>
      </c>
      <c r="Q163" s="3" t="s">
        <v>69</v>
      </c>
      <c r="R163" s="3" t="str">
        <f aca="false">IF(Q163="pass","No","Yes")</f>
        <v>No</v>
      </c>
      <c r="S163" s="3" t="s">
        <v>60</v>
      </c>
      <c r="T163" s="3"/>
      <c r="U163" s="3"/>
      <c r="V163" s="9" t="n">
        <v>14.299</v>
      </c>
    </row>
    <row r="164" customFormat="false" ht="15" hidden="false" customHeight="true" outlineLevel="0" collapsed="false">
      <c r="A164" s="3" t="n">
        <v>163</v>
      </c>
      <c r="B164" s="3" t="n">
        <v>4</v>
      </c>
      <c r="C164" s="3" t="s">
        <v>137</v>
      </c>
      <c r="D164" s="3" t="s">
        <v>138</v>
      </c>
      <c r="E164" s="3" t="s">
        <v>139</v>
      </c>
      <c r="F164" s="3" t="s">
        <v>140</v>
      </c>
      <c r="G164" s="3" t="s">
        <v>55</v>
      </c>
      <c r="H164" s="3" t="n">
        <v>1</v>
      </c>
      <c r="I164" s="3" t="n">
        <v>60</v>
      </c>
      <c r="J164" s="3" t="s">
        <v>389</v>
      </c>
      <c r="K164" s="8" t="n">
        <v>708000</v>
      </c>
      <c r="L164" s="8" t="n">
        <v>6000</v>
      </c>
      <c r="M164" s="8" t="n">
        <v>53550</v>
      </c>
      <c r="N164" s="8" t="n">
        <v>767550</v>
      </c>
      <c r="O164" s="3" t="s">
        <v>57</v>
      </c>
      <c r="P164" s="3" t="s">
        <v>58</v>
      </c>
      <c r="Q164" s="3" t="s">
        <v>69</v>
      </c>
      <c r="R164" s="3" t="str">
        <f aca="false">IF(Q164="pass","No","Yes")</f>
        <v>No</v>
      </c>
      <c r="S164" s="3" t="s">
        <v>60</v>
      </c>
      <c r="T164" s="3"/>
      <c r="U164" s="3"/>
      <c r="V164" s="9" t="n">
        <v>7.832</v>
      </c>
    </row>
    <row r="165" customFormat="false" ht="15" hidden="false" customHeight="true" outlineLevel="0" collapsed="false">
      <c r="A165" s="3" t="n">
        <v>164</v>
      </c>
      <c r="B165" s="3" t="n">
        <v>4</v>
      </c>
      <c r="C165" s="3" t="s">
        <v>186</v>
      </c>
      <c r="D165" s="3" t="s">
        <v>187</v>
      </c>
      <c r="E165" s="3" t="s">
        <v>188</v>
      </c>
      <c r="F165" s="3" t="s">
        <v>189</v>
      </c>
      <c r="G165" s="3" t="s">
        <v>123</v>
      </c>
      <c r="H165" s="3" t="n">
        <v>1</v>
      </c>
      <c r="I165" s="3" t="n">
        <v>212</v>
      </c>
      <c r="J165" s="3" t="s">
        <v>390</v>
      </c>
      <c r="K165" s="8" t="n">
        <v>2014000</v>
      </c>
      <c r="L165" s="8" t="n">
        <v>5000</v>
      </c>
      <c r="M165" s="8" t="n">
        <v>151425</v>
      </c>
      <c r="N165" s="8" t="n">
        <v>2170425</v>
      </c>
      <c r="O165" s="3" t="s">
        <v>110</v>
      </c>
      <c r="P165" s="3" t="s">
        <v>58</v>
      </c>
      <c r="Q165" s="3" t="s">
        <v>59</v>
      </c>
      <c r="R165" s="3" t="str">
        <f aca="false">IF(Q165="pass","No","Yes")</f>
        <v>Yes</v>
      </c>
      <c r="S165" s="3" t="s">
        <v>60</v>
      </c>
      <c r="T165" s="3" t="s">
        <v>61</v>
      </c>
      <c r="U165" s="3" t="s">
        <v>391</v>
      </c>
      <c r="V165" s="9" t="n">
        <v>16.003</v>
      </c>
    </row>
    <row r="166" customFormat="false" ht="15" hidden="false" customHeight="true" outlineLevel="0" collapsed="false">
      <c r="A166" s="3" t="n">
        <v>165</v>
      </c>
      <c r="B166" s="3" t="n">
        <v>4</v>
      </c>
      <c r="C166" s="3" t="s">
        <v>119</v>
      </c>
      <c r="D166" s="3" t="s">
        <v>120</v>
      </c>
      <c r="E166" s="3" t="s">
        <v>121</v>
      </c>
      <c r="F166" s="3" t="s">
        <v>122</v>
      </c>
      <c r="G166" s="3" t="s">
        <v>123</v>
      </c>
      <c r="H166" s="3" t="n">
        <v>1</v>
      </c>
      <c r="I166" s="3" t="n">
        <v>12</v>
      </c>
      <c r="J166" s="3" t="s">
        <v>392</v>
      </c>
      <c r="K166" s="8" t="n">
        <v>624000</v>
      </c>
      <c r="L166" s="8" t="n">
        <v>5000</v>
      </c>
      <c r="M166" s="8" t="n">
        <v>47175</v>
      </c>
      <c r="N166" s="8" t="n">
        <v>676175</v>
      </c>
      <c r="O166" s="3" t="s">
        <v>57</v>
      </c>
      <c r="P166" s="3" t="s">
        <v>58</v>
      </c>
      <c r="Q166" s="3" t="s">
        <v>69</v>
      </c>
      <c r="R166" s="3" t="str">
        <f aca="false">IF(Q166="pass","No","Yes")</f>
        <v>No</v>
      </c>
      <c r="S166" s="3" t="s">
        <v>60</v>
      </c>
      <c r="T166" s="3"/>
      <c r="U166" s="3"/>
      <c r="V166" s="9" t="n">
        <v>7.294</v>
      </c>
    </row>
    <row r="167" customFormat="false" ht="15" hidden="false" customHeight="true" outlineLevel="0" collapsed="false">
      <c r="A167" s="3" t="n">
        <v>166</v>
      </c>
      <c r="B167" s="3" t="n">
        <v>4</v>
      </c>
      <c r="C167" s="3" t="s">
        <v>51</v>
      </c>
      <c r="D167" s="3" t="s">
        <v>52</v>
      </c>
      <c r="E167" s="3" t="s">
        <v>53</v>
      </c>
      <c r="F167" s="3" t="s">
        <v>54</v>
      </c>
      <c r="G167" s="3" t="s">
        <v>55</v>
      </c>
      <c r="H167" s="3" t="n">
        <v>3</v>
      </c>
      <c r="I167" s="3" t="n">
        <v>89</v>
      </c>
      <c r="J167" s="3" t="s">
        <v>393</v>
      </c>
      <c r="K167" s="8" t="n">
        <v>897200</v>
      </c>
      <c r="L167" s="8" t="n">
        <v>6000</v>
      </c>
      <c r="M167" s="8" t="n">
        <v>67740</v>
      </c>
      <c r="N167" s="8" t="n">
        <v>970940</v>
      </c>
      <c r="O167" s="3" t="s">
        <v>57</v>
      </c>
      <c r="P167" s="3" t="s">
        <v>58</v>
      </c>
      <c r="Q167" s="3" t="s">
        <v>69</v>
      </c>
      <c r="R167" s="3" t="str">
        <f aca="false">IF(Q167="pass","No","Yes")</f>
        <v>No</v>
      </c>
      <c r="S167" s="3" t="s">
        <v>60</v>
      </c>
      <c r="T167" s="3"/>
      <c r="U167" s="3"/>
      <c r="V167" s="9" t="n">
        <v>14.281</v>
      </c>
    </row>
    <row r="168" customFormat="false" ht="15" hidden="false" customHeight="true" outlineLevel="0" collapsed="false">
      <c r="A168" s="3" t="n">
        <v>167</v>
      </c>
      <c r="B168" s="3" t="n">
        <v>4</v>
      </c>
      <c r="C168" s="3" t="s">
        <v>89</v>
      </c>
      <c r="D168" s="3" t="s">
        <v>90</v>
      </c>
      <c r="E168" s="3" t="s">
        <v>91</v>
      </c>
      <c r="F168" s="3" t="s">
        <v>92</v>
      </c>
      <c r="G168" s="3" t="s">
        <v>67</v>
      </c>
      <c r="H168" s="3" t="n">
        <v>2</v>
      </c>
      <c r="I168" s="3" t="n">
        <v>105</v>
      </c>
      <c r="J168" s="3" t="s">
        <v>394</v>
      </c>
      <c r="K168" s="8" t="n">
        <v>2085000</v>
      </c>
      <c r="L168" s="8" t="n">
        <v>4500</v>
      </c>
      <c r="M168" s="8" t="n">
        <v>156712.5</v>
      </c>
      <c r="N168" s="8" t="n">
        <v>2246212.5</v>
      </c>
      <c r="O168" s="3" t="s">
        <v>94</v>
      </c>
      <c r="P168" s="3" t="s">
        <v>84</v>
      </c>
      <c r="Q168" s="3" t="s">
        <v>85</v>
      </c>
      <c r="R168" s="3" t="str">
        <f aca="false">IF(Q168="pass","No","Yes")</f>
        <v>Yes</v>
      </c>
      <c r="S168" s="3" t="s">
        <v>86</v>
      </c>
      <c r="T168" s="3" t="s">
        <v>253</v>
      </c>
      <c r="U168" s="3" t="s">
        <v>254</v>
      </c>
      <c r="V168" s="9" t="n">
        <v>10.795</v>
      </c>
    </row>
    <row r="169" customFormat="false" ht="15" hidden="false" customHeight="true" outlineLevel="0" collapsed="false">
      <c r="A169" s="3" t="n">
        <v>168</v>
      </c>
      <c r="B169" s="3" t="n">
        <v>4</v>
      </c>
      <c r="C169" s="3" t="s">
        <v>100</v>
      </c>
      <c r="D169" s="3" t="s">
        <v>101</v>
      </c>
      <c r="E169" s="3" t="s">
        <v>102</v>
      </c>
      <c r="F169" s="3" t="s">
        <v>103</v>
      </c>
      <c r="G169" s="3" t="s">
        <v>67</v>
      </c>
      <c r="H169" s="3" t="n">
        <v>2</v>
      </c>
      <c r="I169" s="3" t="n">
        <v>22</v>
      </c>
      <c r="J169" s="3" t="s">
        <v>395</v>
      </c>
      <c r="K169" s="8" t="n">
        <v>554000</v>
      </c>
      <c r="L169" s="8" t="n">
        <v>4500</v>
      </c>
      <c r="M169" s="8" t="n">
        <v>41887.5</v>
      </c>
      <c r="N169" s="8" t="n">
        <v>600387.5</v>
      </c>
      <c r="O169" s="3" t="s">
        <v>57</v>
      </c>
      <c r="P169" s="3" t="s">
        <v>58</v>
      </c>
      <c r="Q169" s="3" t="s">
        <v>69</v>
      </c>
      <c r="R169" s="3" t="str">
        <f aca="false">IF(Q169="pass","No","Yes")</f>
        <v>No</v>
      </c>
      <c r="S169" s="3" t="s">
        <v>60</v>
      </c>
      <c r="T169" s="3"/>
      <c r="U169" s="3"/>
      <c r="V169" s="9" t="n">
        <v>10.992</v>
      </c>
    </row>
    <row r="170" customFormat="false" ht="15" hidden="false" customHeight="true" outlineLevel="0" collapsed="false">
      <c r="A170" s="3" t="n">
        <v>169</v>
      </c>
      <c r="B170" s="3" t="n">
        <v>4</v>
      </c>
      <c r="C170" s="3" t="s">
        <v>105</v>
      </c>
      <c r="D170" s="3" t="s">
        <v>106</v>
      </c>
      <c r="E170" s="3" t="s">
        <v>107</v>
      </c>
      <c r="F170" s="3" t="s">
        <v>108</v>
      </c>
      <c r="G170" s="3" t="s">
        <v>81</v>
      </c>
      <c r="H170" s="3" t="n">
        <v>3</v>
      </c>
      <c r="I170" s="3" t="n">
        <v>223</v>
      </c>
      <c r="J170" s="3" t="s">
        <v>396</v>
      </c>
      <c r="K170" s="8" t="n">
        <v>2059100</v>
      </c>
      <c r="L170" s="8" t="n">
        <v>4000</v>
      </c>
      <c r="M170" s="8" t="n">
        <v>154732.5</v>
      </c>
      <c r="N170" s="8" t="n">
        <v>2217832.5</v>
      </c>
      <c r="O170" s="3" t="s">
        <v>57</v>
      </c>
      <c r="P170" s="3" t="s">
        <v>58</v>
      </c>
      <c r="Q170" s="3" t="s">
        <v>59</v>
      </c>
      <c r="R170" s="3" t="str">
        <f aca="false">IF(Q170="pass","No","Yes")</f>
        <v>Yes</v>
      </c>
      <c r="S170" s="3" t="s">
        <v>60</v>
      </c>
      <c r="T170" s="3" t="s">
        <v>61</v>
      </c>
      <c r="U170" s="3" t="s">
        <v>397</v>
      </c>
      <c r="V170" s="9" t="n">
        <v>29.92</v>
      </c>
    </row>
    <row r="171" customFormat="false" ht="15" hidden="false" customHeight="true" outlineLevel="0" collapsed="false">
      <c r="A171" s="3" t="n">
        <v>170</v>
      </c>
      <c r="B171" s="3" t="n">
        <v>4</v>
      </c>
      <c r="C171" s="3" t="s">
        <v>100</v>
      </c>
      <c r="D171" s="3" t="s">
        <v>101</v>
      </c>
      <c r="E171" s="3" t="s">
        <v>102</v>
      </c>
      <c r="F171" s="3" t="s">
        <v>103</v>
      </c>
      <c r="G171" s="3" t="s">
        <v>67</v>
      </c>
      <c r="H171" s="3" t="n">
        <v>2</v>
      </c>
      <c r="I171" s="3" t="n">
        <v>22</v>
      </c>
      <c r="J171" s="3" t="s">
        <v>395</v>
      </c>
      <c r="K171" s="8" t="n">
        <v>554000</v>
      </c>
      <c r="L171" s="8" t="n">
        <v>4500</v>
      </c>
      <c r="M171" s="8" t="n">
        <v>41887.5</v>
      </c>
      <c r="N171" s="8" t="n">
        <v>600387.5</v>
      </c>
      <c r="O171" s="3" t="s">
        <v>97</v>
      </c>
      <c r="P171" s="3" t="s">
        <v>84</v>
      </c>
      <c r="Q171" s="3" t="s">
        <v>59</v>
      </c>
      <c r="R171" s="3" t="str">
        <f aca="false">IF(Q171="pass","No","Yes")</f>
        <v>Yes</v>
      </c>
      <c r="S171" s="3" t="s">
        <v>98</v>
      </c>
      <c r="T171" s="3" t="s">
        <v>97</v>
      </c>
      <c r="U171" s="3" t="s">
        <v>398</v>
      </c>
      <c r="V171" s="9" t="n">
        <v>9.321</v>
      </c>
    </row>
    <row r="172" customFormat="false" ht="15" hidden="false" customHeight="true" outlineLevel="0" collapsed="false">
      <c r="A172" s="3" t="n">
        <v>171</v>
      </c>
      <c r="B172" s="3" t="n">
        <v>4</v>
      </c>
      <c r="C172" s="3" t="s">
        <v>166</v>
      </c>
      <c r="D172" s="3" t="s">
        <v>167</v>
      </c>
      <c r="E172" s="3" t="s">
        <v>168</v>
      </c>
      <c r="F172" s="3" t="s">
        <v>169</v>
      </c>
      <c r="G172" s="3" t="s">
        <v>74</v>
      </c>
      <c r="H172" s="3" t="n">
        <v>2</v>
      </c>
      <c r="I172" s="3" t="n">
        <v>79</v>
      </c>
      <c r="J172" s="3" t="s">
        <v>399</v>
      </c>
      <c r="K172" s="8" t="n">
        <v>765200</v>
      </c>
      <c r="L172" s="8" t="n">
        <v>9000</v>
      </c>
      <c r="M172" s="8" t="n">
        <v>58065</v>
      </c>
      <c r="N172" s="8" t="n">
        <v>832265</v>
      </c>
      <c r="O172" s="3" t="s">
        <v>57</v>
      </c>
      <c r="P172" s="3" t="s">
        <v>58</v>
      </c>
      <c r="Q172" s="3" t="s">
        <v>69</v>
      </c>
      <c r="R172" s="3" t="str">
        <f aca="false">IF(Q172="pass","No","Yes")</f>
        <v>No</v>
      </c>
      <c r="S172" s="3" t="s">
        <v>60</v>
      </c>
      <c r="T172" s="3"/>
      <c r="U172" s="3"/>
      <c r="V172" s="9" t="n">
        <v>11.765</v>
      </c>
    </row>
    <row r="173" customFormat="false" ht="15" hidden="false" customHeight="true" outlineLevel="0" collapsed="false">
      <c r="A173" s="3" t="n">
        <v>172</v>
      </c>
      <c r="B173" s="3" t="n">
        <v>4</v>
      </c>
      <c r="C173" s="3" t="s">
        <v>213</v>
      </c>
      <c r="D173" s="3" t="s">
        <v>214</v>
      </c>
      <c r="E173" s="3" t="s">
        <v>215</v>
      </c>
      <c r="F173" s="3" t="s">
        <v>216</v>
      </c>
      <c r="G173" s="3" t="s">
        <v>67</v>
      </c>
      <c r="H173" s="3" t="n">
        <v>2</v>
      </c>
      <c r="I173" s="3" t="n">
        <v>101</v>
      </c>
      <c r="J173" s="3" t="s">
        <v>400</v>
      </c>
      <c r="K173" s="8" t="n">
        <v>721000</v>
      </c>
      <c r="L173" s="8" t="n">
        <v>4500</v>
      </c>
      <c r="M173" s="8" t="n">
        <v>54412.5</v>
      </c>
      <c r="N173" s="8" t="n">
        <v>779912.5</v>
      </c>
      <c r="O173" s="3" t="s">
        <v>57</v>
      </c>
      <c r="P173" s="3" t="s">
        <v>58</v>
      </c>
      <c r="Q173" s="3" t="s">
        <v>59</v>
      </c>
      <c r="R173" s="3" t="str">
        <f aca="false">IF(Q173="pass","No","Yes")</f>
        <v>Yes</v>
      </c>
      <c r="S173" s="3" t="s">
        <v>60</v>
      </c>
      <c r="T173" s="3" t="s">
        <v>61</v>
      </c>
      <c r="U173" s="3" t="s">
        <v>401</v>
      </c>
      <c r="V173" s="9" t="n">
        <v>18.859</v>
      </c>
    </row>
    <row r="174" customFormat="false" ht="15" hidden="false" customHeight="true" outlineLevel="0" collapsed="false">
      <c r="A174" s="3" t="n">
        <v>173</v>
      </c>
      <c r="B174" s="3" t="n">
        <v>4</v>
      </c>
      <c r="C174" s="3" t="s">
        <v>186</v>
      </c>
      <c r="D174" s="3" t="s">
        <v>187</v>
      </c>
      <c r="E174" s="3" t="s">
        <v>188</v>
      </c>
      <c r="F174" s="3" t="s">
        <v>189</v>
      </c>
      <c r="G174" s="3" t="s">
        <v>123</v>
      </c>
      <c r="H174" s="3" t="n">
        <v>2</v>
      </c>
      <c r="I174" s="3" t="n">
        <v>5</v>
      </c>
      <c r="J174" s="3" t="s">
        <v>402</v>
      </c>
      <c r="K174" s="8" t="n">
        <v>164200</v>
      </c>
      <c r="L174" s="8" t="n">
        <v>5000</v>
      </c>
      <c r="M174" s="8" t="n">
        <v>12690</v>
      </c>
      <c r="N174" s="8" t="n">
        <v>181890</v>
      </c>
      <c r="O174" s="3" t="s">
        <v>57</v>
      </c>
      <c r="P174" s="3" t="s">
        <v>58</v>
      </c>
      <c r="Q174" s="3" t="s">
        <v>69</v>
      </c>
      <c r="R174" s="3" t="str">
        <f aca="false">IF(Q174="pass","No","Yes")</f>
        <v>No</v>
      </c>
      <c r="S174" s="3" t="s">
        <v>60</v>
      </c>
      <c r="T174" s="3"/>
      <c r="U174" s="3"/>
      <c r="V174" s="9" t="n">
        <v>11.371</v>
      </c>
    </row>
    <row r="175" customFormat="false" ht="15" hidden="false" customHeight="true" outlineLevel="0" collapsed="false">
      <c r="A175" s="3" t="n">
        <v>174</v>
      </c>
      <c r="B175" s="3" t="n">
        <v>4</v>
      </c>
      <c r="C175" s="3" t="s">
        <v>112</v>
      </c>
      <c r="D175" s="3" t="s">
        <v>113</v>
      </c>
      <c r="E175" s="3" t="s">
        <v>114</v>
      </c>
      <c r="F175" s="3" t="s">
        <v>115</v>
      </c>
      <c r="G175" s="3" t="s">
        <v>116</v>
      </c>
      <c r="H175" s="3" t="n">
        <v>0</v>
      </c>
      <c r="I175" s="3" t="n">
        <v>0</v>
      </c>
      <c r="J175" s="3"/>
      <c r="K175" s="8" t="n">
        <v>0</v>
      </c>
      <c r="L175" s="8" t="n">
        <v>15000</v>
      </c>
      <c r="M175" s="8" t="n">
        <v>1125</v>
      </c>
      <c r="N175" s="8" t="n">
        <v>16125</v>
      </c>
      <c r="O175" s="3" t="s">
        <v>76</v>
      </c>
      <c r="P175" s="3" t="s">
        <v>58</v>
      </c>
      <c r="Q175" s="3" t="s">
        <v>85</v>
      </c>
      <c r="R175" s="3" t="str">
        <f aca="false">IF(Q175="pass","No","Yes")</f>
        <v>Yes</v>
      </c>
      <c r="S175" s="3" t="s">
        <v>86</v>
      </c>
      <c r="T175" s="3" t="s">
        <v>87</v>
      </c>
      <c r="U175" s="3" t="s">
        <v>205</v>
      </c>
      <c r="V175" s="9" t="n">
        <v>3.832</v>
      </c>
    </row>
    <row r="176" customFormat="false" ht="15" hidden="false" customHeight="true" outlineLevel="0" collapsed="false">
      <c r="A176" s="3" t="n">
        <v>175</v>
      </c>
      <c r="B176" s="3" t="n">
        <v>4</v>
      </c>
      <c r="C176" s="3" t="s">
        <v>142</v>
      </c>
      <c r="D176" s="3" t="s">
        <v>143</v>
      </c>
      <c r="E176" s="3" t="s">
        <v>144</v>
      </c>
      <c r="F176" s="3" t="s">
        <v>145</v>
      </c>
      <c r="G176" s="3" t="s">
        <v>74</v>
      </c>
      <c r="H176" s="3" t="n">
        <v>4</v>
      </c>
      <c r="I176" s="3" t="n">
        <v>75</v>
      </c>
      <c r="J176" s="3" t="s">
        <v>403</v>
      </c>
      <c r="K176" s="8" t="n">
        <v>1311800</v>
      </c>
      <c r="L176" s="8" t="n">
        <v>9000</v>
      </c>
      <c r="M176" s="8" t="n">
        <v>99060</v>
      </c>
      <c r="N176" s="8" t="n">
        <v>1419860</v>
      </c>
      <c r="O176" s="3" t="s">
        <v>272</v>
      </c>
      <c r="P176" s="3" t="s">
        <v>84</v>
      </c>
      <c r="Q176" s="3" t="s">
        <v>85</v>
      </c>
      <c r="R176" s="3" t="str">
        <f aca="false">IF(Q176="pass","No","Yes")</f>
        <v>Yes</v>
      </c>
      <c r="S176" s="3" t="s">
        <v>86</v>
      </c>
      <c r="T176" s="3" t="s">
        <v>273</v>
      </c>
      <c r="U176" s="3" t="s">
        <v>404</v>
      </c>
      <c r="V176" s="9" t="n">
        <v>14.329</v>
      </c>
    </row>
    <row r="177" customFormat="false" ht="15" hidden="false" customHeight="true" outlineLevel="0" collapsed="false">
      <c r="A177" s="3" t="n">
        <v>176</v>
      </c>
      <c r="B177" s="3" t="n">
        <v>4</v>
      </c>
      <c r="C177" s="3" t="s">
        <v>63</v>
      </c>
      <c r="D177" s="3" t="s">
        <v>64</v>
      </c>
      <c r="E177" s="3" t="s">
        <v>65</v>
      </c>
      <c r="F177" s="3" t="s">
        <v>66</v>
      </c>
      <c r="G177" s="3" t="s">
        <v>67</v>
      </c>
      <c r="H177" s="3" t="n">
        <v>3</v>
      </c>
      <c r="I177" s="3" t="n">
        <v>75</v>
      </c>
      <c r="J177" s="3" t="s">
        <v>405</v>
      </c>
      <c r="K177" s="8" t="n">
        <v>1189200</v>
      </c>
      <c r="L177" s="8" t="n">
        <v>4500</v>
      </c>
      <c r="M177" s="8" t="n">
        <v>89527.5</v>
      </c>
      <c r="N177" s="8" t="n">
        <v>1283227.5</v>
      </c>
      <c r="O177" s="3" t="s">
        <v>83</v>
      </c>
      <c r="P177" s="3" t="s">
        <v>84</v>
      </c>
      <c r="Q177" s="3" t="s">
        <v>85</v>
      </c>
      <c r="R177" s="3" t="str">
        <f aca="false">IF(Q177="pass","No","Yes")</f>
        <v>Yes</v>
      </c>
      <c r="S177" s="3" t="s">
        <v>86</v>
      </c>
      <c r="T177" s="3" t="s">
        <v>87</v>
      </c>
      <c r="U177" s="3" t="s">
        <v>290</v>
      </c>
      <c r="V177" s="9" t="n">
        <v>26.946</v>
      </c>
    </row>
    <row r="178" customFormat="false" ht="15" hidden="false" customHeight="true" outlineLevel="0" collapsed="false">
      <c r="A178" s="3" t="n">
        <v>177</v>
      </c>
      <c r="B178" s="3" t="n">
        <v>4</v>
      </c>
      <c r="C178" s="3" t="s">
        <v>142</v>
      </c>
      <c r="D178" s="3" t="s">
        <v>143</v>
      </c>
      <c r="E178" s="3" t="s">
        <v>144</v>
      </c>
      <c r="F178" s="3" t="s">
        <v>145</v>
      </c>
      <c r="G178" s="3" t="s">
        <v>74</v>
      </c>
      <c r="H178" s="3" t="n">
        <v>2</v>
      </c>
      <c r="I178" s="3" t="n">
        <v>19</v>
      </c>
      <c r="J178" s="3" t="s">
        <v>406</v>
      </c>
      <c r="K178" s="8" t="n">
        <v>659000</v>
      </c>
      <c r="L178" s="8" t="n">
        <v>9000</v>
      </c>
      <c r="M178" s="8" t="n">
        <v>50100</v>
      </c>
      <c r="N178" s="8" t="n">
        <v>718100</v>
      </c>
      <c r="O178" s="3" t="s">
        <v>57</v>
      </c>
      <c r="P178" s="3" t="s">
        <v>58</v>
      </c>
      <c r="Q178" s="3" t="s">
        <v>69</v>
      </c>
      <c r="R178" s="3" t="str">
        <f aca="false">IF(Q178="pass","No","Yes")</f>
        <v>No</v>
      </c>
      <c r="S178" s="3" t="s">
        <v>60</v>
      </c>
      <c r="T178" s="3"/>
      <c r="U178" s="3"/>
      <c r="V178" s="9" t="n">
        <v>11.014</v>
      </c>
    </row>
    <row r="179" customFormat="false" ht="15" hidden="false" customHeight="true" outlineLevel="0" collapsed="false">
      <c r="A179" s="3" t="n">
        <v>178</v>
      </c>
      <c r="B179" s="3" t="n">
        <v>4</v>
      </c>
      <c r="C179" s="3" t="s">
        <v>213</v>
      </c>
      <c r="D179" s="3" t="s">
        <v>214</v>
      </c>
      <c r="E179" s="3" t="s">
        <v>215</v>
      </c>
      <c r="F179" s="3" t="s">
        <v>216</v>
      </c>
      <c r="G179" s="3" t="s">
        <v>67</v>
      </c>
      <c r="H179" s="3" t="n">
        <v>3</v>
      </c>
      <c r="I179" s="3" t="n">
        <v>123</v>
      </c>
      <c r="J179" s="3" t="s">
        <v>407</v>
      </c>
      <c r="K179" s="8" t="n">
        <v>1445000</v>
      </c>
      <c r="L179" s="8" t="n">
        <v>4500</v>
      </c>
      <c r="M179" s="8" t="n">
        <v>108712.5</v>
      </c>
      <c r="N179" s="8" t="n">
        <v>1558212.5</v>
      </c>
      <c r="O179" s="3" t="s">
        <v>57</v>
      </c>
      <c r="P179" s="3" t="s">
        <v>58</v>
      </c>
      <c r="Q179" s="3" t="s">
        <v>69</v>
      </c>
      <c r="R179" s="3" t="str">
        <f aca="false">IF(Q179="pass","No","Yes")</f>
        <v>No</v>
      </c>
      <c r="S179" s="3" t="s">
        <v>60</v>
      </c>
      <c r="T179" s="3"/>
      <c r="U179" s="3"/>
      <c r="V179" s="9" t="n">
        <v>15.788</v>
      </c>
    </row>
    <row r="180" customFormat="false" ht="15" hidden="false" customHeight="true" outlineLevel="0" collapsed="false">
      <c r="A180" s="3" t="n">
        <v>179</v>
      </c>
      <c r="B180" s="3" t="n">
        <v>4</v>
      </c>
      <c r="C180" s="3" t="s">
        <v>237</v>
      </c>
      <c r="D180" s="3" t="s">
        <v>238</v>
      </c>
      <c r="E180" s="3" t="s">
        <v>239</v>
      </c>
      <c r="F180" s="3" t="s">
        <v>240</v>
      </c>
      <c r="G180" s="3" t="s">
        <v>116</v>
      </c>
      <c r="H180" s="3" t="n">
        <v>2</v>
      </c>
      <c r="I180" s="3" t="n">
        <v>53</v>
      </c>
      <c r="J180" s="3" t="s">
        <v>408</v>
      </c>
      <c r="K180" s="8" t="n">
        <v>673500</v>
      </c>
      <c r="L180" s="8" t="n">
        <v>15000</v>
      </c>
      <c r="M180" s="8" t="n">
        <v>51637.5</v>
      </c>
      <c r="N180" s="8" t="n">
        <v>740137.5</v>
      </c>
      <c r="O180" s="3" t="s">
        <v>57</v>
      </c>
      <c r="P180" s="3" t="s">
        <v>58</v>
      </c>
      <c r="Q180" s="3" t="s">
        <v>69</v>
      </c>
      <c r="R180" s="3" t="str">
        <f aca="false">IF(Q180="pass","No","Yes")</f>
        <v>No</v>
      </c>
      <c r="S180" s="3" t="s">
        <v>60</v>
      </c>
      <c r="T180" s="3"/>
      <c r="U180" s="3"/>
      <c r="V180" s="9" t="n">
        <v>20.337</v>
      </c>
    </row>
    <row r="181" customFormat="false" ht="15" hidden="false" customHeight="true" outlineLevel="0" collapsed="false">
      <c r="A181" s="3" t="n">
        <v>180</v>
      </c>
      <c r="B181" s="3" t="n">
        <v>4</v>
      </c>
      <c r="C181" s="3" t="s">
        <v>119</v>
      </c>
      <c r="D181" s="3" t="s">
        <v>120</v>
      </c>
      <c r="E181" s="3" t="s">
        <v>121</v>
      </c>
      <c r="F181" s="3" t="s">
        <v>122</v>
      </c>
      <c r="G181" s="3" t="s">
        <v>123</v>
      </c>
      <c r="H181" s="3" t="n">
        <v>2</v>
      </c>
      <c r="I181" s="3" t="n">
        <v>226</v>
      </c>
      <c r="J181" s="3" t="s">
        <v>409</v>
      </c>
      <c r="K181" s="8" t="n">
        <v>2009000</v>
      </c>
      <c r="L181" s="8" t="n">
        <v>5000</v>
      </c>
      <c r="M181" s="8" t="n">
        <v>151050</v>
      </c>
      <c r="N181" s="8" t="n">
        <v>2165050</v>
      </c>
      <c r="O181" s="3" t="s">
        <v>57</v>
      </c>
      <c r="P181" s="3" t="s">
        <v>58</v>
      </c>
      <c r="Q181" s="3" t="s">
        <v>59</v>
      </c>
      <c r="R181" s="3" t="str">
        <f aca="false">IF(Q181="pass","No","Yes")</f>
        <v>Yes</v>
      </c>
      <c r="S181" s="3" t="s">
        <v>60</v>
      </c>
      <c r="T181" s="3" t="s">
        <v>61</v>
      </c>
      <c r="U181" s="3" t="s">
        <v>410</v>
      </c>
      <c r="V181" s="9" t="n">
        <v>28.744</v>
      </c>
    </row>
    <row r="182" customFormat="false" ht="15" hidden="false" customHeight="true" outlineLevel="0" collapsed="false">
      <c r="A182" s="3" t="n">
        <v>181</v>
      </c>
      <c r="B182" s="3" t="n">
        <v>4</v>
      </c>
      <c r="C182" s="3" t="s">
        <v>112</v>
      </c>
      <c r="D182" s="3" t="s">
        <v>113</v>
      </c>
      <c r="E182" s="3" t="s">
        <v>114</v>
      </c>
      <c r="F182" s="3" t="s">
        <v>115</v>
      </c>
      <c r="G182" s="3" t="s">
        <v>116</v>
      </c>
      <c r="H182" s="3" t="n">
        <v>1</v>
      </c>
      <c r="I182" s="3" t="n">
        <v>214</v>
      </c>
      <c r="J182" s="3" t="s">
        <v>411</v>
      </c>
      <c r="K182" s="8" t="n">
        <v>2033000</v>
      </c>
      <c r="L182" s="8" t="n">
        <v>15000</v>
      </c>
      <c r="M182" s="8" t="n">
        <v>153600</v>
      </c>
      <c r="N182" s="8" t="n">
        <v>2201600</v>
      </c>
      <c r="O182" s="3" t="s">
        <v>110</v>
      </c>
      <c r="P182" s="3" t="s">
        <v>58</v>
      </c>
      <c r="Q182" s="3" t="s">
        <v>59</v>
      </c>
      <c r="R182" s="3" t="str">
        <f aca="false">IF(Q182="pass","No","Yes")</f>
        <v>Yes</v>
      </c>
      <c r="S182" s="3" t="s">
        <v>60</v>
      </c>
      <c r="T182" s="3" t="s">
        <v>61</v>
      </c>
      <c r="U182" s="3" t="s">
        <v>412</v>
      </c>
      <c r="V182" s="9" t="n">
        <v>17.209</v>
      </c>
    </row>
    <row r="183" customFormat="false" ht="15" hidden="false" customHeight="true" outlineLevel="0" collapsed="false">
      <c r="A183" s="3" t="n">
        <v>182</v>
      </c>
      <c r="B183" s="3" t="n">
        <v>4</v>
      </c>
      <c r="C183" s="3" t="s">
        <v>127</v>
      </c>
      <c r="D183" s="3" t="s">
        <v>128</v>
      </c>
      <c r="E183" s="3" t="s">
        <v>129</v>
      </c>
      <c r="F183" s="3" t="s">
        <v>130</v>
      </c>
      <c r="G183" s="3" t="s">
        <v>146</v>
      </c>
      <c r="H183" s="3" t="n">
        <v>1</v>
      </c>
      <c r="I183" s="3" t="n">
        <v>2</v>
      </c>
      <c r="J183" s="3" t="s">
        <v>255</v>
      </c>
      <c r="K183" s="8" t="n">
        <v>8200</v>
      </c>
      <c r="L183" s="8" t="n">
        <v>0</v>
      </c>
      <c r="M183" s="8" t="n">
        <v>615</v>
      </c>
      <c r="N183" s="8" t="n">
        <v>8815</v>
      </c>
      <c r="O183" s="3" t="s">
        <v>148</v>
      </c>
      <c r="P183" s="3" t="s">
        <v>84</v>
      </c>
      <c r="Q183" s="3" t="s">
        <v>85</v>
      </c>
      <c r="R183" s="3" t="str">
        <f aca="false">IF(Q183="pass","No","Yes")</f>
        <v>Yes</v>
      </c>
      <c r="S183" s="3" t="s">
        <v>86</v>
      </c>
      <c r="T183" s="3" t="s">
        <v>149</v>
      </c>
      <c r="U183" s="3" t="s">
        <v>150</v>
      </c>
      <c r="V183" s="9" t="n">
        <v>7.525</v>
      </c>
    </row>
    <row r="184" customFormat="false" ht="15" hidden="false" customHeight="true" outlineLevel="0" collapsed="false">
      <c r="A184" s="3" t="n">
        <v>183</v>
      </c>
      <c r="B184" s="3" t="n">
        <v>4</v>
      </c>
      <c r="C184" s="3" t="s">
        <v>142</v>
      </c>
      <c r="D184" s="3" t="s">
        <v>143</v>
      </c>
      <c r="E184" s="3" t="s">
        <v>144</v>
      </c>
      <c r="F184" s="3" t="s">
        <v>145</v>
      </c>
      <c r="G184" s="3" t="s">
        <v>74</v>
      </c>
      <c r="H184" s="3" t="n">
        <v>3</v>
      </c>
      <c r="I184" s="3" t="n">
        <v>82</v>
      </c>
      <c r="J184" s="3" t="s">
        <v>413</v>
      </c>
      <c r="K184" s="8" t="n">
        <v>1100400</v>
      </c>
      <c r="L184" s="8" t="n">
        <v>9000</v>
      </c>
      <c r="M184" s="8" t="n">
        <v>83205</v>
      </c>
      <c r="N184" s="8" t="n">
        <v>1192605</v>
      </c>
      <c r="O184" s="3" t="s">
        <v>57</v>
      </c>
      <c r="P184" s="3" t="s">
        <v>58</v>
      </c>
      <c r="Q184" s="3" t="s">
        <v>69</v>
      </c>
      <c r="R184" s="3" t="str">
        <f aca="false">IF(Q184="pass","No","Yes")</f>
        <v>No</v>
      </c>
      <c r="S184" s="3" t="s">
        <v>60</v>
      </c>
      <c r="T184" s="3"/>
      <c r="U184" s="3"/>
      <c r="V184" s="9" t="n">
        <v>16.3</v>
      </c>
    </row>
    <row r="185" customFormat="false" ht="15" hidden="false" customHeight="true" outlineLevel="0" collapsed="false">
      <c r="A185" s="3" t="n">
        <v>184</v>
      </c>
      <c r="B185" s="3" t="n">
        <v>4</v>
      </c>
      <c r="C185" s="3" t="s">
        <v>154</v>
      </c>
      <c r="D185" s="3" t="s">
        <v>155</v>
      </c>
      <c r="E185" s="3" t="s">
        <v>156</v>
      </c>
      <c r="F185" s="3" t="s">
        <v>157</v>
      </c>
      <c r="G185" s="3" t="s">
        <v>123</v>
      </c>
      <c r="H185" s="3" t="n">
        <v>1</v>
      </c>
      <c r="I185" s="3" t="n">
        <v>11</v>
      </c>
      <c r="J185" s="3" t="s">
        <v>414</v>
      </c>
      <c r="K185" s="8" t="n">
        <v>129800</v>
      </c>
      <c r="L185" s="8" t="n">
        <v>5000</v>
      </c>
      <c r="M185" s="8" t="n">
        <v>10110</v>
      </c>
      <c r="N185" s="8" t="n">
        <v>144910</v>
      </c>
      <c r="O185" s="3" t="s">
        <v>57</v>
      </c>
      <c r="P185" s="3" t="s">
        <v>58</v>
      </c>
      <c r="Q185" s="3" t="s">
        <v>69</v>
      </c>
      <c r="R185" s="3" t="str">
        <f aca="false">IF(Q185="pass","No","Yes")</f>
        <v>No</v>
      </c>
      <c r="S185" s="3" t="s">
        <v>60</v>
      </c>
      <c r="T185" s="3"/>
      <c r="U185" s="3"/>
      <c r="V185" s="9" t="n">
        <v>9.369</v>
      </c>
    </row>
    <row r="186" customFormat="false" ht="15" hidden="false" customHeight="true" outlineLevel="0" collapsed="false">
      <c r="A186" s="3" t="n">
        <v>185</v>
      </c>
      <c r="B186" s="3" t="n">
        <v>4</v>
      </c>
      <c r="C186" s="3" t="s">
        <v>154</v>
      </c>
      <c r="D186" s="3" t="s">
        <v>155</v>
      </c>
      <c r="E186" s="3" t="s">
        <v>156</v>
      </c>
      <c r="F186" s="3" t="s">
        <v>157</v>
      </c>
      <c r="G186" s="3" t="s">
        <v>123</v>
      </c>
      <c r="H186" s="3" t="n">
        <v>1</v>
      </c>
      <c r="I186" s="3" t="n">
        <v>14</v>
      </c>
      <c r="J186" s="3" t="s">
        <v>415</v>
      </c>
      <c r="K186" s="8" t="n">
        <v>165200</v>
      </c>
      <c r="L186" s="8" t="n">
        <v>5000</v>
      </c>
      <c r="M186" s="8" t="n">
        <v>12765</v>
      </c>
      <c r="N186" s="8" t="n">
        <v>182965</v>
      </c>
      <c r="O186" s="3" t="s">
        <v>57</v>
      </c>
      <c r="P186" s="3" t="s">
        <v>58</v>
      </c>
      <c r="Q186" s="3" t="s">
        <v>69</v>
      </c>
      <c r="R186" s="3" t="str">
        <f aca="false">IF(Q186="pass","No","Yes")</f>
        <v>No</v>
      </c>
      <c r="S186" s="3" t="s">
        <v>60</v>
      </c>
      <c r="T186" s="3"/>
      <c r="U186" s="3"/>
      <c r="V186" s="9" t="n">
        <v>9.355</v>
      </c>
    </row>
    <row r="187" customFormat="false" ht="15" hidden="false" customHeight="true" outlineLevel="0" collapsed="false">
      <c r="A187" s="3" t="n">
        <v>186</v>
      </c>
      <c r="B187" s="3" t="n">
        <v>4</v>
      </c>
      <c r="C187" s="3" t="s">
        <v>105</v>
      </c>
      <c r="D187" s="3" t="s">
        <v>106</v>
      </c>
      <c r="E187" s="3" t="s">
        <v>107</v>
      </c>
      <c r="F187" s="3" t="s">
        <v>108</v>
      </c>
      <c r="G187" s="3" t="s">
        <v>81</v>
      </c>
      <c r="H187" s="3" t="n">
        <v>0</v>
      </c>
      <c r="I187" s="3" t="n">
        <v>0</v>
      </c>
      <c r="J187" s="3"/>
      <c r="K187" s="8" t="n">
        <v>0</v>
      </c>
      <c r="L187" s="8" t="n">
        <v>4000</v>
      </c>
      <c r="M187" s="8" t="n">
        <v>300</v>
      </c>
      <c r="N187" s="8" t="n">
        <v>4300</v>
      </c>
      <c r="O187" s="3" t="s">
        <v>76</v>
      </c>
      <c r="P187" s="3" t="s">
        <v>58</v>
      </c>
      <c r="Q187" s="3" t="s">
        <v>85</v>
      </c>
      <c r="R187" s="3" t="str">
        <f aca="false">IF(Q187="pass","No","Yes")</f>
        <v>Yes</v>
      </c>
      <c r="S187" s="3" t="s">
        <v>86</v>
      </c>
      <c r="T187" s="3" t="s">
        <v>87</v>
      </c>
      <c r="U187" s="3" t="s">
        <v>205</v>
      </c>
      <c r="V187" s="9" t="n">
        <v>4.036</v>
      </c>
    </row>
    <row r="188" customFormat="false" ht="15" hidden="false" customHeight="true" outlineLevel="0" collapsed="false">
      <c r="A188" s="3" t="n">
        <v>187</v>
      </c>
      <c r="B188" s="3" t="n">
        <v>4</v>
      </c>
      <c r="C188" s="3" t="s">
        <v>198</v>
      </c>
      <c r="D188" s="3" t="s">
        <v>199</v>
      </c>
      <c r="E188" s="3" t="s">
        <v>200</v>
      </c>
      <c r="F188" s="3" t="s">
        <v>201</v>
      </c>
      <c r="G188" s="3" t="s">
        <v>81</v>
      </c>
      <c r="H188" s="3" t="n">
        <v>1</v>
      </c>
      <c r="I188" s="3" t="n">
        <v>134</v>
      </c>
      <c r="J188" s="3" t="s">
        <v>416</v>
      </c>
      <c r="K188" s="8" t="n">
        <v>1273000</v>
      </c>
      <c r="L188" s="8" t="n">
        <v>4000</v>
      </c>
      <c r="M188" s="8" t="n">
        <v>95775</v>
      </c>
      <c r="N188" s="8" t="n">
        <v>1372775</v>
      </c>
      <c r="O188" s="3" t="s">
        <v>57</v>
      </c>
      <c r="P188" s="3" t="s">
        <v>58</v>
      </c>
      <c r="Q188" s="3" t="s">
        <v>69</v>
      </c>
      <c r="R188" s="3" t="str">
        <f aca="false">IF(Q188="pass","No","Yes")</f>
        <v>No</v>
      </c>
      <c r="S188" s="3" t="s">
        <v>60</v>
      </c>
      <c r="T188" s="3"/>
      <c r="U188" s="3"/>
      <c r="V188" s="9" t="n">
        <v>17.057</v>
      </c>
    </row>
    <row r="189" customFormat="false" ht="15" hidden="false" customHeight="true" outlineLevel="0" collapsed="false">
      <c r="A189" s="3" t="n">
        <v>188</v>
      </c>
      <c r="B189" s="3" t="n">
        <v>4</v>
      </c>
      <c r="C189" s="3" t="s">
        <v>89</v>
      </c>
      <c r="D189" s="3" t="s">
        <v>90</v>
      </c>
      <c r="E189" s="3" t="s">
        <v>91</v>
      </c>
      <c r="F189" s="3" t="s">
        <v>92</v>
      </c>
      <c r="G189" s="3" t="s">
        <v>67</v>
      </c>
      <c r="H189" s="3" t="n">
        <v>0</v>
      </c>
      <c r="I189" s="3" t="n">
        <v>0</v>
      </c>
      <c r="J189" s="3"/>
      <c r="K189" s="8" t="n">
        <v>0</v>
      </c>
      <c r="L189" s="8" t="n">
        <v>4500</v>
      </c>
      <c r="M189" s="8" t="n">
        <v>337.5</v>
      </c>
      <c r="N189" s="8" t="n">
        <v>4837.5</v>
      </c>
      <c r="O189" s="3" t="s">
        <v>76</v>
      </c>
      <c r="P189" s="3" t="s">
        <v>58</v>
      </c>
      <c r="Q189" s="3" t="s">
        <v>85</v>
      </c>
      <c r="R189" s="3" t="str">
        <f aca="false">IF(Q189="pass","No","Yes")</f>
        <v>Yes</v>
      </c>
      <c r="S189" s="3" t="s">
        <v>86</v>
      </c>
      <c r="T189" s="3" t="s">
        <v>87</v>
      </c>
      <c r="U189" s="3" t="s">
        <v>205</v>
      </c>
      <c r="V189" s="9" t="n">
        <v>3.932</v>
      </c>
    </row>
    <row r="190" customFormat="false" ht="15" hidden="false" customHeight="true" outlineLevel="0" collapsed="false">
      <c r="A190" s="3" t="n">
        <v>189</v>
      </c>
      <c r="B190" s="3" t="n">
        <v>4</v>
      </c>
      <c r="C190" s="3" t="s">
        <v>63</v>
      </c>
      <c r="D190" s="3" t="s">
        <v>64</v>
      </c>
      <c r="E190" s="3" t="s">
        <v>65</v>
      </c>
      <c r="F190" s="3" t="s">
        <v>66</v>
      </c>
      <c r="G190" s="3" t="s">
        <v>67</v>
      </c>
      <c r="H190" s="3" t="n">
        <v>2</v>
      </c>
      <c r="I190" s="3" t="n">
        <v>51</v>
      </c>
      <c r="J190" s="3" t="s">
        <v>417</v>
      </c>
      <c r="K190" s="8" t="n">
        <v>994500</v>
      </c>
      <c r="L190" s="8" t="n">
        <v>4500</v>
      </c>
      <c r="M190" s="8" t="n">
        <v>74925</v>
      </c>
      <c r="N190" s="8" t="n">
        <v>1073925</v>
      </c>
      <c r="O190" s="3" t="s">
        <v>152</v>
      </c>
      <c r="P190" s="3" t="s">
        <v>84</v>
      </c>
      <c r="Q190" s="3" t="s">
        <v>85</v>
      </c>
      <c r="R190" s="3" t="str">
        <f aca="false">IF(Q190="pass","No","Yes")</f>
        <v>Yes</v>
      </c>
      <c r="S190" s="3" t="s">
        <v>86</v>
      </c>
      <c r="T190" s="3" t="s">
        <v>87</v>
      </c>
      <c r="U190" s="3" t="s">
        <v>418</v>
      </c>
      <c r="V190" s="9" t="n">
        <v>12.346</v>
      </c>
    </row>
    <row r="191" customFormat="false" ht="15" hidden="false" customHeight="true" outlineLevel="0" collapsed="false">
      <c r="A191" s="3" t="n">
        <v>190</v>
      </c>
      <c r="B191" s="3" t="n">
        <v>4</v>
      </c>
      <c r="C191" s="3" t="s">
        <v>213</v>
      </c>
      <c r="D191" s="3" t="s">
        <v>214</v>
      </c>
      <c r="E191" s="3" t="s">
        <v>215</v>
      </c>
      <c r="F191" s="3" t="s">
        <v>216</v>
      </c>
      <c r="G191" s="3" t="s">
        <v>67</v>
      </c>
      <c r="H191" s="3" t="n">
        <v>3</v>
      </c>
      <c r="I191" s="3" t="n">
        <v>122</v>
      </c>
      <c r="J191" s="3" t="s">
        <v>419</v>
      </c>
      <c r="K191" s="8" t="n">
        <v>1603200</v>
      </c>
      <c r="L191" s="8" t="n">
        <v>4500</v>
      </c>
      <c r="M191" s="8" t="n">
        <v>120577.5</v>
      </c>
      <c r="N191" s="8" t="n">
        <v>1728277.5</v>
      </c>
      <c r="O191" s="3" t="s">
        <v>132</v>
      </c>
      <c r="P191" s="3" t="s">
        <v>84</v>
      </c>
      <c r="Q191" s="3" t="s">
        <v>85</v>
      </c>
      <c r="R191" s="3" t="str">
        <f aca="false">IF(Q191="pass","No","Yes")</f>
        <v>Yes</v>
      </c>
      <c r="S191" s="3" t="s">
        <v>86</v>
      </c>
      <c r="T191" s="3" t="s">
        <v>133</v>
      </c>
      <c r="U191" s="3" t="s">
        <v>134</v>
      </c>
      <c r="V191" s="9" t="n">
        <v>14.079</v>
      </c>
    </row>
    <row r="192" customFormat="false" ht="15" hidden="false" customHeight="true" outlineLevel="0" collapsed="false">
      <c r="A192" s="3" t="n">
        <v>191</v>
      </c>
      <c r="B192" s="3" t="n">
        <v>4</v>
      </c>
      <c r="C192" s="3" t="s">
        <v>166</v>
      </c>
      <c r="D192" s="3" t="s">
        <v>167</v>
      </c>
      <c r="E192" s="3" t="s">
        <v>168</v>
      </c>
      <c r="F192" s="3" t="s">
        <v>169</v>
      </c>
      <c r="G192" s="3" t="s">
        <v>74</v>
      </c>
      <c r="H192" s="3" t="n">
        <v>1</v>
      </c>
      <c r="I192" s="3" t="n">
        <v>212</v>
      </c>
      <c r="J192" s="3" t="s">
        <v>390</v>
      </c>
      <c r="K192" s="8" t="n">
        <v>2014000</v>
      </c>
      <c r="L192" s="8" t="n">
        <v>9000</v>
      </c>
      <c r="M192" s="8" t="n">
        <v>151725</v>
      </c>
      <c r="N192" s="8" t="n">
        <v>2174725</v>
      </c>
      <c r="O192" s="3" t="s">
        <v>110</v>
      </c>
      <c r="P192" s="3" t="s">
        <v>58</v>
      </c>
      <c r="Q192" s="3" t="s">
        <v>59</v>
      </c>
      <c r="R192" s="3" t="str">
        <f aca="false">IF(Q192="pass","No","Yes")</f>
        <v>Yes</v>
      </c>
      <c r="S192" s="3" t="s">
        <v>60</v>
      </c>
      <c r="T192" s="3" t="s">
        <v>61</v>
      </c>
      <c r="U192" s="3" t="s">
        <v>420</v>
      </c>
      <c r="V192" s="9" t="n">
        <v>17.539</v>
      </c>
    </row>
    <row r="193" customFormat="false" ht="15" hidden="false" customHeight="true" outlineLevel="0" collapsed="false">
      <c r="A193" s="3" t="n">
        <v>192</v>
      </c>
      <c r="B193" s="3" t="n">
        <v>4</v>
      </c>
      <c r="C193" s="3" t="s">
        <v>70</v>
      </c>
      <c r="D193" s="3" t="s">
        <v>71</v>
      </c>
      <c r="E193" s="3" t="s">
        <v>72</v>
      </c>
      <c r="F193" s="3" t="s">
        <v>73</v>
      </c>
      <c r="G193" s="3" t="s">
        <v>74</v>
      </c>
      <c r="H193" s="3" t="n">
        <v>0</v>
      </c>
      <c r="I193" s="3" t="n">
        <v>0</v>
      </c>
      <c r="J193" s="3"/>
      <c r="K193" s="8" t="n">
        <v>0</v>
      </c>
      <c r="L193" s="8" t="n">
        <v>9000</v>
      </c>
      <c r="M193" s="8" t="n">
        <v>675</v>
      </c>
      <c r="N193" s="8" t="n">
        <v>9675</v>
      </c>
      <c r="O193" s="3" t="s">
        <v>76</v>
      </c>
      <c r="P193" s="3" t="s">
        <v>58</v>
      </c>
      <c r="Q193" s="3" t="s">
        <v>85</v>
      </c>
      <c r="R193" s="3" t="str">
        <f aca="false">IF(Q193="pass","No","Yes")</f>
        <v>Yes</v>
      </c>
      <c r="S193" s="3" t="s">
        <v>86</v>
      </c>
      <c r="T193" s="3" t="s">
        <v>87</v>
      </c>
      <c r="U193" s="3" t="s">
        <v>205</v>
      </c>
      <c r="V193" s="9" t="n">
        <v>3.914</v>
      </c>
    </row>
    <row r="194" customFormat="false" ht="15" hidden="false" customHeight="true" outlineLevel="0" collapsed="false">
      <c r="A194" s="3" t="n">
        <v>193</v>
      </c>
      <c r="B194" s="3" t="n">
        <v>4</v>
      </c>
      <c r="C194" s="3" t="s">
        <v>177</v>
      </c>
      <c r="D194" s="3" t="s">
        <v>178</v>
      </c>
      <c r="E194" s="3" t="s">
        <v>179</v>
      </c>
      <c r="F194" s="3" t="s">
        <v>180</v>
      </c>
      <c r="G194" s="3" t="s">
        <v>81</v>
      </c>
      <c r="H194" s="3" t="n">
        <v>1</v>
      </c>
      <c r="I194" s="3" t="n">
        <v>10</v>
      </c>
      <c r="J194" s="3" t="s">
        <v>421</v>
      </c>
      <c r="K194" s="8" t="n">
        <v>380000</v>
      </c>
      <c r="L194" s="8" t="n">
        <v>4000</v>
      </c>
      <c r="M194" s="8" t="n">
        <v>28800</v>
      </c>
      <c r="N194" s="8" t="n">
        <v>412800</v>
      </c>
      <c r="O194" s="3" t="s">
        <v>57</v>
      </c>
      <c r="P194" s="3" t="s">
        <v>58</v>
      </c>
      <c r="Q194" s="3" t="s">
        <v>69</v>
      </c>
      <c r="R194" s="3" t="str">
        <f aca="false">IF(Q194="pass","No","Yes")</f>
        <v>No</v>
      </c>
      <c r="S194" s="3" t="s">
        <v>60</v>
      </c>
      <c r="T194" s="3"/>
      <c r="U194" s="3"/>
      <c r="V194" s="9" t="n">
        <v>7.846</v>
      </c>
    </row>
    <row r="195" customFormat="false" ht="15" hidden="false" customHeight="true" outlineLevel="0" collapsed="false">
      <c r="A195" s="3" t="n">
        <v>194</v>
      </c>
      <c r="B195" s="3" t="n">
        <v>4</v>
      </c>
      <c r="C195" s="3" t="s">
        <v>51</v>
      </c>
      <c r="D195" s="3" t="s">
        <v>52</v>
      </c>
      <c r="E195" s="3" t="s">
        <v>53</v>
      </c>
      <c r="F195" s="3" t="s">
        <v>54</v>
      </c>
      <c r="G195" s="3" t="s">
        <v>55</v>
      </c>
      <c r="H195" s="3" t="n">
        <v>2</v>
      </c>
      <c r="I195" s="3" t="n">
        <v>159</v>
      </c>
      <c r="J195" s="3" t="s">
        <v>422</v>
      </c>
      <c r="K195" s="8" t="n">
        <v>1795500</v>
      </c>
      <c r="L195" s="8" t="n">
        <v>6000</v>
      </c>
      <c r="M195" s="8" t="n">
        <v>135112.5</v>
      </c>
      <c r="N195" s="8" t="n">
        <v>1936612.5</v>
      </c>
      <c r="O195" s="3" t="s">
        <v>57</v>
      </c>
      <c r="P195" s="3" t="s">
        <v>58</v>
      </c>
      <c r="Q195" s="3" t="s">
        <v>69</v>
      </c>
      <c r="R195" s="3" t="str">
        <f aca="false">IF(Q195="pass","No","Yes")</f>
        <v>No</v>
      </c>
      <c r="S195" s="3" t="s">
        <v>60</v>
      </c>
      <c r="T195" s="3"/>
      <c r="U195" s="3"/>
      <c r="V195" s="9" t="n">
        <v>22.148</v>
      </c>
    </row>
    <row r="196" customFormat="false" ht="15" hidden="false" customHeight="true" outlineLevel="0" collapsed="false">
      <c r="A196" s="3" t="n">
        <v>195</v>
      </c>
      <c r="B196" s="3" t="n">
        <v>4</v>
      </c>
      <c r="C196" s="3" t="s">
        <v>105</v>
      </c>
      <c r="D196" s="3" t="s">
        <v>106</v>
      </c>
      <c r="E196" s="3" t="s">
        <v>107</v>
      </c>
      <c r="F196" s="3" t="s">
        <v>108</v>
      </c>
      <c r="G196" s="3" t="s">
        <v>81</v>
      </c>
      <c r="H196" s="3" t="n">
        <v>0</v>
      </c>
      <c r="I196" s="3" t="n">
        <v>0</v>
      </c>
      <c r="J196" s="3"/>
      <c r="K196" s="8" t="n">
        <v>0</v>
      </c>
      <c r="L196" s="8" t="n">
        <v>4000</v>
      </c>
      <c r="M196" s="8" t="n">
        <v>300</v>
      </c>
      <c r="N196" s="8" t="n">
        <v>4300</v>
      </c>
      <c r="O196" s="3" t="s">
        <v>76</v>
      </c>
      <c r="P196" s="3" t="s">
        <v>58</v>
      </c>
      <c r="Q196" s="3" t="s">
        <v>85</v>
      </c>
      <c r="R196" s="3" t="str">
        <f aca="false">IF(Q196="pass","No","Yes")</f>
        <v>Yes</v>
      </c>
      <c r="S196" s="3" t="s">
        <v>86</v>
      </c>
      <c r="T196" s="3" t="s">
        <v>87</v>
      </c>
      <c r="U196" s="3" t="s">
        <v>205</v>
      </c>
      <c r="V196" s="9" t="n">
        <v>4.154</v>
      </c>
    </row>
    <row r="197" customFormat="false" ht="15" hidden="false" customHeight="true" outlineLevel="0" collapsed="false">
      <c r="A197" s="3" t="n">
        <v>196</v>
      </c>
      <c r="B197" s="3" t="n">
        <v>4</v>
      </c>
      <c r="C197" s="3" t="s">
        <v>51</v>
      </c>
      <c r="D197" s="3" t="s">
        <v>52</v>
      </c>
      <c r="E197" s="3" t="s">
        <v>53</v>
      </c>
      <c r="F197" s="3" t="s">
        <v>54</v>
      </c>
      <c r="G197" s="3" t="s">
        <v>55</v>
      </c>
      <c r="H197" s="3" t="n">
        <v>3</v>
      </c>
      <c r="I197" s="3" t="n">
        <v>17</v>
      </c>
      <c r="J197" s="3" t="s">
        <v>423</v>
      </c>
      <c r="K197" s="8" t="n">
        <v>828000</v>
      </c>
      <c r="L197" s="8" t="n">
        <v>6000</v>
      </c>
      <c r="M197" s="8" t="n">
        <v>62550</v>
      </c>
      <c r="N197" s="8" t="n">
        <v>896550</v>
      </c>
      <c r="O197" s="3" t="s">
        <v>272</v>
      </c>
      <c r="P197" s="3" t="s">
        <v>84</v>
      </c>
      <c r="Q197" s="3" t="s">
        <v>85</v>
      </c>
      <c r="R197" s="3" t="str">
        <f aca="false">IF(Q197="pass","No","Yes")</f>
        <v>Yes</v>
      </c>
      <c r="S197" s="3" t="s">
        <v>86</v>
      </c>
      <c r="T197" s="3" t="s">
        <v>273</v>
      </c>
      <c r="U197" s="3" t="s">
        <v>424</v>
      </c>
      <c r="V197" s="9" t="n">
        <v>11.888</v>
      </c>
    </row>
    <row r="198" customFormat="false" ht="15" hidden="false" customHeight="true" outlineLevel="0" collapsed="false">
      <c r="A198" s="3" t="n">
        <v>197</v>
      </c>
      <c r="B198" s="3" t="n">
        <v>4</v>
      </c>
      <c r="C198" s="3" t="s">
        <v>237</v>
      </c>
      <c r="D198" s="3" t="s">
        <v>238</v>
      </c>
      <c r="E198" s="3" t="s">
        <v>239</v>
      </c>
      <c r="F198" s="3" t="s">
        <v>240</v>
      </c>
      <c r="G198" s="3" t="s">
        <v>116</v>
      </c>
      <c r="H198" s="3" t="n">
        <v>0</v>
      </c>
      <c r="I198" s="3" t="n">
        <v>0</v>
      </c>
      <c r="J198" s="3"/>
      <c r="K198" s="8" t="n">
        <v>0</v>
      </c>
      <c r="L198" s="8" t="n">
        <v>15000</v>
      </c>
      <c r="M198" s="8" t="n">
        <v>1125</v>
      </c>
      <c r="N198" s="8" t="n">
        <v>16125</v>
      </c>
      <c r="O198" s="3" t="s">
        <v>76</v>
      </c>
      <c r="P198" s="3" t="s">
        <v>58</v>
      </c>
      <c r="Q198" s="3" t="s">
        <v>85</v>
      </c>
      <c r="R198" s="3" t="str">
        <f aca="false">IF(Q198="pass","No","Yes")</f>
        <v>Yes</v>
      </c>
      <c r="S198" s="3" t="s">
        <v>86</v>
      </c>
      <c r="T198" s="3" t="s">
        <v>87</v>
      </c>
      <c r="U198" s="3" t="s">
        <v>205</v>
      </c>
      <c r="V198" s="9" t="n">
        <v>3.968</v>
      </c>
    </row>
    <row r="199" customFormat="false" ht="15" hidden="false" customHeight="true" outlineLevel="0" collapsed="false">
      <c r="A199" s="3" t="n">
        <v>198</v>
      </c>
      <c r="B199" s="3" t="n">
        <v>4</v>
      </c>
      <c r="C199" s="3" t="s">
        <v>89</v>
      </c>
      <c r="D199" s="3" t="s">
        <v>90</v>
      </c>
      <c r="E199" s="3" t="s">
        <v>91</v>
      </c>
      <c r="F199" s="3" t="s">
        <v>92</v>
      </c>
      <c r="G199" s="3" t="s">
        <v>67</v>
      </c>
      <c r="H199" s="3" t="n">
        <v>3</v>
      </c>
      <c r="I199" s="3" t="n">
        <v>254</v>
      </c>
      <c r="J199" s="3" t="s">
        <v>425</v>
      </c>
      <c r="K199" s="8" t="n">
        <v>2244500</v>
      </c>
      <c r="L199" s="8" t="n">
        <v>4500</v>
      </c>
      <c r="M199" s="8" t="n">
        <v>168675</v>
      </c>
      <c r="N199" s="8" t="n">
        <v>2417675</v>
      </c>
      <c r="O199" s="3" t="s">
        <v>94</v>
      </c>
      <c r="P199" s="3" t="s">
        <v>84</v>
      </c>
      <c r="Q199" s="3" t="s">
        <v>85</v>
      </c>
      <c r="R199" s="3" t="str">
        <f aca="false">IF(Q199="pass","No","Yes")</f>
        <v>Yes</v>
      </c>
      <c r="S199" s="3" t="s">
        <v>86</v>
      </c>
      <c r="T199" s="3" t="s">
        <v>95</v>
      </c>
      <c r="U199" s="3" t="s">
        <v>426</v>
      </c>
      <c r="V199" s="9" t="n">
        <v>34.379</v>
      </c>
    </row>
    <row r="200" customFormat="false" ht="15" hidden="false" customHeight="true" outlineLevel="0" collapsed="false">
      <c r="A200" s="3" t="n">
        <v>199</v>
      </c>
      <c r="B200" s="3" t="n">
        <v>4</v>
      </c>
      <c r="C200" s="3" t="s">
        <v>177</v>
      </c>
      <c r="D200" s="3" t="s">
        <v>178</v>
      </c>
      <c r="E200" s="3" t="s">
        <v>179</v>
      </c>
      <c r="F200" s="3" t="s">
        <v>180</v>
      </c>
      <c r="G200" s="3" t="s">
        <v>81</v>
      </c>
      <c r="H200" s="3" t="n">
        <v>1</v>
      </c>
      <c r="I200" s="3" t="n">
        <v>219</v>
      </c>
      <c r="J200" s="3" t="s">
        <v>340</v>
      </c>
      <c r="K200" s="8" t="n">
        <v>2080500</v>
      </c>
      <c r="L200" s="8" t="n">
        <v>4000</v>
      </c>
      <c r="M200" s="8" t="n">
        <v>156337.5</v>
      </c>
      <c r="N200" s="8" t="n">
        <v>2240837.5</v>
      </c>
      <c r="O200" s="3" t="s">
        <v>110</v>
      </c>
      <c r="P200" s="3" t="s">
        <v>58</v>
      </c>
      <c r="Q200" s="3" t="s">
        <v>59</v>
      </c>
      <c r="R200" s="3" t="str">
        <f aca="false">IF(Q200="pass","No","Yes")</f>
        <v>Yes</v>
      </c>
      <c r="S200" s="3" t="s">
        <v>60</v>
      </c>
      <c r="T200" s="3" t="s">
        <v>61</v>
      </c>
      <c r="U200" s="3" t="s">
        <v>341</v>
      </c>
      <c r="V200" s="9" t="n">
        <v>18.534</v>
      </c>
    </row>
    <row r="201" customFormat="false" ht="15" hidden="false" customHeight="true" outlineLevel="0" collapsed="false">
      <c r="A201" s="3" t="n">
        <v>200</v>
      </c>
      <c r="B201" s="3" t="n">
        <v>4</v>
      </c>
      <c r="C201" s="3" t="s">
        <v>63</v>
      </c>
      <c r="D201" s="3" t="s">
        <v>64</v>
      </c>
      <c r="E201" s="3" t="s">
        <v>65</v>
      </c>
      <c r="F201" s="3" t="s">
        <v>66</v>
      </c>
      <c r="G201" s="3" t="s">
        <v>67</v>
      </c>
      <c r="H201" s="3" t="n">
        <v>2</v>
      </c>
      <c r="I201" s="3" t="n">
        <v>50</v>
      </c>
      <c r="J201" s="3" t="s">
        <v>427</v>
      </c>
      <c r="K201" s="8" t="n">
        <v>803500</v>
      </c>
      <c r="L201" s="8" t="n">
        <v>4500</v>
      </c>
      <c r="M201" s="8" t="n">
        <v>60600</v>
      </c>
      <c r="N201" s="8" t="n">
        <v>868600</v>
      </c>
      <c r="O201" s="3" t="s">
        <v>57</v>
      </c>
      <c r="P201" s="3" t="s">
        <v>58</v>
      </c>
      <c r="Q201" s="3" t="s">
        <v>69</v>
      </c>
      <c r="R201" s="3" t="str">
        <f aca="false">IF(Q201="pass","No","Yes")</f>
        <v>No</v>
      </c>
      <c r="S201" s="3" t="s">
        <v>60</v>
      </c>
      <c r="T201" s="3"/>
      <c r="U201" s="3"/>
      <c r="V201" s="9" t="n">
        <v>13.72</v>
      </c>
    </row>
    <row r="202" customFormat="false" ht="15" hidden="false" customHeight="true" outlineLevel="0" collapsed="false">
      <c r="A202" s="3" t="n">
        <v>201</v>
      </c>
      <c r="B202" s="3" t="n">
        <v>5</v>
      </c>
      <c r="C202" s="3" t="s">
        <v>89</v>
      </c>
      <c r="D202" s="3" t="s">
        <v>90</v>
      </c>
      <c r="E202" s="3" t="s">
        <v>91</v>
      </c>
      <c r="F202" s="3" t="s">
        <v>92</v>
      </c>
      <c r="G202" s="3" t="s">
        <v>67</v>
      </c>
      <c r="H202" s="3" t="n">
        <v>1</v>
      </c>
      <c r="I202" s="3" t="n">
        <v>207</v>
      </c>
      <c r="J202" s="3" t="s">
        <v>338</v>
      </c>
      <c r="K202" s="8" t="n">
        <v>1966500</v>
      </c>
      <c r="L202" s="8" t="n">
        <v>4500</v>
      </c>
      <c r="M202" s="8" t="n">
        <v>147825</v>
      </c>
      <c r="N202" s="8" t="n">
        <v>2118825</v>
      </c>
      <c r="O202" s="3" t="s">
        <v>110</v>
      </c>
      <c r="P202" s="3" t="s">
        <v>58</v>
      </c>
      <c r="Q202" s="3" t="s">
        <v>59</v>
      </c>
      <c r="R202" s="3" t="str">
        <f aca="false">IF(Q202="pass","No","Yes")</f>
        <v>Yes</v>
      </c>
      <c r="S202" s="3" t="s">
        <v>60</v>
      </c>
      <c r="T202" s="3" t="s">
        <v>61</v>
      </c>
      <c r="U202" s="3" t="s">
        <v>428</v>
      </c>
      <c r="V202" s="9" t="n">
        <v>18.752</v>
      </c>
    </row>
    <row r="203" customFormat="false" ht="15" hidden="false" customHeight="true" outlineLevel="0" collapsed="false">
      <c r="A203" s="3" t="n">
        <v>202</v>
      </c>
      <c r="B203" s="3" t="n">
        <v>5</v>
      </c>
      <c r="C203" s="3" t="s">
        <v>77</v>
      </c>
      <c r="D203" s="3" t="s">
        <v>78</v>
      </c>
      <c r="E203" s="3" t="s">
        <v>79</v>
      </c>
      <c r="F203" s="3" t="s">
        <v>80</v>
      </c>
      <c r="G203" s="3" t="s">
        <v>81</v>
      </c>
      <c r="H203" s="3" t="n">
        <v>2</v>
      </c>
      <c r="I203" s="3" t="n">
        <v>11</v>
      </c>
      <c r="J203" s="3" t="s">
        <v>429</v>
      </c>
      <c r="K203" s="8" t="n">
        <v>350200</v>
      </c>
      <c r="L203" s="8" t="n">
        <v>4000</v>
      </c>
      <c r="M203" s="8" t="n">
        <v>26565</v>
      </c>
      <c r="N203" s="8" t="n">
        <v>380765</v>
      </c>
      <c r="O203" s="3" t="s">
        <v>57</v>
      </c>
      <c r="P203" s="3" t="s">
        <v>58</v>
      </c>
      <c r="Q203" s="3" t="s">
        <v>69</v>
      </c>
      <c r="R203" s="3" t="str">
        <f aca="false">IF(Q203="pass","No","Yes")</f>
        <v>No</v>
      </c>
      <c r="S203" s="3" t="s">
        <v>60</v>
      </c>
      <c r="T203" s="3"/>
      <c r="U203" s="3"/>
      <c r="V203" s="9" t="n">
        <v>12.548</v>
      </c>
    </row>
    <row r="204" customFormat="false" ht="15" hidden="false" customHeight="true" outlineLevel="0" collapsed="false">
      <c r="A204" s="3" t="n">
        <v>203</v>
      </c>
      <c r="B204" s="3" t="n">
        <v>5</v>
      </c>
      <c r="C204" s="3" t="s">
        <v>177</v>
      </c>
      <c r="D204" s="3" t="s">
        <v>178</v>
      </c>
      <c r="E204" s="3" t="s">
        <v>179</v>
      </c>
      <c r="F204" s="3" t="s">
        <v>180</v>
      </c>
      <c r="G204" s="3" t="s">
        <v>81</v>
      </c>
      <c r="H204" s="3" t="n">
        <v>2</v>
      </c>
      <c r="I204" s="3" t="n">
        <v>17</v>
      </c>
      <c r="J204" s="3" t="s">
        <v>430</v>
      </c>
      <c r="K204" s="8" t="n">
        <v>200600</v>
      </c>
      <c r="L204" s="8" t="n">
        <v>4000</v>
      </c>
      <c r="M204" s="8" t="n">
        <v>15345</v>
      </c>
      <c r="N204" s="8" t="n">
        <v>219945</v>
      </c>
      <c r="O204" s="3" t="s">
        <v>272</v>
      </c>
      <c r="P204" s="3" t="s">
        <v>84</v>
      </c>
      <c r="Q204" s="3" t="s">
        <v>85</v>
      </c>
      <c r="R204" s="3" t="str">
        <f aca="false">IF(Q204="pass","No","Yes")</f>
        <v>Yes</v>
      </c>
      <c r="S204" s="3" t="s">
        <v>86</v>
      </c>
      <c r="T204" s="3" t="s">
        <v>273</v>
      </c>
      <c r="U204" s="3" t="s">
        <v>431</v>
      </c>
      <c r="V204" s="9" t="n">
        <v>11.271</v>
      </c>
    </row>
    <row r="205" customFormat="false" ht="15" hidden="false" customHeight="true" outlineLevel="0" collapsed="false">
      <c r="A205" s="3" t="n">
        <v>204</v>
      </c>
      <c r="B205" s="3" t="n">
        <v>5</v>
      </c>
      <c r="C205" s="3" t="s">
        <v>186</v>
      </c>
      <c r="D205" s="3" t="s">
        <v>187</v>
      </c>
      <c r="E205" s="3" t="s">
        <v>188</v>
      </c>
      <c r="F205" s="3" t="s">
        <v>189</v>
      </c>
      <c r="G205" s="3" t="s">
        <v>123</v>
      </c>
      <c r="H205" s="3" t="n">
        <v>4</v>
      </c>
      <c r="I205" s="3" t="n">
        <v>115</v>
      </c>
      <c r="J205" s="3" t="s">
        <v>432</v>
      </c>
      <c r="K205" s="8" t="n">
        <v>1938000</v>
      </c>
      <c r="L205" s="8" t="n">
        <v>5000</v>
      </c>
      <c r="M205" s="8" t="n">
        <v>145725</v>
      </c>
      <c r="N205" s="8" t="n">
        <v>2088725</v>
      </c>
      <c r="O205" s="3" t="s">
        <v>132</v>
      </c>
      <c r="P205" s="3" t="s">
        <v>84</v>
      </c>
      <c r="Q205" s="3" t="s">
        <v>85</v>
      </c>
      <c r="R205" s="3" t="str">
        <f aca="false">IF(Q205="pass","No","Yes")</f>
        <v>Yes</v>
      </c>
      <c r="S205" s="3" t="s">
        <v>86</v>
      </c>
      <c r="T205" s="3" t="s">
        <v>133</v>
      </c>
      <c r="U205" s="3" t="s">
        <v>134</v>
      </c>
      <c r="V205" s="9" t="n">
        <v>20.023</v>
      </c>
    </row>
    <row r="206" customFormat="false" ht="15" hidden="false" customHeight="true" outlineLevel="0" collapsed="false">
      <c r="A206" s="3" t="n">
        <v>205</v>
      </c>
      <c r="B206" s="3" t="n">
        <v>5</v>
      </c>
      <c r="C206" s="3" t="s">
        <v>112</v>
      </c>
      <c r="D206" s="3" t="s">
        <v>113</v>
      </c>
      <c r="E206" s="3" t="s">
        <v>114</v>
      </c>
      <c r="F206" s="3" t="s">
        <v>115</v>
      </c>
      <c r="G206" s="3" t="s">
        <v>116</v>
      </c>
      <c r="H206" s="3" t="n">
        <v>1</v>
      </c>
      <c r="I206" s="3" t="n">
        <v>37</v>
      </c>
      <c r="J206" s="3" t="s">
        <v>433</v>
      </c>
      <c r="K206" s="8" t="n">
        <v>436600</v>
      </c>
      <c r="L206" s="8" t="n">
        <v>15000</v>
      </c>
      <c r="M206" s="8" t="n">
        <v>33870</v>
      </c>
      <c r="N206" s="8" t="n">
        <v>485470</v>
      </c>
      <c r="O206" s="3" t="s">
        <v>57</v>
      </c>
      <c r="P206" s="3" t="s">
        <v>58</v>
      </c>
      <c r="Q206" s="3" t="s">
        <v>69</v>
      </c>
      <c r="R206" s="3" t="str">
        <f aca="false">IF(Q206="pass","No","Yes")</f>
        <v>No</v>
      </c>
      <c r="S206" s="3" t="s">
        <v>60</v>
      </c>
      <c r="T206" s="3"/>
      <c r="U206" s="3"/>
      <c r="V206" s="9" t="n">
        <v>9.92</v>
      </c>
    </row>
    <row r="207" customFormat="false" ht="15" hidden="false" customHeight="true" outlineLevel="0" collapsed="false">
      <c r="A207" s="3" t="n">
        <v>206</v>
      </c>
      <c r="B207" s="3" t="n">
        <v>5</v>
      </c>
      <c r="C207" s="3" t="s">
        <v>89</v>
      </c>
      <c r="D207" s="3" t="s">
        <v>90</v>
      </c>
      <c r="E207" s="3" t="s">
        <v>91</v>
      </c>
      <c r="F207" s="3" t="s">
        <v>92</v>
      </c>
      <c r="G207" s="3" t="s">
        <v>67</v>
      </c>
      <c r="H207" s="3" t="n">
        <v>2</v>
      </c>
      <c r="I207" s="3" t="n">
        <v>149</v>
      </c>
      <c r="J207" s="3" t="s">
        <v>434</v>
      </c>
      <c r="K207" s="8" t="n">
        <v>1132600</v>
      </c>
      <c r="L207" s="8" t="n">
        <v>4500</v>
      </c>
      <c r="M207" s="8" t="n">
        <v>85282.5</v>
      </c>
      <c r="N207" s="8" t="n">
        <v>1222382.5</v>
      </c>
      <c r="O207" s="3" t="s">
        <v>94</v>
      </c>
      <c r="P207" s="3" t="s">
        <v>84</v>
      </c>
      <c r="Q207" s="3" t="s">
        <v>85</v>
      </c>
      <c r="R207" s="3" t="str">
        <f aca="false">IF(Q207="pass","No","Yes")</f>
        <v>Yes</v>
      </c>
      <c r="S207" s="3" t="s">
        <v>86</v>
      </c>
      <c r="T207" s="3" t="s">
        <v>95</v>
      </c>
      <c r="U207" s="3" t="s">
        <v>435</v>
      </c>
      <c r="V207" s="9" t="n">
        <v>22.572</v>
      </c>
    </row>
    <row r="208" customFormat="false" ht="15" hidden="false" customHeight="true" outlineLevel="0" collapsed="false">
      <c r="A208" s="3" t="n">
        <v>207</v>
      </c>
      <c r="B208" s="3" t="n">
        <v>5</v>
      </c>
      <c r="C208" s="3" t="s">
        <v>51</v>
      </c>
      <c r="D208" s="3" t="s">
        <v>52</v>
      </c>
      <c r="E208" s="3" t="s">
        <v>53</v>
      </c>
      <c r="F208" s="3" t="s">
        <v>54</v>
      </c>
      <c r="G208" s="3" t="s">
        <v>55</v>
      </c>
      <c r="H208" s="3" t="n">
        <v>1</v>
      </c>
      <c r="I208" s="3" t="n">
        <v>189</v>
      </c>
      <c r="J208" s="3" t="s">
        <v>436</v>
      </c>
      <c r="K208" s="8" t="n">
        <v>1795500</v>
      </c>
      <c r="L208" s="8" t="n">
        <v>6000</v>
      </c>
      <c r="M208" s="8" t="n">
        <v>135112.5</v>
      </c>
      <c r="N208" s="8" t="n">
        <v>1936612.5</v>
      </c>
      <c r="O208" s="3" t="s">
        <v>57</v>
      </c>
      <c r="P208" s="3" t="s">
        <v>58</v>
      </c>
      <c r="Q208" s="3" t="s">
        <v>69</v>
      </c>
      <c r="R208" s="3" t="str">
        <f aca="false">IF(Q208="pass","No","Yes")</f>
        <v>No</v>
      </c>
      <c r="S208" s="3" t="s">
        <v>60</v>
      </c>
      <c r="T208" s="3"/>
      <c r="U208" s="3"/>
      <c r="V208" s="9" t="n">
        <v>19.047</v>
      </c>
    </row>
    <row r="209" customFormat="false" ht="15" hidden="false" customHeight="true" outlineLevel="0" collapsed="false">
      <c r="A209" s="3" t="n">
        <v>208</v>
      </c>
      <c r="B209" s="3" t="n">
        <v>5</v>
      </c>
      <c r="C209" s="3" t="s">
        <v>154</v>
      </c>
      <c r="D209" s="3" t="s">
        <v>155</v>
      </c>
      <c r="E209" s="3" t="s">
        <v>156</v>
      </c>
      <c r="F209" s="3" t="s">
        <v>157</v>
      </c>
      <c r="G209" s="3" t="s">
        <v>123</v>
      </c>
      <c r="H209" s="3" t="n">
        <v>3</v>
      </c>
      <c r="I209" s="3" t="n">
        <v>101</v>
      </c>
      <c r="J209" s="3" t="s">
        <v>437</v>
      </c>
      <c r="K209" s="8" t="n">
        <v>1035700</v>
      </c>
      <c r="L209" s="8" t="n">
        <v>5000</v>
      </c>
      <c r="M209" s="8" t="n">
        <v>78052.5</v>
      </c>
      <c r="N209" s="8" t="n">
        <v>1118752.5</v>
      </c>
      <c r="O209" s="3" t="s">
        <v>83</v>
      </c>
      <c r="P209" s="3" t="s">
        <v>84</v>
      </c>
      <c r="Q209" s="3" t="s">
        <v>85</v>
      </c>
      <c r="R209" s="3" t="str">
        <f aca="false">IF(Q209="pass","No","Yes")</f>
        <v>Yes</v>
      </c>
      <c r="S209" s="3" t="s">
        <v>86</v>
      </c>
      <c r="T209" s="3" t="s">
        <v>87</v>
      </c>
      <c r="U209" s="3" t="s">
        <v>438</v>
      </c>
      <c r="V209" s="9" t="n">
        <v>18.202</v>
      </c>
    </row>
    <row r="210" customFormat="false" ht="15" hidden="false" customHeight="true" outlineLevel="0" collapsed="false">
      <c r="A210" s="3" t="n">
        <v>209</v>
      </c>
      <c r="B210" s="3" t="n">
        <v>5</v>
      </c>
      <c r="C210" s="3" t="s">
        <v>119</v>
      </c>
      <c r="D210" s="3" t="s">
        <v>120</v>
      </c>
      <c r="E210" s="3" t="s">
        <v>121</v>
      </c>
      <c r="F210" s="3" t="s">
        <v>122</v>
      </c>
      <c r="G210" s="3" t="s">
        <v>123</v>
      </c>
      <c r="H210" s="3" t="n">
        <v>2</v>
      </c>
      <c r="I210" s="3" t="n">
        <v>75</v>
      </c>
      <c r="J210" s="3" t="s">
        <v>439</v>
      </c>
      <c r="K210" s="8" t="n">
        <v>1048500</v>
      </c>
      <c r="L210" s="8" t="n">
        <v>5000</v>
      </c>
      <c r="M210" s="8" t="n">
        <v>79012.5</v>
      </c>
      <c r="N210" s="8" t="n">
        <v>1132512.5</v>
      </c>
      <c r="O210" s="3" t="s">
        <v>57</v>
      </c>
      <c r="P210" s="3" t="s">
        <v>58</v>
      </c>
      <c r="Q210" s="3" t="s">
        <v>69</v>
      </c>
      <c r="R210" s="3" t="str">
        <f aca="false">IF(Q210="pass","No","Yes")</f>
        <v>No</v>
      </c>
      <c r="S210" s="3" t="s">
        <v>60</v>
      </c>
      <c r="T210" s="3"/>
      <c r="U210" s="3"/>
      <c r="V210" s="9" t="n">
        <v>14.176</v>
      </c>
    </row>
    <row r="211" customFormat="false" ht="15" hidden="false" customHeight="true" outlineLevel="0" collapsed="false">
      <c r="A211" s="3" t="n">
        <v>210</v>
      </c>
      <c r="B211" s="3" t="n">
        <v>5</v>
      </c>
      <c r="C211" s="3" t="s">
        <v>191</v>
      </c>
      <c r="D211" s="3" t="s">
        <v>192</v>
      </c>
      <c r="E211" s="3" t="s">
        <v>193</v>
      </c>
      <c r="F211" s="3" t="s">
        <v>194</v>
      </c>
      <c r="G211" s="3" t="s">
        <v>116</v>
      </c>
      <c r="H211" s="3" t="n">
        <v>1</v>
      </c>
      <c r="I211" s="3" t="n">
        <v>70</v>
      </c>
      <c r="J211" s="3" t="s">
        <v>440</v>
      </c>
      <c r="K211" s="8" t="n">
        <v>504000</v>
      </c>
      <c r="L211" s="8" t="n">
        <v>15000</v>
      </c>
      <c r="M211" s="8" t="n">
        <v>38925</v>
      </c>
      <c r="N211" s="8" t="n">
        <v>557925</v>
      </c>
      <c r="O211" s="3" t="s">
        <v>57</v>
      </c>
      <c r="P211" s="3" t="s">
        <v>58</v>
      </c>
      <c r="Q211" s="3" t="s">
        <v>59</v>
      </c>
      <c r="R211" s="3" t="str">
        <f aca="false">IF(Q211="pass","No","Yes")</f>
        <v>Yes</v>
      </c>
      <c r="S211" s="3" t="s">
        <v>60</v>
      </c>
      <c r="T211" s="3" t="s">
        <v>61</v>
      </c>
      <c r="U211" s="3" t="s">
        <v>441</v>
      </c>
      <c r="V211" s="9" t="n">
        <v>17.977</v>
      </c>
    </row>
    <row r="212" customFormat="false" ht="15" hidden="false" customHeight="true" outlineLevel="0" collapsed="false">
      <c r="A212" s="3" t="n">
        <v>211</v>
      </c>
      <c r="B212" s="3" t="n">
        <v>5</v>
      </c>
      <c r="C212" s="3" t="s">
        <v>77</v>
      </c>
      <c r="D212" s="3" t="s">
        <v>78</v>
      </c>
      <c r="E212" s="3" t="s">
        <v>79</v>
      </c>
      <c r="F212" s="3" t="s">
        <v>80</v>
      </c>
      <c r="G212" s="3" t="s">
        <v>81</v>
      </c>
      <c r="H212" s="3" t="n">
        <v>1</v>
      </c>
      <c r="I212" s="3" t="n">
        <v>66</v>
      </c>
      <c r="J212" s="3" t="s">
        <v>442</v>
      </c>
      <c r="K212" s="8" t="n">
        <v>778800</v>
      </c>
      <c r="L212" s="8" t="n">
        <v>4000</v>
      </c>
      <c r="M212" s="8" t="n">
        <v>58710</v>
      </c>
      <c r="N212" s="8" t="n">
        <v>841510</v>
      </c>
      <c r="O212" s="3" t="s">
        <v>57</v>
      </c>
      <c r="P212" s="3" t="s">
        <v>58</v>
      </c>
      <c r="Q212" s="3" t="s">
        <v>69</v>
      </c>
      <c r="R212" s="3" t="str">
        <f aca="false">IF(Q212="pass","No","Yes")</f>
        <v>No</v>
      </c>
      <c r="S212" s="3" t="s">
        <v>60</v>
      </c>
      <c r="T212" s="3"/>
      <c r="U212" s="3"/>
      <c r="V212" s="9" t="n">
        <v>10.231</v>
      </c>
    </row>
    <row r="213" customFormat="false" ht="15" hidden="false" customHeight="true" outlineLevel="0" collapsed="false">
      <c r="A213" s="3" t="n">
        <v>212</v>
      </c>
      <c r="B213" s="3" t="n">
        <v>5</v>
      </c>
      <c r="C213" s="3" t="s">
        <v>89</v>
      </c>
      <c r="D213" s="3" t="s">
        <v>90</v>
      </c>
      <c r="E213" s="3" t="s">
        <v>91</v>
      </c>
      <c r="F213" s="3" t="s">
        <v>92</v>
      </c>
      <c r="G213" s="3" t="s">
        <v>67</v>
      </c>
      <c r="H213" s="3" t="n">
        <v>2</v>
      </c>
      <c r="I213" s="3" t="n">
        <v>17</v>
      </c>
      <c r="J213" s="3" t="s">
        <v>443</v>
      </c>
      <c r="K213" s="8" t="n">
        <v>590000</v>
      </c>
      <c r="L213" s="8" t="n">
        <v>4500</v>
      </c>
      <c r="M213" s="8" t="n">
        <v>44587.5</v>
      </c>
      <c r="N213" s="8" t="n">
        <v>639087.5</v>
      </c>
      <c r="O213" s="3" t="s">
        <v>57</v>
      </c>
      <c r="P213" s="3" t="s">
        <v>58</v>
      </c>
      <c r="Q213" s="3" t="s">
        <v>69</v>
      </c>
      <c r="R213" s="3" t="str">
        <f aca="false">IF(Q213="pass","No","Yes")</f>
        <v>No</v>
      </c>
      <c r="S213" s="3" t="s">
        <v>60</v>
      </c>
      <c r="T213" s="3"/>
      <c r="U213" s="3"/>
      <c r="V213" s="9" t="n">
        <v>13.768</v>
      </c>
    </row>
    <row r="214" customFormat="false" ht="15" hidden="false" customHeight="true" outlineLevel="0" collapsed="false">
      <c r="A214" s="3" t="n">
        <v>213</v>
      </c>
      <c r="B214" s="3" t="n">
        <v>5</v>
      </c>
      <c r="C214" s="3" t="s">
        <v>51</v>
      </c>
      <c r="D214" s="3" t="s">
        <v>52</v>
      </c>
      <c r="E214" s="3" t="s">
        <v>53</v>
      </c>
      <c r="F214" s="3" t="s">
        <v>54</v>
      </c>
      <c r="G214" s="3" t="s">
        <v>55</v>
      </c>
      <c r="H214" s="3" t="n">
        <v>1</v>
      </c>
      <c r="I214" s="3" t="n">
        <v>20</v>
      </c>
      <c r="J214" s="3" t="s">
        <v>444</v>
      </c>
      <c r="K214" s="8" t="n">
        <v>172000</v>
      </c>
      <c r="L214" s="8" t="n">
        <v>6000</v>
      </c>
      <c r="M214" s="8" t="n">
        <v>13350</v>
      </c>
      <c r="N214" s="8" t="n">
        <v>191350</v>
      </c>
      <c r="O214" s="3" t="s">
        <v>57</v>
      </c>
      <c r="P214" s="3" t="s">
        <v>58</v>
      </c>
      <c r="Q214" s="3" t="s">
        <v>69</v>
      </c>
      <c r="R214" s="3" t="str">
        <f aca="false">IF(Q214="pass","No","Yes")</f>
        <v>No</v>
      </c>
      <c r="S214" s="3" t="s">
        <v>60</v>
      </c>
      <c r="T214" s="3"/>
      <c r="U214" s="3"/>
      <c r="V214" s="9" t="n">
        <v>9.698</v>
      </c>
    </row>
    <row r="215" customFormat="false" ht="15" hidden="false" customHeight="true" outlineLevel="0" collapsed="false">
      <c r="A215" s="3" t="n">
        <v>214</v>
      </c>
      <c r="B215" s="3" t="n">
        <v>5</v>
      </c>
      <c r="C215" s="3" t="s">
        <v>142</v>
      </c>
      <c r="D215" s="3" t="s">
        <v>143</v>
      </c>
      <c r="E215" s="3" t="s">
        <v>144</v>
      </c>
      <c r="F215" s="3" t="s">
        <v>145</v>
      </c>
      <c r="G215" s="3" t="s">
        <v>74</v>
      </c>
      <c r="H215" s="3" t="n">
        <v>1</v>
      </c>
      <c r="I215" s="3" t="n">
        <v>23</v>
      </c>
      <c r="J215" s="3" t="s">
        <v>445</v>
      </c>
      <c r="K215" s="8" t="n">
        <v>271400</v>
      </c>
      <c r="L215" s="8" t="n">
        <v>9000</v>
      </c>
      <c r="M215" s="8" t="n">
        <v>21030</v>
      </c>
      <c r="N215" s="8" t="n">
        <v>301430</v>
      </c>
      <c r="O215" s="3" t="s">
        <v>76</v>
      </c>
      <c r="P215" s="3" t="s">
        <v>58</v>
      </c>
      <c r="Q215" s="3" t="s">
        <v>69</v>
      </c>
      <c r="R215" s="3" t="str">
        <f aca="false">IF(Q215="pass","No","Yes")</f>
        <v>No</v>
      </c>
      <c r="S215" s="3" t="s">
        <v>60</v>
      </c>
      <c r="T215" s="3"/>
      <c r="U215" s="3"/>
      <c r="V215" s="9" t="n">
        <v>10.335</v>
      </c>
    </row>
    <row r="216" customFormat="false" ht="15" hidden="false" customHeight="true" outlineLevel="0" collapsed="false">
      <c r="A216" s="3" t="n">
        <v>215</v>
      </c>
      <c r="B216" s="3" t="n">
        <v>5</v>
      </c>
      <c r="C216" s="3" t="s">
        <v>51</v>
      </c>
      <c r="D216" s="3" t="s">
        <v>52</v>
      </c>
      <c r="E216" s="3" t="s">
        <v>53</v>
      </c>
      <c r="F216" s="3" t="s">
        <v>54</v>
      </c>
      <c r="G216" s="3" t="s">
        <v>55</v>
      </c>
      <c r="H216" s="3" t="n">
        <v>1</v>
      </c>
      <c r="I216" s="3" t="n">
        <v>20</v>
      </c>
      <c r="J216" s="3" t="s">
        <v>444</v>
      </c>
      <c r="K216" s="8" t="n">
        <v>172000</v>
      </c>
      <c r="L216" s="8" t="n">
        <v>6000</v>
      </c>
      <c r="M216" s="8" t="n">
        <v>13350</v>
      </c>
      <c r="N216" s="8" t="n">
        <v>191350</v>
      </c>
      <c r="O216" s="3" t="s">
        <v>76</v>
      </c>
      <c r="P216" s="3" t="s">
        <v>58</v>
      </c>
      <c r="Q216" s="3" t="s">
        <v>59</v>
      </c>
      <c r="R216" s="3" t="str">
        <f aca="false">IF(Q216="pass","No","Yes")</f>
        <v>Yes</v>
      </c>
      <c r="S216" s="3" t="s">
        <v>98</v>
      </c>
      <c r="T216" s="3" t="s">
        <v>97</v>
      </c>
      <c r="U216" s="3" t="s">
        <v>446</v>
      </c>
      <c r="V216" s="9" t="n">
        <v>7.62</v>
      </c>
    </row>
    <row r="217" customFormat="false" ht="15" hidden="false" customHeight="true" outlineLevel="0" collapsed="false">
      <c r="A217" s="3" t="n">
        <v>216</v>
      </c>
      <c r="B217" s="3" t="n">
        <v>5</v>
      </c>
      <c r="C217" s="3" t="s">
        <v>105</v>
      </c>
      <c r="D217" s="3" t="s">
        <v>106</v>
      </c>
      <c r="E217" s="3" t="s">
        <v>107</v>
      </c>
      <c r="F217" s="3" t="s">
        <v>108</v>
      </c>
      <c r="G217" s="3" t="s">
        <v>81</v>
      </c>
      <c r="H217" s="3" t="n">
        <v>3</v>
      </c>
      <c r="I217" s="3" t="n">
        <v>118</v>
      </c>
      <c r="J217" s="3" t="s">
        <v>447</v>
      </c>
      <c r="K217" s="8" t="n">
        <v>1388100</v>
      </c>
      <c r="L217" s="8" t="n">
        <v>4000</v>
      </c>
      <c r="M217" s="8" t="n">
        <v>104407.5</v>
      </c>
      <c r="N217" s="8" t="n">
        <v>1496507.5</v>
      </c>
      <c r="O217" s="3" t="s">
        <v>57</v>
      </c>
      <c r="P217" s="3" t="s">
        <v>58</v>
      </c>
      <c r="Q217" s="3" t="s">
        <v>69</v>
      </c>
      <c r="R217" s="3" t="str">
        <f aca="false">IF(Q217="pass","No","Yes")</f>
        <v>No</v>
      </c>
      <c r="S217" s="3" t="s">
        <v>60</v>
      </c>
      <c r="T217" s="3"/>
      <c r="U217" s="3"/>
      <c r="V217" s="9" t="n">
        <v>31.151</v>
      </c>
    </row>
    <row r="218" customFormat="false" ht="15" hidden="false" customHeight="true" outlineLevel="0" collapsed="false">
      <c r="A218" s="3" t="n">
        <v>217</v>
      </c>
      <c r="B218" s="3" t="n">
        <v>5</v>
      </c>
      <c r="C218" s="3" t="s">
        <v>237</v>
      </c>
      <c r="D218" s="3" t="s">
        <v>238</v>
      </c>
      <c r="E218" s="3" t="s">
        <v>239</v>
      </c>
      <c r="F218" s="3" t="s">
        <v>240</v>
      </c>
      <c r="G218" s="3" t="s">
        <v>116</v>
      </c>
      <c r="H218" s="3" t="n">
        <v>3</v>
      </c>
      <c r="I218" s="3" t="n">
        <v>111</v>
      </c>
      <c r="J218" s="3" t="s">
        <v>448</v>
      </c>
      <c r="K218" s="8" t="n">
        <v>1361700</v>
      </c>
      <c r="L218" s="8" t="n">
        <v>15000</v>
      </c>
      <c r="M218" s="8" t="n">
        <v>103252.5</v>
      </c>
      <c r="N218" s="8" t="n">
        <v>1479952.5</v>
      </c>
      <c r="O218" s="3" t="s">
        <v>272</v>
      </c>
      <c r="P218" s="3" t="s">
        <v>84</v>
      </c>
      <c r="Q218" s="3" t="s">
        <v>85</v>
      </c>
      <c r="R218" s="3" t="str">
        <f aca="false">IF(Q218="pass","No","Yes")</f>
        <v>Yes</v>
      </c>
      <c r="S218" s="3" t="s">
        <v>86</v>
      </c>
      <c r="T218" s="3" t="s">
        <v>273</v>
      </c>
      <c r="U218" s="3" t="s">
        <v>449</v>
      </c>
      <c r="V218" s="9" t="n">
        <v>14.401</v>
      </c>
    </row>
    <row r="219" customFormat="false" ht="15" hidden="false" customHeight="true" outlineLevel="0" collapsed="false">
      <c r="A219" s="3" t="n">
        <v>218</v>
      </c>
      <c r="B219" s="3" t="n">
        <v>5</v>
      </c>
      <c r="C219" s="3" t="s">
        <v>137</v>
      </c>
      <c r="D219" s="3" t="s">
        <v>138</v>
      </c>
      <c r="E219" s="3" t="s">
        <v>139</v>
      </c>
      <c r="F219" s="3" t="s">
        <v>140</v>
      </c>
      <c r="G219" s="3" t="s">
        <v>55</v>
      </c>
      <c r="H219" s="3" t="n">
        <v>1</v>
      </c>
      <c r="I219" s="3" t="n">
        <v>206</v>
      </c>
      <c r="J219" s="3" t="s">
        <v>377</v>
      </c>
      <c r="K219" s="8" t="n">
        <v>1957000</v>
      </c>
      <c r="L219" s="8" t="n">
        <v>6000</v>
      </c>
      <c r="M219" s="8" t="n">
        <v>147225</v>
      </c>
      <c r="N219" s="8" t="n">
        <v>2110225</v>
      </c>
      <c r="O219" s="3" t="s">
        <v>110</v>
      </c>
      <c r="P219" s="3" t="s">
        <v>58</v>
      </c>
      <c r="Q219" s="3" t="s">
        <v>59</v>
      </c>
      <c r="R219" s="3" t="str">
        <f aca="false">IF(Q219="pass","No","Yes")</f>
        <v>Yes</v>
      </c>
      <c r="S219" s="3" t="s">
        <v>60</v>
      </c>
      <c r="T219" s="3" t="s">
        <v>61</v>
      </c>
      <c r="U219" s="3" t="s">
        <v>378</v>
      </c>
      <c r="V219" s="9" t="n">
        <v>19.881</v>
      </c>
    </row>
    <row r="220" customFormat="false" ht="15" hidden="false" customHeight="true" outlineLevel="0" collapsed="false">
      <c r="A220" s="3" t="n">
        <v>219</v>
      </c>
      <c r="B220" s="3" t="n">
        <v>5</v>
      </c>
      <c r="C220" s="3" t="s">
        <v>127</v>
      </c>
      <c r="D220" s="3" t="s">
        <v>128</v>
      </c>
      <c r="E220" s="3" t="s">
        <v>129</v>
      </c>
      <c r="F220" s="3" t="s">
        <v>130</v>
      </c>
      <c r="G220" s="3" t="s">
        <v>55</v>
      </c>
      <c r="H220" s="3" t="n">
        <v>2</v>
      </c>
      <c r="I220" s="3" t="n">
        <v>46</v>
      </c>
      <c r="J220" s="3" t="s">
        <v>450</v>
      </c>
      <c r="K220" s="8" t="n">
        <v>754000</v>
      </c>
      <c r="L220" s="8" t="n">
        <v>6000</v>
      </c>
      <c r="M220" s="8" t="n">
        <v>57000</v>
      </c>
      <c r="N220" s="8" t="n">
        <v>817000</v>
      </c>
      <c r="O220" s="3" t="s">
        <v>57</v>
      </c>
      <c r="P220" s="3" t="s">
        <v>58</v>
      </c>
      <c r="Q220" s="3" t="s">
        <v>69</v>
      </c>
      <c r="R220" s="3" t="str">
        <f aca="false">IF(Q220="pass","No","Yes")</f>
        <v>No</v>
      </c>
      <c r="S220" s="3" t="s">
        <v>60</v>
      </c>
      <c r="T220" s="3"/>
      <c r="U220" s="3"/>
      <c r="V220" s="9" t="n">
        <v>15.538</v>
      </c>
    </row>
    <row r="221" customFormat="false" ht="15" hidden="false" customHeight="true" outlineLevel="0" collapsed="false">
      <c r="A221" s="3" t="n">
        <v>220</v>
      </c>
      <c r="B221" s="3" t="n">
        <v>5</v>
      </c>
      <c r="C221" s="3" t="s">
        <v>186</v>
      </c>
      <c r="D221" s="3" t="s">
        <v>187</v>
      </c>
      <c r="E221" s="3" t="s">
        <v>188</v>
      </c>
      <c r="F221" s="3" t="s">
        <v>189</v>
      </c>
      <c r="G221" s="3" t="s">
        <v>123</v>
      </c>
      <c r="H221" s="3" t="n">
        <v>1</v>
      </c>
      <c r="I221" s="3" t="n">
        <v>2</v>
      </c>
      <c r="J221" s="3" t="s">
        <v>255</v>
      </c>
      <c r="K221" s="8" t="n">
        <v>8200</v>
      </c>
      <c r="L221" s="8" t="n">
        <v>5000</v>
      </c>
      <c r="M221" s="8" t="n">
        <v>990</v>
      </c>
      <c r="N221" s="8" t="n">
        <v>14190</v>
      </c>
      <c r="O221" s="3" t="s">
        <v>57</v>
      </c>
      <c r="P221" s="3" t="s">
        <v>58</v>
      </c>
      <c r="Q221" s="3" t="s">
        <v>69</v>
      </c>
      <c r="R221" s="3" t="str">
        <f aca="false">IF(Q221="pass","No","Yes")</f>
        <v>No</v>
      </c>
      <c r="S221" s="3" t="s">
        <v>60</v>
      </c>
      <c r="T221" s="3"/>
      <c r="U221" s="3"/>
      <c r="V221" s="9" t="n">
        <v>9.61</v>
      </c>
    </row>
    <row r="222" customFormat="false" ht="15" hidden="false" customHeight="true" outlineLevel="0" collapsed="false">
      <c r="A222" s="3" t="n">
        <v>221</v>
      </c>
      <c r="B222" s="3" t="n">
        <v>5</v>
      </c>
      <c r="C222" s="3" t="s">
        <v>142</v>
      </c>
      <c r="D222" s="3" t="s">
        <v>143</v>
      </c>
      <c r="E222" s="3" t="s">
        <v>144</v>
      </c>
      <c r="F222" s="3" t="s">
        <v>145</v>
      </c>
      <c r="G222" s="3" t="s">
        <v>74</v>
      </c>
      <c r="H222" s="3" t="n">
        <v>4</v>
      </c>
      <c r="I222" s="3" t="n">
        <v>94</v>
      </c>
      <c r="J222" s="3" t="s">
        <v>451</v>
      </c>
      <c r="K222" s="8" t="n">
        <v>979200</v>
      </c>
      <c r="L222" s="8" t="n">
        <v>9000</v>
      </c>
      <c r="M222" s="8" t="n">
        <v>74115</v>
      </c>
      <c r="N222" s="8" t="n">
        <v>1062315</v>
      </c>
      <c r="O222" s="3" t="s">
        <v>83</v>
      </c>
      <c r="P222" s="3" t="s">
        <v>84</v>
      </c>
      <c r="Q222" s="3" t="s">
        <v>85</v>
      </c>
      <c r="R222" s="3" t="str">
        <f aca="false">IF(Q222="pass","No","Yes")</f>
        <v>Yes</v>
      </c>
      <c r="S222" s="3" t="s">
        <v>86</v>
      </c>
      <c r="T222" s="3" t="s">
        <v>87</v>
      </c>
      <c r="U222" s="3" t="s">
        <v>268</v>
      </c>
      <c r="V222" s="9" t="n">
        <v>35.078</v>
      </c>
    </row>
    <row r="223" customFormat="false" ht="15" hidden="false" customHeight="true" outlineLevel="0" collapsed="false">
      <c r="A223" s="3" t="n">
        <v>222</v>
      </c>
      <c r="B223" s="3" t="n">
        <v>5</v>
      </c>
      <c r="C223" s="3" t="s">
        <v>198</v>
      </c>
      <c r="D223" s="3" t="s">
        <v>199</v>
      </c>
      <c r="E223" s="3" t="s">
        <v>200</v>
      </c>
      <c r="F223" s="3" t="s">
        <v>201</v>
      </c>
      <c r="G223" s="3" t="s">
        <v>146</v>
      </c>
      <c r="H223" s="3" t="n">
        <v>2</v>
      </c>
      <c r="I223" s="3" t="n">
        <v>3</v>
      </c>
      <c r="J223" s="3" t="s">
        <v>452</v>
      </c>
      <c r="K223" s="8" t="n">
        <v>60200</v>
      </c>
      <c r="L223" s="8" t="n">
        <v>0</v>
      </c>
      <c r="M223" s="8" t="n">
        <v>4515</v>
      </c>
      <c r="N223" s="8" t="n">
        <v>64715</v>
      </c>
      <c r="O223" s="3" t="s">
        <v>148</v>
      </c>
      <c r="P223" s="3" t="s">
        <v>84</v>
      </c>
      <c r="Q223" s="3" t="s">
        <v>85</v>
      </c>
      <c r="R223" s="3" t="str">
        <f aca="false">IF(Q223="pass","No","Yes")</f>
        <v>Yes</v>
      </c>
      <c r="S223" s="3" t="s">
        <v>86</v>
      </c>
      <c r="T223" s="3" t="s">
        <v>149</v>
      </c>
      <c r="U223" s="3" t="s">
        <v>150</v>
      </c>
      <c r="V223" s="9" t="n">
        <v>13.497</v>
      </c>
    </row>
    <row r="224" customFormat="false" ht="15" hidden="false" customHeight="true" outlineLevel="0" collapsed="false">
      <c r="A224" s="3" t="n">
        <v>223</v>
      </c>
      <c r="B224" s="3" t="n">
        <v>5</v>
      </c>
      <c r="C224" s="3" t="s">
        <v>154</v>
      </c>
      <c r="D224" s="3" t="s">
        <v>155</v>
      </c>
      <c r="E224" s="3" t="s">
        <v>156</v>
      </c>
      <c r="F224" s="3" t="s">
        <v>157</v>
      </c>
      <c r="G224" s="3" t="s">
        <v>123</v>
      </c>
      <c r="H224" s="3" t="n">
        <v>2</v>
      </c>
      <c r="I224" s="3" t="n">
        <v>124</v>
      </c>
      <c r="J224" s="3" t="s">
        <v>453</v>
      </c>
      <c r="K224" s="8" t="n">
        <v>886600</v>
      </c>
      <c r="L224" s="8" t="n">
        <v>5000</v>
      </c>
      <c r="M224" s="8" t="n">
        <v>66870</v>
      </c>
      <c r="N224" s="8" t="n">
        <v>958470</v>
      </c>
      <c r="O224" s="3" t="s">
        <v>152</v>
      </c>
      <c r="P224" s="3" t="s">
        <v>84</v>
      </c>
      <c r="Q224" s="3" t="s">
        <v>85</v>
      </c>
      <c r="R224" s="3" t="str">
        <f aca="false">IF(Q224="pass","No","Yes")</f>
        <v>Yes</v>
      </c>
      <c r="S224" s="3" t="s">
        <v>86</v>
      </c>
      <c r="T224" s="3" t="s">
        <v>183</v>
      </c>
      <c r="U224" s="3" t="s">
        <v>454</v>
      </c>
      <c r="V224" s="9" t="n">
        <v>23.268</v>
      </c>
    </row>
    <row r="225" customFormat="false" ht="15" hidden="false" customHeight="true" outlineLevel="0" collapsed="false">
      <c r="A225" s="3" t="n">
        <v>224</v>
      </c>
      <c r="B225" s="3" t="n">
        <v>5</v>
      </c>
      <c r="C225" s="3" t="s">
        <v>137</v>
      </c>
      <c r="D225" s="3" t="s">
        <v>138</v>
      </c>
      <c r="E225" s="3" t="s">
        <v>139</v>
      </c>
      <c r="F225" s="3" t="s">
        <v>140</v>
      </c>
      <c r="G225" s="3" t="s">
        <v>55</v>
      </c>
      <c r="H225" s="3" t="n">
        <v>1</v>
      </c>
      <c r="I225" s="3" t="n">
        <v>68</v>
      </c>
      <c r="J225" s="3" t="s">
        <v>455</v>
      </c>
      <c r="K225" s="8" t="n">
        <v>802400</v>
      </c>
      <c r="L225" s="8" t="n">
        <v>6000</v>
      </c>
      <c r="M225" s="8" t="n">
        <v>60630</v>
      </c>
      <c r="N225" s="8" t="n">
        <v>869030</v>
      </c>
      <c r="O225" s="3" t="s">
        <v>118</v>
      </c>
      <c r="P225" s="3" t="s">
        <v>58</v>
      </c>
      <c r="Q225" s="3" t="s">
        <v>69</v>
      </c>
      <c r="R225" s="3" t="str">
        <f aca="false">IF(Q225="pass","No","Yes")</f>
        <v>No</v>
      </c>
      <c r="S225" s="3" t="s">
        <v>60</v>
      </c>
      <c r="T225" s="3"/>
      <c r="U225" s="3"/>
      <c r="V225" s="9" t="n">
        <v>10.878</v>
      </c>
    </row>
    <row r="226" customFormat="false" ht="15" hidden="false" customHeight="true" outlineLevel="0" collapsed="false">
      <c r="A226" s="3" t="n">
        <v>225</v>
      </c>
      <c r="B226" s="3" t="n">
        <v>5</v>
      </c>
      <c r="C226" s="3" t="s">
        <v>89</v>
      </c>
      <c r="D226" s="3" t="s">
        <v>90</v>
      </c>
      <c r="E226" s="3" t="s">
        <v>91</v>
      </c>
      <c r="F226" s="3" t="s">
        <v>92</v>
      </c>
      <c r="G226" s="3" t="s">
        <v>67</v>
      </c>
      <c r="H226" s="3" t="n">
        <v>1</v>
      </c>
      <c r="I226" s="3" t="n">
        <v>6</v>
      </c>
      <c r="J226" s="3" t="s">
        <v>456</v>
      </c>
      <c r="K226" s="8" t="n">
        <v>186000</v>
      </c>
      <c r="L226" s="8" t="n">
        <v>4500</v>
      </c>
      <c r="M226" s="8" t="n">
        <v>14287.5</v>
      </c>
      <c r="N226" s="8" t="n">
        <v>204787.5</v>
      </c>
      <c r="O226" s="3" t="s">
        <v>57</v>
      </c>
      <c r="P226" s="3" t="s">
        <v>58</v>
      </c>
      <c r="Q226" s="3" t="s">
        <v>69</v>
      </c>
      <c r="R226" s="3" t="str">
        <f aca="false">IF(Q226="pass","No","Yes")</f>
        <v>No</v>
      </c>
      <c r="S226" s="3" t="s">
        <v>60</v>
      </c>
      <c r="T226" s="3"/>
      <c r="U226" s="3"/>
      <c r="V226" s="9" t="n">
        <v>9.617</v>
      </c>
    </row>
    <row r="227" customFormat="false" ht="15" hidden="false" customHeight="true" outlineLevel="0" collapsed="false">
      <c r="A227" s="3" t="n">
        <v>226</v>
      </c>
      <c r="B227" s="3" t="n">
        <v>5</v>
      </c>
      <c r="C227" s="3" t="s">
        <v>198</v>
      </c>
      <c r="D227" s="3" t="s">
        <v>199</v>
      </c>
      <c r="E227" s="3" t="s">
        <v>200</v>
      </c>
      <c r="F227" s="3" t="s">
        <v>201</v>
      </c>
      <c r="G227" s="3" t="s">
        <v>81</v>
      </c>
      <c r="H227" s="3" t="n">
        <v>1</v>
      </c>
      <c r="I227" s="3" t="n">
        <v>37</v>
      </c>
      <c r="J227" s="3" t="s">
        <v>457</v>
      </c>
      <c r="K227" s="8" t="n">
        <v>462500</v>
      </c>
      <c r="L227" s="8" t="n">
        <v>4000</v>
      </c>
      <c r="M227" s="8" t="n">
        <v>34987.5</v>
      </c>
      <c r="N227" s="8" t="n">
        <v>501487.5</v>
      </c>
      <c r="O227" s="3" t="s">
        <v>57</v>
      </c>
      <c r="P227" s="3" t="s">
        <v>58</v>
      </c>
      <c r="Q227" s="3" t="s">
        <v>69</v>
      </c>
      <c r="R227" s="3" t="str">
        <f aca="false">IF(Q227="pass","No","Yes")</f>
        <v>No</v>
      </c>
      <c r="S227" s="3" t="s">
        <v>60</v>
      </c>
      <c r="T227" s="3"/>
      <c r="U227" s="3"/>
      <c r="V227" s="9" t="n">
        <v>10.736</v>
      </c>
    </row>
    <row r="228" customFormat="false" ht="15" hidden="false" customHeight="true" outlineLevel="0" collapsed="false">
      <c r="A228" s="3" t="n">
        <v>227</v>
      </c>
      <c r="B228" s="3" t="n">
        <v>5</v>
      </c>
      <c r="C228" s="3" t="s">
        <v>198</v>
      </c>
      <c r="D228" s="3" t="s">
        <v>199</v>
      </c>
      <c r="E228" s="3" t="s">
        <v>200</v>
      </c>
      <c r="F228" s="3" t="s">
        <v>201</v>
      </c>
      <c r="G228" s="3" t="s">
        <v>81</v>
      </c>
      <c r="H228" s="3" t="n">
        <v>1</v>
      </c>
      <c r="I228" s="3" t="n">
        <v>37</v>
      </c>
      <c r="J228" s="3" t="s">
        <v>457</v>
      </c>
      <c r="K228" s="8" t="n">
        <v>462500</v>
      </c>
      <c r="L228" s="8" t="n">
        <v>4000</v>
      </c>
      <c r="M228" s="8" t="n">
        <v>34987.5</v>
      </c>
      <c r="N228" s="8" t="n">
        <v>501487.5</v>
      </c>
      <c r="O228" s="3" t="s">
        <v>97</v>
      </c>
      <c r="P228" s="3" t="s">
        <v>84</v>
      </c>
      <c r="Q228" s="3" t="s">
        <v>59</v>
      </c>
      <c r="R228" s="3" t="str">
        <f aca="false">IF(Q228="pass","No","Yes")</f>
        <v>Yes</v>
      </c>
      <c r="S228" s="3" t="s">
        <v>98</v>
      </c>
      <c r="T228" s="3" t="s">
        <v>97</v>
      </c>
      <c r="U228" s="3" t="s">
        <v>458</v>
      </c>
      <c r="V228" s="9" t="n">
        <v>8.534</v>
      </c>
    </row>
    <row r="229" customFormat="false" ht="15" hidden="false" customHeight="true" outlineLevel="0" collapsed="false">
      <c r="A229" s="3" t="n">
        <v>228</v>
      </c>
      <c r="B229" s="3" t="n">
        <v>5</v>
      </c>
      <c r="C229" s="3" t="s">
        <v>100</v>
      </c>
      <c r="D229" s="3" t="s">
        <v>101</v>
      </c>
      <c r="E229" s="3" t="s">
        <v>102</v>
      </c>
      <c r="F229" s="3" t="s">
        <v>103</v>
      </c>
      <c r="G229" s="3" t="s">
        <v>67</v>
      </c>
      <c r="H229" s="3" t="n">
        <v>3</v>
      </c>
      <c r="I229" s="3" t="n">
        <v>151</v>
      </c>
      <c r="J229" s="3" t="s">
        <v>459</v>
      </c>
      <c r="K229" s="8" t="n">
        <v>1870500</v>
      </c>
      <c r="L229" s="8" t="n">
        <v>4500</v>
      </c>
      <c r="M229" s="8" t="n">
        <v>140625</v>
      </c>
      <c r="N229" s="8" t="n">
        <v>2015625</v>
      </c>
      <c r="O229" s="3" t="s">
        <v>118</v>
      </c>
      <c r="P229" s="3" t="s">
        <v>58</v>
      </c>
      <c r="Q229" s="3" t="s">
        <v>59</v>
      </c>
      <c r="R229" s="3" t="str">
        <f aca="false">IF(Q229="pass","No","Yes")</f>
        <v>Yes</v>
      </c>
      <c r="S229" s="3" t="s">
        <v>60</v>
      </c>
      <c r="T229" s="3" t="s">
        <v>61</v>
      </c>
      <c r="U229" s="3" t="s">
        <v>460</v>
      </c>
      <c r="V229" s="9" t="n">
        <v>34.513</v>
      </c>
    </row>
    <row r="230" customFormat="false" ht="15" hidden="false" customHeight="true" outlineLevel="0" collapsed="false">
      <c r="A230" s="3" t="n">
        <v>229</v>
      </c>
      <c r="B230" s="3" t="n">
        <v>5</v>
      </c>
      <c r="C230" s="3" t="s">
        <v>70</v>
      </c>
      <c r="D230" s="3" t="s">
        <v>71</v>
      </c>
      <c r="E230" s="3" t="s">
        <v>72</v>
      </c>
      <c r="F230" s="3" t="s">
        <v>73</v>
      </c>
      <c r="G230" s="3" t="s">
        <v>74</v>
      </c>
      <c r="H230" s="3" t="n">
        <v>2</v>
      </c>
      <c r="I230" s="3" t="n">
        <v>174</v>
      </c>
      <c r="J230" s="3" t="s">
        <v>461</v>
      </c>
      <c r="K230" s="8" t="n">
        <v>1887900</v>
      </c>
      <c r="L230" s="8" t="n">
        <v>9000</v>
      </c>
      <c r="M230" s="8" t="n">
        <v>142267.5</v>
      </c>
      <c r="N230" s="8" t="n">
        <v>2039167.5</v>
      </c>
      <c r="O230" s="3" t="s">
        <v>57</v>
      </c>
      <c r="P230" s="3" t="s">
        <v>58</v>
      </c>
      <c r="Q230" s="3" t="s">
        <v>59</v>
      </c>
      <c r="R230" s="3" t="str">
        <f aca="false">IF(Q230="pass","No","Yes")</f>
        <v>Yes</v>
      </c>
      <c r="S230" s="3" t="s">
        <v>60</v>
      </c>
      <c r="T230" s="3" t="s">
        <v>61</v>
      </c>
      <c r="U230" s="3" t="s">
        <v>462</v>
      </c>
      <c r="V230" s="9" t="n">
        <v>24.895</v>
      </c>
    </row>
    <row r="231" customFormat="false" ht="15" hidden="false" customHeight="true" outlineLevel="0" collapsed="false">
      <c r="A231" s="3" t="n">
        <v>230</v>
      </c>
      <c r="B231" s="3" t="n">
        <v>5</v>
      </c>
      <c r="C231" s="3" t="s">
        <v>100</v>
      </c>
      <c r="D231" s="3" t="s">
        <v>101</v>
      </c>
      <c r="E231" s="3" t="s">
        <v>102</v>
      </c>
      <c r="F231" s="3" t="s">
        <v>103</v>
      </c>
      <c r="G231" s="3" t="s">
        <v>67</v>
      </c>
      <c r="H231" s="3" t="n">
        <v>0</v>
      </c>
      <c r="I231" s="3" t="n">
        <v>0</v>
      </c>
      <c r="J231" s="3"/>
      <c r="K231" s="8" t="n">
        <v>0</v>
      </c>
      <c r="L231" s="8" t="n">
        <v>4500</v>
      </c>
      <c r="M231" s="8" t="n">
        <v>337.5</v>
      </c>
      <c r="N231" s="8" t="n">
        <v>4837.5</v>
      </c>
      <c r="O231" s="3" t="s">
        <v>76</v>
      </c>
      <c r="P231" s="3" t="s">
        <v>58</v>
      </c>
      <c r="Q231" s="3" t="s">
        <v>85</v>
      </c>
      <c r="R231" s="3" t="str">
        <f aca="false">IF(Q231="pass","No","Yes")</f>
        <v>Yes</v>
      </c>
      <c r="S231" s="3" t="s">
        <v>86</v>
      </c>
      <c r="T231" s="3" t="s">
        <v>87</v>
      </c>
      <c r="U231" s="3" t="s">
        <v>205</v>
      </c>
      <c r="V231" s="9" t="n">
        <v>4.109</v>
      </c>
    </row>
    <row r="232" customFormat="false" ht="15" hidden="false" customHeight="true" outlineLevel="0" collapsed="false">
      <c r="A232" s="3" t="n">
        <v>231</v>
      </c>
      <c r="B232" s="3" t="n">
        <v>5</v>
      </c>
      <c r="C232" s="3" t="s">
        <v>119</v>
      </c>
      <c r="D232" s="3" t="s">
        <v>120</v>
      </c>
      <c r="E232" s="3" t="s">
        <v>121</v>
      </c>
      <c r="F232" s="3" t="s">
        <v>122</v>
      </c>
      <c r="G232" s="3" t="s">
        <v>123</v>
      </c>
      <c r="H232" s="3" t="n">
        <v>2</v>
      </c>
      <c r="I232" s="3" t="n">
        <v>61</v>
      </c>
      <c r="J232" s="3" t="s">
        <v>463</v>
      </c>
      <c r="K232" s="8" t="n">
        <v>719800</v>
      </c>
      <c r="L232" s="8" t="n">
        <v>5000</v>
      </c>
      <c r="M232" s="8" t="n">
        <v>54360</v>
      </c>
      <c r="N232" s="8" t="n">
        <v>779160</v>
      </c>
      <c r="O232" s="3" t="s">
        <v>272</v>
      </c>
      <c r="P232" s="3" t="s">
        <v>84</v>
      </c>
      <c r="Q232" s="3" t="s">
        <v>85</v>
      </c>
      <c r="R232" s="3" t="str">
        <f aca="false">IF(Q232="pass","No","Yes")</f>
        <v>Yes</v>
      </c>
      <c r="S232" s="3" t="s">
        <v>86</v>
      </c>
      <c r="T232" s="3" t="s">
        <v>273</v>
      </c>
      <c r="U232" s="3" t="s">
        <v>464</v>
      </c>
      <c r="V232" s="9" t="n">
        <v>10.736</v>
      </c>
    </row>
    <row r="233" customFormat="false" ht="15" hidden="false" customHeight="true" outlineLevel="0" collapsed="false">
      <c r="A233" s="3" t="n">
        <v>232</v>
      </c>
      <c r="B233" s="3" t="n">
        <v>5</v>
      </c>
      <c r="C233" s="3" t="s">
        <v>213</v>
      </c>
      <c r="D233" s="3" t="s">
        <v>214</v>
      </c>
      <c r="E233" s="3" t="s">
        <v>215</v>
      </c>
      <c r="F233" s="3" t="s">
        <v>216</v>
      </c>
      <c r="G233" s="3" t="s">
        <v>67</v>
      </c>
      <c r="H233" s="3" t="n">
        <v>2</v>
      </c>
      <c r="I233" s="3" t="n">
        <v>106</v>
      </c>
      <c r="J233" s="3" t="s">
        <v>465</v>
      </c>
      <c r="K233" s="8" t="n">
        <v>1035500</v>
      </c>
      <c r="L233" s="8" t="n">
        <v>4500</v>
      </c>
      <c r="M233" s="8" t="n">
        <v>78000</v>
      </c>
      <c r="N233" s="8" t="n">
        <v>1118000</v>
      </c>
      <c r="O233" s="3" t="s">
        <v>118</v>
      </c>
      <c r="P233" s="3" t="s">
        <v>58</v>
      </c>
      <c r="Q233" s="3" t="s">
        <v>59</v>
      </c>
      <c r="R233" s="3" t="str">
        <f aca="false">IF(Q233="pass","No","Yes")</f>
        <v>Yes</v>
      </c>
      <c r="S233" s="3" t="s">
        <v>60</v>
      </c>
      <c r="T233" s="3" t="s">
        <v>61</v>
      </c>
      <c r="U233" s="3" t="s">
        <v>466</v>
      </c>
      <c r="V233" s="9" t="n">
        <v>26.344</v>
      </c>
    </row>
    <row r="234" customFormat="false" ht="15" hidden="false" customHeight="true" outlineLevel="0" collapsed="false">
      <c r="A234" s="3" t="n">
        <v>233</v>
      </c>
      <c r="B234" s="3" t="n">
        <v>5</v>
      </c>
      <c r="C234" s="3" t="s">
        <v>213</v>
      </c>
      <c r="D234" s="3" t="s">
        <v>214</v>
      </c>
      <c r="E234" s="3" t="s">
        <v>215</v>
      </c>
      <c r="F234" s="3" t="s">
        <v>216</v>
      </c>
      <c r="G234" s="3" t="s">
        <v>67</v>
      </c>
      <c r="H234" s="3" t="n">
        <v>1</v>
      </c>
      <c r="I234" s="3" t="n">
        <v>210</v>
      </c>
      <c r="J234" s="3" t="s">
        <v>467</v>
      </c>
      <c r="K234" s="8" t="n">
        <v>1995000</v>
      </c>
      <c r="L234" s="8" t="n">
        <v>4500</v>
      </c>
      <c r="M234" s="8" t="n">
        <v>149962.5</v>
      </c>
      <c r="N234" s="8" t="n">
        <v>2149462.5</v>
      </c>
      <c r="O234" s="3" t="s">
        <v>110</v>
      </c>
      <c r="P234" s="3" t="s">
        <v>58</v>
      </c>
      <c r="Q234" s="3" t="s">
        <v>59</v>
      </c>
      <c r="R234" s="3" t="str">
        <f aca="false">IF(Q234="pass","No","Yes")</f>
        <v>Yes</v>
      </c>
      <c r="S234" s="3" t="s">
        <v>60</v>
      </c>
      <c r="T234" s="3" t="s">
        <v>61</v>
      </c>
      <c r="U234" s="3" t="s">
        <v>468</v>
      </c>
      <c r="V234" s="9" t="n">
        <v>21.915</v>
      </c>
    </row>
    <row r="235" customFormat="false" ht="15" hidden="false" customHeight="true" outlineLevel="0" collapsed="false">
      <c r="A235" s="3" t="n">
        <v>234</v>
      </c>
      <c r="B235" s="3" t="n">
        <v>5</v>
      </c>
      <c r="C235" s="3" t="s">
        <v>186</v>
      </c>
      <c r="D235" s="3" t="s">
        <v>187</v>
      </c>
      <c r="E235" s="3" t="s">
        <v>188</v>
      </c>
      <c r="F235" s="3" t="s">
        <v>189</v>
      </c>
      <c r="G235" s="3" t="s">
        <v>123</v>
      </c>
      <c r="H235" s="3" t="n">
        <v>2</v>
      </c>
      <c r="I235" s="3" t="n">
        <v>22</v>
      </c>
      <c r="J235" s="3" t="s">
        <v>469</v>
      </c>
      <c r="K235" s="8" t="n">
        <v>259600</v>
      </c>
      <c r="L235" s="8" t="n">
        <v>5000</v>
      </c>
      <c r="M235" s="8" t="n">
        <v>19845</v>
      </c>
      <c r="N235" s="8" t="n">
        <v>284445</v>
      </c>
      <c r="O235" s="3" t="s">
        <v>272</v>
      </c>
      <c r="P235" s="3" t="s">
        <v>84</v>
      </c>
      <c r="Q235" s="3" t="s">
        <v>85</v>
      </c>
      <c r="R235" s="3" t="str">
        <f aca="false">IF(Q235="pass","No","Yes")</f>
        <v>Yes</v>
      </c>
      <c r="S235" s="3" t="s">
        <v>86</v>
      </c>
      <c r="T235" s="3" t="s">
        <v>273</v>
      </c>
      <c r="U235" s="3" t="s">
        <v>470</v>
      </c>
      <c r="V235" s="9" t="n">
        <v>11.472</v>
      </c>
    </row>
    <row r="236" customFormat="false" ht="15" hidden="false" customHeight="true" outlineLevel="0" collapsed="false">
      <c r="A236" s="3" t="n">
        <v>235</v>
      </c>
      <c r="B236" s="3" t="n">
        <v>5</v>
      </c>
      <c r="C236" s="3" t="s">
        <v>177</v>
      </c>
      <c r="D236" s="3" t="s">
        <v>178</v>
      </c>
      <c r="E236" s="3" t="s">
        <v>179</v>
      </c>
      <c r="F236" s="3" t="s">
        <v>180</v>
      </c>
      <c r="G236" s="3" t="s">
        <v>81</v>
      </c>
      <c r="H236" s="3" t="n">
        <v>3</v>
      </c>
      <c r="I236" s="3" t="n">
        <v>95</v>
      </c>
      <c r="J236" s="3" t="s">
        <v>471</v>
      </c>
      <c r="K236" s="8" t="n">
        <v>993400</v>
      </c>
      <c r="L236" s="8" t="n">
        <v>4000</v>
      </c>
      <c r="M236" s="8" t="n">
        <v>74805</v>
      </c>
      <c r="N236" s="8" t="n">
        <v>1072205</v>
      </c>
      <c r="O236" s="3" t="s">
        <v>272</v>
      </c>
      <c r="P236" s="3" t="s">
        <v>84</v>
      </c>
      <c r="Q236" s="3" t="s">
        <v>85</v>
      </c>
      <c r="R236" s="3" t="str">
        <f aca="false">IF(Q236="pass","No","Yes")</f>
        <v>Yes</v>
      </c>
      <c r="S236" s="3" t="s">
        <v>86</v>
      </c>
      <c r="T236" s="3" t="s">
        <v>472</v>
      </c>
      <c r="U236" s="3" t="s">
        <v>473</v>
      </c>
      <c r="V236" s="9" t="n">
        <v>24.326</v>
      </c>
    </row>
    <row r="237" customFormat="false" ht="15" hidden="false" customHeight="true" outlineLevel="0" collapsed="false">
      <c r="A237" s="3" t="n">
        <v>236</v>
      </c>
      <c r="B237" s="3" t="n">
        <v>5</v>
      </c>
      <c r="C237" s="3" t="s">
        <v>127</v>
      </c>
      <c r="D237" s="3" t="s">
        <v>128</v>
      </c>
      <c r="E237" s="3" t="s">
        <v>129</v>
      </c>
      <c r="F237" s="3" t="s">
        <v>130</v>
      </c>
      <c r="G237" s="3" t="s">
        <v>55</v>
      </c>
      <c r="H237" s="3" t="n">
        <v>1</v>
      </c>
      <c r="I237" s="3" t="n">
        <v>2</v>
      </c>
      <c r="J237" s="3" t="s">
        <v>255</v>
      </c>
      <c r="K237" s="8" t="n">
        <v>8200</v>
      </c>
      <c r="L237" s="8" t="n">
        <v>6000</v>
      </c>
      <c r="M237" s="8" t="n">
        <v>1065</v>
      </c>
      <c r="N237" s="8" t="n">
        <v>15265</v>
      </c>
      <c r="O237" s="3" t="s">
        <v>57</v>
      </c>
      <c r="P237" s="3" t="s">
        <v>58</v>
      </c>
      <c r="Q237" s="3" t="s">
        <v>69</v>
      </c>
      <c r="R237" s="3" t="str">
        <f aca="false">IF(Q237="pass","No","Yes")</f>
        <v>No</v>
      </c>
      <c r="S237" s="3" t="s">
        <v>60</v>
      </c>
      <c r="T237" s="3"/>
      <c r="U237" s="3"/>
      <c r="V237" s="9" t="n">
        <v>10.48</v>
      </c>
    </row>
    <row r="238" customFormat="false" ht="15" hidden="false" customHeight="true" outlineLevel="0" collapsed="false">
      <c r="A238" s="3" t="n">
        <v>237</v>
      </c>
      <c r="B238" s="3" t="n">
        <v>5</v>
      </c>
      <c r="C238" s="3" t="s">
        <v>154</v>
      </c>
      <c r="D238" s="3" t="s">
        <v>155</v>
      </c>
      <c r="E238" s="3" t="s">
        <v>156</v>
      </c>
      <c r="F238" s="3" t="s">
        <v>157</v>
      </c>
      <c r="G238" s="3" t="s">
        <v>123</v>
      </c>
      <c r="H238" s="3" t="n">
        <v>3</v>
      </c>
      <c r="I238" s="3" t="n">
        <v>40</v>
      </c>
      <c r="J238" s="3" t="s">
        <v>474</v>
      </c>
      <c r="K238" s="8" t="n">
        <v>953800</v>
      </c>
      <c r="L238" s="8" t="n">
        <v>5000</v>
      </c>
      <c r="M238" s="8" t="n">
        <v>71910</v>
      </c>
      <c r="N238" s="8" t="n">
        <v>1030710</v>
      </c>
      <c r="O238" s="3" t="s">
        <v>152</v>
      </c>
      <c r="P238" s="3" t="s">
        <v>84</v>
      </c>
      <c r="Q238" s="3" t="s">
        <v>85</v>
      </c>
      <c r="R238" s="3" t="str">
        <f aca="false">IF(Q238="pass","No","Yes")</f>
        <v>Yes</v>
      </c>
      <c r="S238" s="3" t="s">
        <v>86</v>
      </c>
      <c r="T238" s="3" t="s">
        <v>87</v>
      </c>
      <c r="U238" s="3" t="s">
        <v>475</v>
      </c>
      <c r="V238" s="9" t="n">
        <v>30.911</v>
      </c>
    </row>
    <row r="239" customFormat="false" ht="15" hidden="false" customHeight="true" outlineLevel="0" collapsed="false">
      <c r="A239" s="3" t="n">
        <v>238</v>
      </c>
      <c r="B239" s="3" t="n">
        <v>5</v>
      </c>
      <c r="C239" s="3" t="s">
        <v>119</v>
      </c>
      <c r="D239" s="3" t="s">
        <v>120</v>
      </c>
      <c r="E239" s="3" t="s">
        <v>121</v>
      </c>
      <c r="F239" s="3" t="s">
        <v>122</v>
      </c>
      <c r="G239" s="3" t="s">
        <v>123</v>
      </c>
      <c r="H239" s="3" t="n">
        <v>2</v>
      </c>
      <c r="I239" s="3" t="n">
        <v>97</v>
      </c>
      <c r="J239" s="3" t="s">
        <v>476</v>
      </c>
      <c r="K239" s="8" t="n">
        <v>935300</v>
      </c>
      <c r="L239" s="8" t="n">
        <v>5000</v>
      </c>
      <c r="M239" s="8" t="n">
        <v>70522.5</v>
      </c>
      <c r="N239" s="8" t="n">
        <v>1010822.5</v>
      </c>
      <c r="O239" s="3" t="s">
        <v>57</v>
      </c>
      <c r="P239" s="3" t="s">
        <v>58</v>
      </c>
      <c r="Q239" s="3" t="s">
        <v>69</v>
      </c>
      <c r="R239" s="3" t="str">
        <f aca="false">IF(Q239="pass","No","Yes")</f>
        <v>No</v>
      </c>
      <c r="S239" s="3" t="s">
        <v>60</v>
      </c>
      <c r="T239" s="3"/>
      <c r="U239" s="3"/>
      <c r="V239" s="9" t="n">
        <v>28.976</v>
      </c>
    </row>
    <row r="240" customFormat="false" ht="15" hidden="false" customHeight="true" outlineLevel="0" collapsed="false">
      <c r="A240" s="3" t="n">
        <v>239</v>
      </c>
      <c r="B240" s="3" t="n">
        <v>5</v>
      </c>
      <c r="C240" s="3" t="s">
        <v>166</v>
      </c>
      <c r="D240" s="3" t="s">
        <v>167</v>
      </c>
      <c r="E240" s="3" t="s">
        <v>168</v>
      </c>
      <c r="F240" s="3" t="s">
        <v>169</v>
      </c>
      <c r="G240" s="3" t="s">
        <v>74</v>
      </c>
      <c r="H240" s="3" t="n">
        <v>2</v>
      </c>
      <c r="I240" s="3" t="n">
        <v>308</v>
      </c>
      <c r="J240" s="3" t="s">
        <v>477</v>
      </c>
      <c r="K240" s="8" t="n">
        <v>3817800</v>
      </c>
      <c r="L240" s="8" t="n">
        <v>9000</v>
      </c>
      <c r="M240" s="8" t="n">
        <v>287010</v>
      </c>
      <c r="N240" s="8" t="n">
        <v>4113810</v>
      </c>
      <c r="O240" s="3" t="s">
        <v>171</v>
      </c>
      <c r="P240" s="3" t="s">
        <v>84</v>
      </c>
      <c r="Q240" s="3" t="s">
        <v>85</v>
      </c>
      <c r="R240" s="3" t="str">
        <f aca="false">IF(Q240="pass","No","Yes")</f>
        <v>Yes</v>
      </c>
      <c r="S240" s="3" t="s">
        <v>86</v>
      </c>
      <c r="T240" s="3" t="s">
        <v>209</v>
      </c>
      <c r="U240" s="3" t="s">
        <v>368</v>
      </c>
      <c r="V240" s="9" t="n">
        <v>16.577</v>
      </c>
    </row>
    <row r="241" customFormat="false" ht="15" hidden="false" customHeight="true" outlineLevel="0" collapsed="false">
      <c r="A241" s="3" t="n">
        <v>240</v>
      </c>
      <c r="B241" s="3" t="n">
        <v>5</v>
      </c>
      <c r="C241" s="3" t="s">
        <v>105</v>
      </c>
      <c r="D241" s="3" t="s">
        <v>106</v>
      </c>
      <c r="E241" s="3" t="s">
        <v>107</v>
      </c>
      <c r="F241" s="3" t="s">
        <v>108</v>
      </c>
      <c r="G241" s="3" t="s">
        <v>81</v>
      </c>
      <c r="H241" s="3" t="n">
        <v>3</v>
      </c>
      <c r="I241" s="3" t="n">
        <v>90</v>
      </c>
      <c r="J241" s="3" t="s">
        <v>478</v>
      </c>
      <c r="K241" s="8" t="n">
        <v>1043100</v>
      </c>
      <c r="L241" s="8" t="n">
        <v>4000</v>
      </c>
      <c r="M241" s="8" t="n">
        <v>78532.5</v>
      </c>
      <c r="N241" s="8" t="n">
        <v>1125632.5</v>
      </c>
      <c r="O241" s="3" t="s">
        <v>57</v>
      </c>
      <c r="P241" s="3" t="s">
        <v>58</v>
      </c>
      <c r="Q241" s="3" t="s">
        <v>69</v>
      </c>
      <c r="R241" s="3" t="str">
        <f aca="false">IF(Q241="pass","No","Yes")</f>
        <v>No</v>
      </c>
      <c r="S241" s="3" t="s">
        <v>60</v>
      </c>
      <c r="T241" s="3"/>
      <c r="U241" s="3"/>
      <c r="V241" s="9" t="n">
        <v>22.846</v>
      </c>
    </row>
    <row r="242" customFormat="false" ht="15" hidden="false" customHeight="true" outlineLevel="0" collapsed="false">
      <c r="A242" s="3" t="n">
        <v>241</v>
      </c>
      <c r="B242" s="3" t="n">
        <v>5</v>
      </c>
      <c r="C242" s="3" t="s">
        <v>51</v>
      </c>
      <c r="D242" s="3" t="s">
        <v>52</v>
      </c>
      <c r="E242" s="3" t="s">
        <v>53</v>
      </c>
      <c r="F242" s="3" t="s">
        <v>54</v>
      </c>
      <c r="G242" s="3" t="s">
        <v>55</v>
      </c>
      <c r="H242" s="3" t="n">
        <v>4</v>
      </c>
      <c r="I242" s="3" t="n">
        <v>391</v>
      </c>
      <c r="J242" s="3" t="s">
        <v>479</v>
      </c>
      <c r="K242" s="8" t="n">
        <v>3985600</v>
      </c>
      <c r="L242" s="8" t="n">
        <v>6000</v>
      </c>
      <c r="M242" s="8" t="n">
        <v>299370</v>
      </c>
      <c r="N242" s="8" t="n">
        <v>4290970</v>
      </c>
      <c r="O242" s="3" t="s">
        <v>171</v>
      </c>
      <c r="P242" s="3" t="s">
        <v>84</v>
      </c>
      <c r="Q242" s="3" t="s">
        <v>85</v>
      </c>
      <c r="R242" s="3" t="str">
        <f aca="false">IF(Q242="pass","No","Yes")</f>
        <v>Yes</v>
      </c>
      <c r="S242" s="3" t="s">
        <v>86</v>
      </c>
      <c r="T242" s="3" t="s">
        <v>172</v>
      </c>
      <c r="U242" s="3" t="s">
        <v>480</v>
      </c>
      <c r="V242" s="9" t="n">
        <v>36.276</v>
      </c>
    </row>
    <row r="243" customFormat="false" ht="15" hidden="false" customHeight="true" outlineLevel="0" collapsed="false">
      <c r="A243" s="3" t="n">
        <v>242</v>
      </c>
      <c r="B243" s="3" t="n">
        <v>5</v>
      </c>
      <c r="C243" s="3" t="s">
        <v>142</v>
      </c>
      <c r="D243" s="3" t="s">
        <v>143</v>
      </c>
      <c r="E243" s="3" t="s">
        <v>144</v>
      </c>
      <c r="F243" s="3" t="s">
        <v>145</v>
      </c>
      <c r="G243" s="3" t="s">
        <v>74</v>
      </c>
      <c r="H243" s="3" t="n">
        <v>1</v>
      </c>
      <c r="I243" s="3" t="n">
        <v>56</v>
      </c>
      <c r="J243" s="3" t="s">
        <v>481</v>
      </c>
      <c r="K243" s="8" t="n">
        <v>660800</v>
      </c>
      <c r="L243" s="8" t="n">
        <v>9000</v>
      </c>
      <c r="M243" s="8" t="n">
        <v>50235</v>
      </c>
      <c r="N243" s="8" t="n">
        <v>720035</v>
      </c>
      <c r="O243" s="3" t="s">
        <v>57</v>
      </c>
      <c r="P243" s="3" t="s">
        <v>58</v>
      </c>
      <c r="Q243" s="3" t="s">
        <v>69</v>
      </c>
      <c r="R243" s="3" t="str">
        <f aca="false">IF(Q243="pass","No","Yes")</f>
        <v>No</v>
      </c>
      <c r="S243" s="3" t="s">
        <v>60</v>
      </c>
      <c r="T243" s="3"/>
      <c r="U243" s="3"/>
      <c r="V243" s="9" t="n">
        <v>12.169</v>
      </c>
    </row>
    <row r="244" customFormat="false" ht="15" hidden="false" customHeight="true" outlineLevel="0" collapsed="false">
      <c r="A244" s="3" t="n">
        <v>243</v>
      </c>
      <c r="B244" s="3" t="n">
        <v>5</v>
      </c>
      <c r="C244" s="3" t="s">
        <v>77</v>
      </c>
      <c r="D244" s="3" t="s">
        <v>78</v>
      </c>
      <c r="E244" s="3" t="s">
        <v>79</v>
      </c>
      <c r="F244" s="3" t="s">
        <v>80</v>
      </c>
      <c r="G244" s="3" t="s">
        <v>81</v>
      </c>
      <c r="H244" s="3" t="n">
        <v>3</v>
      </c>
      <c r="I244" s="3" t="n">
        <v>22</v>
      </c>
      <c r="J244" s="3" t="s">
        <v>482</v>
      </c>
      <c r="K244" s="8" t="n">
        <v>616500</v>
      </c>
      <c r="L244" s="8" t="n">
        <v>4000</v>
      </c>
      <c r="M244" s="8" t="n">
        <v>46537.5</v>
      </c>
      <c r="N244" s="8" t="n">
        <v>667037.5</v>
      </c>
      <c r="O244" s="3" t="s">
        <v>57</v>
      </c>
      <c r="P244" s="3" t="s">
        <v>58</v>
      </c>
      <c r="Q244" s="3" t="s">
        <v>69</v>
      </c>
      <c r="R244" s="3" t="str">
        <f aca="false">IF(Q244="pass","No","Yes")</f>
        <v>No</v>
      </c>
      <c r="S244" s="3" t="s">
        <v>60</v>
      </c>
      <c r="T244" s="3"/>
      <c r="U244" s="3"/>
      <c r="V244" s="9" t="n">
        <v>22.045</v>
      </c>
    </row>
    <row r="245" customFormat="false" ht="15" hidden="false" customHeight="true" outlineLevel="0" collapsed="false">
      <c r="A245" s="3" t="n">
        <v>244</v>
      </c>
      <c r="B245" s="3" t="n">
        <v>5</v>
      </c>
      <c r="C245" s="3" t="s">
        <v>177</v>
      </c>
      <c r="D245" s="3" t="s">
        <v>178</v>
      </c>
      <c r="E245" s="3" t="s">
        <v>179</v>
      </c>
      <c r="F245" s="3" t="s">
        <v>180</v>
      </c>
      <c r="G245" s="3" t="s">
        <v>81</v>
      </c>
      <c r="H245" s="3" t="n">
        <v>3</v>
      </c>
      <c r="I245" s="3" t="n">
        <v>135</v>
      </c>
      <c r="J245" s="3" t="s">
        <v>483</v>
      </c>
      <c r="K245" s="8" t="n">
        <v>1968000</v>
      </c>
      <c r="L245" s="8" t="n">
        <v>4000</v>
      </c>
      <c r="M245" s="8" t="n">
        <v>147900</v>
      </c>
      <c r="N245" s="8" t="n">
        <v>2119900</v>
      </c>
      <c r="O245" s="3" t="s">
        <v>57</v>
      </c>
      <c r="P245" s="3" t="s">
        <v>58</v>
      </c>
      <c r="Q245" s="3" t="s">
        <v>69</v>
      </c>
      <c r="R245" s="3" t="str">
        <f aca="false">IF(Q245="pass","No","Yes")</f>
        <v>No</v>
      </c>
      <c r="S245" s="3" t="s">
        <v>60</v>
      </c>
      <c r="T245" s="3"/>
      <c r="U245" s="3"/>
      <c r="V245" s="9" t="n">
        <v>23.354</v>
      </c>
    </row>
    <row r="246" customFormat="false" ht="15" hidden="false" customHeight="true" outlineLevel="0" collapsed="false">
      <c r="A246" s="3" t="n">
        <v>245</v>
      </c>
      <c r="B246" s="3" t="n">
        <v>5</v>
      </c>
      <c r="C246" s="3" t="s">
        <v>77</v>
      </c>
      <c r="D246" s="3" t="s">
        <v>78</v>
      </c>
      <c r="E246" s="3" t="s">
        <v>79</v>
      </c>
      <c r="F246" s="3" t="s">
        <v>80</v>
      </c>
      <c r="G246" s="3" t="s">
        <v>81</v>
      </c>
      <c r="H246" s="3" t="n">
        <v>2</v>
      </c>
      <c r="I246" s="3" t="n">
        <v>72</v>
      </c>
      <c r="J246" s="3" t="s">
        <v>484</v>
      </c>
      <c r="K246" s="8" t="n">
        <v>1022800</v>
      </c>
      <c r="L246" s="8" t="n">
        <v>4000</v>
      </c>
      <c r="M246" s="8" t="n">
        <v>77010</v>
      </c>
      <c r="N246" s="8" t="n">
        <v>1103810</v>
      </c>
      <c r="O246" s="3" t="s">
        <v>132</v>
      </c>
      <c r="P246" s="3" t="s">
        <v>84</v>
      </c>
      <c r="Q246" s="3" t="s">
        <v>85</v>
      </c>
      <c r="R246" s="3" t="str">
        <f aca="false">IF(Q246="pass","No","Yes")</f>
        <v>Yes</v>
      </c>
      <c r="S246" s="3" t="s">
        <v>86</v>
      </c>
      <c r="T246" s="3" t="s">
        <v>133</v>
      </c>
      <c r="U246" s="3" t="s">
        <v>134</v>
      </c>
      <c r="V246" s="9" t="n">
        <v>13.95</v>
      </c>
    </row>
    <row r="247" customFormat="false" ht="15" hidden="false" customHeight="true" outlineLevel="0" collapsed="false">
      <c r="A247" s="3" t="n">
        <v>246</v>
      </c>
      <c r="B247" s="3" t="n">
        <v>5</v>
      </c>
      <c r="C247" s="3" t="s">
        <v>51</v>
      </c>
      <c r="D247" s="3" t="s">
        <v>52</v>
      </c>
      <c r="E247" s="3" t="s">
        <v>53</v>
      </c>
      <c r="F247" s="3" t="s">
        <v>54</v>
      </c>
      <c r="G247" s="3" t="s">
        <v>146</v>
      </c>
      <c r="H247" s="3" t="n">
        <v>3</v>
      </c>
      <c r="I247" s="3" t="n">
        <v>120</v>
      </c>
      <c r="J247" s="3" t="s">
        <v>485</v>
      </c>
      <c r="K247" s="8" t="n">
        <v>1529700</v>
      </c>
      <c r="L247" s="8" t="n">
        <v>0</v>
      </c>
      <c r="M247" s="8" t="n">
        <v>114727.5</v>
      </c>
      <c r="N247" s="8" t="n">
        <v>1644427.5</v>
      </c>
      <c r="O247" s="3" t="s">
        <v>148</v>
      </c>
      <c r="P247" s="3" t="s">
        <v>84</v>
      </c>
      <c r="Q247" s="3" t="s">
        <v>85</v>
      </c>
      <c r="R247" s="3" t="str">
        <f aca="false">IF(Q247="pass","No","Yes")</f>
        <v>Yes</v>
      </c>
      <c r="S247" s="3" t="s">
        <v>86</v>
      </c>
      <c r="T247" s="3" t="s">
        <v>149</v>
      </c>
      <c r="U247" s="3" t="s">
        <v>150</v>
      </c>
      <c r="V247" s="9" t="n">
        <v>50.588</v>
      </c>
    </row>
    <row r="248" customFormat="false" ht="15" hidden="false" customHeight="true" outlineLevel="0" collapsed="false">
      <c r="A248" s="3" t="n">
        <v>247</v>
      </c>
      <c r="B248" s="3" t="n">
        <v>5</v>
      </c>
      <c r="C248" s="3" t="s">
        <v>100</v>
      </c>
      <c r="D248" s="3" t="s">
        <v>101</v>
      </c>
      <c r="E248" s="3" t="s">
        <v>102</v>
      </c>
      <c r="F248" s="3" t="s">
        <v>103</v>
      </c>
      <c r="G248" s="3" t="s">
        <v>146</v>
      </c>
      <c r="H248" s="3" t="n">
        <v>1</v>
      </c>
      <c r="I248" s="3" t="n">
        <v>2</v>
      </c>
      <c r="J248" s="3" t="s">
        <v>255</v>
      </c>
      <c r="K248" s="8" t="n">
        <v>8200</v>
      </c>
      <c r="L248" s="8" t="n">
        <v>0</v>
      </c>
      <c r="M248" s="8" t="n">
        <v>615</v>
      </c>
      <c r="N248" s="8" t="n">
        <v>8815</v>
      </c>
      <c r="O248" s="3" t="s">
        <v>148</v>
      </c>
      <c r="P248" s="3" t="s">
        <v>84</v>
      </c>
      <c r="Q248" s="3" t="s">
        <v>85</v>
      </c>
      <c r="R248" s="3" t="str">
        <f aca="false">IF(Q248="pass","No","Yes")</f>
        <v>Yes</v>
      </c>
      <c r="S248" s="3" t="s">
        <v>86</v>
      </c>
      <c r="T248" s="3" t="s">
        <v>149</v>
      </c>
      <c r="U248" s="3" t="s">
        <v>150</v>
      </c>
      <c r="V248" s="9" t="n">
        <v>13.372</v>
      </c>
    </row>
    <row r="249" customFormat="false" ht="15" hidden="false" customHeight="true" outlineLevel="0" collapsed="false">
      <c r="A249" s="3" t="n">
        <v>248</v>
      </c>
      <c r="B249" s="3" t="n">
        <v>5</v>
      </c>
      <c r="C249" s="3" t="s">
        <v>154</v>
      </c>
      <c r="D249" s="3" t="s">
        <v>155</v>
      </c>
      <c r="E249" s="3" t="s">
        <v>156</v>
      </c>
      <c r="F249" s="3" t="s">
        <v>157</v>
      </c>
      <c r="G249" s="3" t="s">
        <v>123</v>
      </c>
      <c r="H249" s="3" t="n">
        <v>1</v>
      </c>
      <c r="I249" s="3" t="n">
        <v>21</v>
      </c>
      <c r="J249" s="3" t="s">
        <v>486</v>
      </c>
      <c r="K249" s="8" t="n">
        <v>151200</v>
      </c>
      <c r="L249" s="8" t="n">
        <v>5000</v>
      </c>
      <c r="M249" s="8" t="n">
        <v>11715</v>
      </c>
      <c r="N249" s="8" t="n">
        <v>167915</v>
      </c>
      <c r="O249" s="3" t="s">
        <v>76</v>
      </c>
      <c r="P249" s="3" t="s">
        <v>58</v>
      </c>
      <c r="Q249" s="3" t="s">
        <v>69</v>
      </c>
      <c r="R249" s="3" t="str">
        <f aca="false">IF(Q249="pass","No","Yes")</f>
        <v>No</v>
      </c>
      <c r="S249" s="3" t="s">
        <v>60</v>
      </c>
      <c r="T249" s="3"/>
      <c r="U249" s="3"/>
      <c r="V249" s="9" t="n">
        <v>21.685</v>
      </c>
    </row>
    <row r="250" customFormat="false" ht="15" hidden="false" customHeight="true" outlineLevel="0" collapsed="false">
      <c r="A250" s="3" t="n">
        <v>249</v>
      </c>
      <c r="B250" s="3" t="n">
        <v>5</v>
      </c>
      <c r="C250" s="3" t="s">
        <v>89</v>
      </c>
      <c r="D250" s="3" t="s">
        <v>90</v>
      </c>
      <c r="E250" s="3" t="s">
        <v>91</v>
      </c>
      <c r="F250" s="3" t="s">
        <v>92</v>
      </c>
      <c r="G250" s="3" t="s">
        <v>67</v>
      </c>
      <c r="H250" s="3" t="n">
        <v>3</v>
      </c>
      <c r="I250" s="3" t="n">
        <v>238</v>
      </c>
      <c r="J250" s="3" t="s">
        <v>487</v>
      </c>
      <c r="K250" s="8" t="n">
        <v>2383800</v>
      </c>
      <c r="L250" s="8" t="n">
        <v>4500</v>
      </c>
      <c r="M250" s="8" t="n">
        <v>179122.5</v>
      </c>
      <c r="N250" s="8" t="n">
        <v>2567422.5</v>
      </c>
      <c r="O250" s="3" t="s">
        <v>83</v>
      </c>
      <c r="P250" s="3" t="s">
        <v>84</v>
      </c>
      <c r="Q250" s="3" t="s">
        <v>85</v>
      </c>
      <c r="R250" s="3" t="str">
        <f aca="false">IF(Q250="pass","No","Yes")</f>
        <v>Yes</v>
      </c>
      <c r="S250" s="3" t="s">
        <v>86</v>
      </c>
      <c r="T250" s="3" t="s">
        <v>87</v>
      </c>
      <c r="U250" s="3" t="s">
        <v>488</v>
      </c>
      <c r="V250" s="9" t="n">
        <v>45.995</v>
      </c>
    </row>
    <row r="251" customFormat="false" ht="15" hidden="false" customHeight="true" outlineLevel="0" collapsed="false">
      <c r="A251" s="3" t="n">
        <v>250</v>
      </c>
      <c r="B251" s="3" t="n">
        <v>5</v>
      </c>
      <c r="C251" s="3" t="s">
        <v>177</v>
      </c>
      <c r="D251" s="3" t="s">
        <v>178</v>
      </c>
      <c r="E251" s="3" t="s">
        <v>179</v>
      </c>
      <c r="F251" s="3" t="s">
        <v>180</v>
      </c>
      <c r="G251" s="3" t="s">
        <v>81</v>
      </c>
      <c r="H251" s="3" t="n">
        <v>1</v>
      </c>
      <c r="I251" s="3" t="n">
        <v>2</v>
      </c>
      <c r="J251" s="3" t="s">
        <v>255</v>
      </c>
      <c r="K251" s="8" t="n">
        <v>8200</v>
      </c>
      <c r="L251" s="8" t="n">
        <v>4000</v>
      </c>
      <c r="M251" s="8" t="n">
        <v>915</v>
      </c>
      <c r="N251" s="8" t="n">
        <v>13115</v>
      </c>
      <c r="O251" s="3" t="s">
        <v>57</v>
      </c>
      <c r="P251" s="3" t="s">
        <v>58</v>
      </c>
      <c r="Q251" s="3" t="s">
        <v>69</v>
      </c>
      <c r="R251" s="3" t="str">
        <f aca="false">IF(Q251="pass","No","Yes")</f>
        <v>No</v>
      </c>
      <c r="S251" s="3" t="s">
        <v>60</v>
      </c>
      <c r="T251" s="3"/>
      <c r="U251" s="3"/>
      <c r="V251" s="9" t="n">
        <v>11.222</v>
      </c>
    </row>
    <row r="252" customFormat="false" ht="15" hidden="false" customHeight="true" outlineLevel="0" collapsed="false">
      <c r="A252" s="3" t="n">
        <v>251</v>
      </c>
      <c r="B252" s="3" t="n">
        <v>6</v>
      </c>
      <c r="C252" s="3" t="s">
        <v>112</v>
      </c>
      <c r="D252" s="3" t="s">
        <v>113</v>
      </c>
      <c r="E252" s="3" t="s">
        <v>114</v>
      </c>
      <c r="F252" s="3" t="s">
        <v>115</v>
      </c>
      <c r="G252" s="3" t="s">
        <v>116</v>
      </c>
      <c r="H252" s="3" t="n">
        <v>1</v>
      </c>
      <c r="I252" s="3" t="n">
        <v>202</v>
      </c>
      <c r="J252" s="3" t="s">
        <v>489</v>
      </c>
      <c r="K252" s="8" t="n">
        <v>1919000</v>
      </c>
      <c r="L252" s="8" t="n">
        <v>15000</v>
      </c>
      <c r="M252" s="8" t="n">
        <v>145050</v>
      </c>
      <c r="N252" s="8" t="n">
        <v>2079050</v>
      </c>
      <c r="O252" s="3" t="s">
        <v>110</v>
      </c>
      <c r="P252" s="3" t="s">
        <v>58</v>
      </c>
      <c r="Q252" s="3" t="s">
        <v>69</v>
      </c>
      <c r="R252" s="3" t="str">
        <f aca="false">IF(Q252="pass","No","Yes")</f>
        <v>No</v>
      </c>
      <c r="S252" s="3" t="s">
        <v>60</v>
      </c>
      <c r="T252" s="3"/>
      <c r="U252" s="3"/>
      <c r="V252" s="9" t="n">
        <v>23.353</v>
      </c>
    </row>
    <row r="253" customFormat="false" ht="15" hidden="false" customHeight="true" outlineLevel="0" collapsed="false">
      <c r="A253" s="3" t="n">
        <v>252</v>
      </c>
      <c r="B253" s="3" t="n">
        <v>6</v>
      </c>
      <c r="C253" s="3" t="s">
        <v>213</v>
      </c>
      <c r="D253" s="3" t="s">
        <v>214</v>
      </c>
      <c r="E253" s="3" t="s">
        <v>215</v>
      </c>
      <c r="F253" s="3" t="s">
        <v>216</v>
      </c>
      <c r="G253" s="3" t="s">
        <v>67</v>
      </c>
      <c r="H253" s="3" t="n">
        <v>3</v>
      </c>
      <c r="I253" s="3" t="n">
        <v>1077</v>
      </c>
      <c r="J253" s="3" t="s">
        <v>490</v>
      </c>
      <c r="K253" s="8" t="n">
        <v>13154200</v>
      </c>
      <c r="L253" s="8" t="n">
        <v>4500</v>
      </c>
      <c r="M253" s="8" t="n">
        <v>986902.5</v>
      </c>
      <c r="N253" s="8" t="n">
        <v>14145602.5</v>
      </c>
      <c r="O253" s="3" t="s">
        <v>159</v>
      </c>
      <c r="P253" s="3" t="s">
        <v>84</v>
      </c>
      <c r="Q253" s="3" t="s">
        <v>85</v>
      </c>
      <c r="R253" s="3" t="str">
        <f aca="false">IF(Q253="pass","No","Yes")</f>
        <v>Yes</v>
      </c>
      <c r="S253" s="3" t="s">
        <v>86</v>
      </c>
      <c r="T253" s="3" t="s">
        <v>160</v>
      </c>
      <c r="U253" s="3" t="s">
        <v>491</v>
      </c>
      <c r="V253" s="9" t="n">
        <v>35.456</v>
      </c>
    </row>
    <row r="254" customFormat="false" ht="15" hidden="false" customHeight="true" outlineLevel="0" collapsed="false">
      <c r="A254" s="3" t="n">
        <v>253</v>
      </c>
      <c r="B254" s="3" t="n">
        <v>6</v>
      </c>
      <c r="C254" s="3" t="s">
        <v>105</v>
      </c>
      <c r="D254" s="3" t="s">
        <v>106</v>
      </c>
      <c r="E254" s="3" t="s">
        <v>107</v>
      </c>
      <c r="F254" s="3" t="s">
        <v>108</v>
      </c>
      <c r="G254" s="3" t="s">
        <v>81</v>
      </c>
      <c r="H254" s="3" t="n">
        <v>3</v>
      </c>
      <c r="I254" s="3" t="n">
        <v>65</v>
      </c>
      <c r="J254" s="3" t="s">
        <v>492</v>
      </c>
      <c r="K254" s="8" t="n">
        <v>1206500</v>
      </c>
      <c r="L254" s="8" t="n">
        <v>4000</v>
      </c>
      <c r="M254" s="8" t="n">
        <v>90787.5</v>
      </c>
      <c r="N254" s="8" t="n">
        <v>1301287.5</v>
      </c>
      <c r="O254" s="3" t="s">
        <v>83</v>
      </c>
      <c r="P254" s="3" t="s">
        <v>84</v>
      </c>
      <c r="Q254" s="3" t="s">
        <v>85</v>
      </c>
      <c r="R254" s="3" t="str">
        <f aca="false">IF(Q254="pass","No","Yes")</f>
        <v>Yes</v>
      </c>
      <c r="S254" s="3" t="s">
        <v>86</v>
      </c>
      <c r="T254" s="3" t="s">
        <v>87</v>
      </c>
      <c r="U254" s="3" t="s">
        <v>268</v>
      </c>
      <c r="V254" s="9" t="n">
        <v>24.221</v>
      </c>
    </row>
    <row r="255" customFormat="false" ht="15" hidden="false" customHeight="true" outlineLevel="0" collapsed="false">
      <c r="A255" s="3" t="n">
        <v>254</v>
      </c>
      <c r="B255" s="3" t="n">
        <v>6</v>
      </c>
      <c r="C255" s="3" t="s">
        <v>63</v>
      </c>
      <c r="D255" s="3" t="s">
        <v>64</v>
      </c>
      <c r="E255" s="3" t="s">
        <v>65</v>
      </c>
      <c r="F255" s="3" t="s">
        <v>66</v>
      </c>
      <c r="G255" s="3" t="s">
        <v>146</v>
      </c>
      <c r="H255" s="3" t="n">
        <v>1</v>
      </c>
      <c r="I255" s="3" t="n">
        <v>9</v>
      </c>
      <c r="J255" s="3" t="s">
        <v>104</v>
      </c>
      <c r="K255" s="8" t="n">
        <v>342000</v>
      </c>
      <c r="L255" s="8" t="n">
        <v>0</v>
      </c>
      <c r="M255" s="8" t="n">
        <v>25650</v>
      </c>
      <c r="N255" s="8" t="n">
        <v>367650</v>
      </c>
      <c r="O255" s="3" t="s">
        <v>148</v>
      </c>
      <c r="P255" s="3" t="s">
        <v>84</v>
      </c>
      <c r="Q255" s="3" t="s">
        <v>85</v>
      </c>
      <c r="R255" s="3" t="str">
        <f aca="false">IF(Q255="pass","No","Yes")</f>
        <v>Yes</v>
      </c>
      <c r="S255" s="3" t="s">
        <v>86</v>
      </c>
      <c r="T255" s="3" t="s">
        <v>149</v>
      </c>
      <c r="U255" s="3" t="s">
        <v>150</v>
      </c>
      <c r="V255" s="9" t="n">
        <v>9.333</v>
      </c>
    </row>
    <row r="256" customFormat="false" ht="15" hidden="false" customHeight="true" outlineLevel="0" collapsed="false">
      <c r="A256" s="3" t="n">
        <v>255</v>
      </c>
      <c r="B256" s="3" t="n">
        <v>6</v>
      </c>
      <c r="C256" s="3" t="s">
        <v>51</v>
      </c>
      <c r="D256" s="3" t="s">
        <v>52</v>
      </c>
      <c r="E256" s="3" t="s">
        <v>53</v>
      </c>
      <c r="F256" s="3" t="s">
        <v>54</v>
      </c>
      <c r="G256" s="3" t="s">
        <v>55</v>
      </c>
      <c r="H256" s="3" t="n">
        <v>1</v>
      </c>
      <c r="I256" s="3" t="n">
        <v>30</v>
      </c>
      <c r="J256" s="3" t="s">
        <v>493</v>
      </c>
      <c r="K256" s="8" t="n">
        <v>435000</v>
      </c>
      <c r="L256" s="8" t="n">
        <v>6000</v>
      </c>
      <c r="M256" s="8" t="n">
        <v>33075</v>
      </c>
      <c r="N256" s="8" t="n">
        <v>474075</v>
      </c>
      <c r="O256" s="3" t="s">
        <v>57</v>
      </c>
      <c r="P256" s="3" t="s">
        <v>58</v>
      </c>
      <c r="Q256" s="3" t="s">
        <v>69</v>
      </c>
      <c r="R256" s="3" t="str">
        <f aca="false">IF(Q256="pass","No","Yes")</f>
        <v>No</v>
      </c>
      <c r="S256" s="3" t="s">
        <v>60</v>
      </c>
      <c r="T256" s="3"/>
      <c r="U256" s="3"/>
      <c r="V256" s="9" t="n">
        <v>12.361</v>
      </c>
    </row>
    <row r="257" customFormat="false" ht="15" hidden="false" customHeight="true" outlineLevel="0" collapsed="false">
      <c r="A257" s="3" t="n">
        <v>256</v>
      </c>
      <c r="B257" s="3" t="n">
        <v>6</v>
      </c>
      <c r="C257" s="3" t="s">
        <v>70</v>
      </c>
      <c r="D257" s="3" t="s">
        <v>71</v>
      </c>
      <c r="E257" s="3" t="s">
        <v>72</v>
      </c>
      <c r="F257" s="3" t="s">
        <v>73</v>
      </c>
      <c r="G257" s="3" t="s">
        <v>74</v>
      </c>
      <c r="H257" s="3" t="n">
        <v>3</v>
      </c>
      <c r="I257" s="3" t="n">
        <v>70</v>
      </c>
      <c r="J257" s="3" t="s">
        <v>494</v>
      </c>
      <c r="K257" s="8" t="n">
        <v>813500</v>
      </c>
      <c r="L257" s="8" t="n">
        <v>9000</v>
      </c>
      <c r="M257" s="8" t="n">
        <v>61687.5</v>
      </c>
      <c r="N257" s="8" t="n">
        <v>884187.5</v>
      </c>
      <c r="O257" s="3" t="s">
        <v>57</v>
      </c>
      <c r="P257" s="3" t="s">
        <v>58</v>
      </c>
      <c r="Q257" s="3" t="s">
        <v>69</v>
      </c>
      <c r="R257" s="3" t="str">
        <f aca="false">IF(Q257="pass","No","Yes")</f>
        <v>No</v>
      </c>
      <c r="S257" s="3" t="s">
        <v>60</v>
      </c>
      <c r="T257" s="3"/>
      <c r="U257" s="3"/>
      <c r="V257" s="9" t="n">
        <v>35.528</v>
      </c>
    </row>
    <row r="258" customFormat="false" ht="15" hidden="false" customHeight="true" outlineLevel="0" collapsed="false">
      <c r="A258" s="3" t="n">
        <v>257</v>
      </c>
      <c r="B258" s="3" t="n">
        <v>6</v>
      </c>
      <c r="C258" s="3" t="s">
        <v>191</v>
      </c>
      <c r="D258" s="3" t="s">
        <v>192</v>
      </c>
      <c r="E258" s="3" t="s">
        <v>193</v>
      </c>
      <c r="F258" s="3" t="s">
        <v>194</v>
      </c>
      <c r="G258" s="3" t="s">
        <v>116</v>
      </c>
      <c r="H258" s="3" t="n">
        <v>3</v>
      </c>
      <c r="I258" s="3" t="n">
        <v>162</v>
      </c>
      <c r="J258" s="3" t="s">
        <v>495</v>
      </c>
      <c r="K258" s="8" t="n">
        <v>2198200</v>
      </c>
      <c r="L258" s="8" t="n">
        <v>15000</v>
      </c>
      <c r="M258" s="8" t="n">
        <v>165990</v>
      </c>
      <c r="N258" s="8" t="n">
        <v>2379190</v>
      </c>
      <c r="O258" s="3" t="s">
        <v>57</v>
      </c>
      <c r="P258" s="3" t="s">
        <v>58</v>
      </c>
      <c r="Q258" s="3" t="s">
        <v>59</v>
      </c>
      <c r="R258" s="3" t="str">
        <f aca="false">IF(Q258="pass","No","Yes")</f>
        <v>Yes</v>
      </c>
      <c r="S258" s="3" t="s">
        <v>60</v>
      </c>
      <c r="T258" s="3" t="s">
        <v>61</v>
      </c>
      <c r="U258" s="3" t="s">
        <v>496</v>
      </c>
      <c r="V258" s="9" t="n">
        <v>32.946</v>
      </c>
    </row>
    <row r="259" customFormat="false" ht="15" hidden="false" customHeight="true" outlineLevel="0" collapsed="false">
      <c r="A259" s="3" t="n">
        <v>258</v>
      </c>
      <c r="B259" s="3" t="n">
        <v>6</v>
      </c>
      <c r="C259" s="3" t="s">
        <v>89</v>
      </c>
      <c r="D259" s="3" t="s">
        <v>90</v>
      </c>
      <c r="E259" s="3" t="s">
        <v>91</v>
      </c>
      <c r="F259" s="3" t="s">
        <v>92</v>
      </c>
      <c r="G259" s="3" t="s">
        <v>67</v>
      </c>
      <c r="H259" s="3" t="n">
        <v>1</v>
      </c>
      <c r="I259" s="3" t="n">
        <v>12</v>
      </c>
      <c r="J259" s="3" t="s">
        <v>497</v>
      </c>
      <c r="K259" s="8" t="n">
        <v>456000</v>
      </c>
      <c r="L259" s="8" t="n">
        <v>4500</v>
      </c>
      <c r="M259" s="8" t="n">
        <v>34537.5</v>
      </c>
      <c r="N259" s="8" t="n">
        <v>495037.5</v>
      </c>
      <c r="O259" s="3" t="s">
        <v>76</v>
      </c>
      <c r="P259" s="3" t="s">
        <v>58</v>
      </c>
      <c r="Q259" s="3" t="s">
        <v>69</v>
      </c>
      <c r="R259" s="3" t="str">
        <f aca="false">IF(Q259="pass","No","Yes")</f>
        <v>No</v>
      </c>
      <c r="S259" s="3" t="s">
        <v>60</v>
      </c>
      <c r="T259" s="3"/>
      <c r="U259" s="3"/>
      <c r="V259" s="9" t="n">
        <v>10.831</v>
      </c>
    </row>
    <row r="260" customFormat="false" ht="15" hidden="false" customHeight="true" outlineLevel="0" collapsed="false">
      <c r="A260" s="3" t="n">
        <v>259</v>
      </c>
      <c r="B260" s="3" t="n">
        <v>6</v>
      </c>
      <c r="C260" s="3" t="s">
        <v>119</v>
      </c>
      <c r="D260" s="3" t="s">
        <v>120</v>
      </c>
      <c r="E260" s="3" t="s">
        <v>121</v>
      </c>
      <c r="F260" s="3" t="s">
        <v>122</v>
      </c>
      <c r="G260" s="3" t="s">
        <v>123</v>
      </c>
      <c r="H260" s="3" t="n">
        <v>1</v>
      </c>
      <c r="I260" s="3" t="n">
        <v>2</v>
      </c>
      <c r="J260" s="3" t="s">
        <v>255</v>
      </c>
      <c r="K260" s="8" t="n">
        <v>8200</v>
      </c>
      <c r="L260" s="8" t="n">
        <v>5000</v>
      </c>
      <c r="M260" s="8" t="n">
        <v>990</v>
      </c>
      <c r="N260" s="8" t="n">
        <v>14190</v>
      </c>
      <c r="O260" s="3" t="s">
        <v>118</v>
      </c>
      <c r="P260" s="3" t="s">
        <v>58</v>
      </c>
      <c r="Q260" s="3" t="s">
        <v>69</v>
      </c>
      <c r="R260" s="3" t="str">
        <f aca="false">IF(Q260="pass","No","Yes")</f>
        <v>No</v>
      </c>
      <c r="S260" s="3" t="s">
        <v>60</v>
      </c>
      <c r="T260" s="3"/>
      <c r="U260" s="3"/>
      <c r="V260" s="9" t="n">
        <v>11.917</v>
      </c>
    </row>
    <row r="261" customFormat="false" ht="15" hidden="false" customHeight="true" outlineLevel="0" collapsed="false">
      <c r="A261" s="3" t="n">
        <v>260</v>
      </c>
      <c r="B261" s="3" t="n">
        <v>6</v>
      </c>
      <c r="C261" s="3" t="s">
        <v>100</v>
      </c>
      <c r="D261" s="3" t="s">
        <v>101</v>
      </c>
      <c r="E261" s="3" t="s">
        <v>102</v>
      </c>
      <c r="F261" s="3" t="s">
        <v>103</v>
      </c>
      <c r="G261" s="3" t="s">
        <v>67</v>
      </c>
      <c r="H261" s="3" t="n">
        <v>3</v>
      </c>
      <c r="I261" s="3" t="n">
        <v>834</v>
      </c>
      <c r="J261" s="3" t="s">
        <v>498</v>
      </c>
      <c r="K261" s="8" t="n">
        <v>11971900</v>
      </c>
      <c r="L261" s="8" t="n">
        <v>4500</v>
      </c>
      <c r="M261" s="8" t="n">
        <v>898230</v>
      </c>
      <c r="N261" s="8" t="n">
        <v>12874630</v>
      </c>
      <c r="O261" s="3" t="s">
        <v>159</v>
      </c>
      <c r="P261" s="3" t="s">
        <v>84</v>
      </c>
      <c r="Q261" s="3" t="s">
        <v>85</v>
      </c>
      <c r="R261" s="3" t="str">
        <f aca="false">IF(Q261="pass","No","Yes")</f>
        <v>Yes</v>
      </c>
      <c r="S261" s="3" t="s">
        <v>86</v>
      </c>
      <c r="T261" s="3" t="s">
        <v>160</v>
      </c>
      <c r="U261" s="3" t="s">
        <v>161</v>
      </c>
      <c r="V261" s="9" t="n">
        <v>24.759</v>
      </c>
    </row>
    <row r="262" customFormat="false" ht="15" hidden="false" customHeight="true" outlineLevel="0" collapsed="false">
      <c r="A262" s="3" t="n">
        <v>261</v>
      </c>
      <c r="B262" s="3" t="n">
        <v>6</v>
      </c>
      <c r="C262" s="3" t="s">
        <v>51</v>
      </c>
      <c r="D262" s="3" t="s">
        <v>52</v>
      </c>
      <c r="E262" s="3" t="s">
        <v>53</v>
      </c>
      <c r="F262" s="3" t="s">
        <v>54</v>
      </c>
      <c r="G262" s="3" t="s">
        <v>55</v>
      </c>
      <c r="H262" s="3" t="n">
        <v>3</v>
      </c>
      <c r="I262" s="3" t="n">
        <v>86</v>
      </c>
      <c r="J262" s="3" t="s">
        <v>499</v>
      </c>
      <c r="K262" s="8" t="n">
        <v>1631600</v>
      </c>
      <c r="L262" s="8" t="n">
        <v>6000</v>
      </c>
      <c r="M262" s="8" t="n">
        <v>122820</v>
      </c>
      <c r="N262" s="8" t="n">
        <v>1760420</v>
      </c>
      <c r="O262" s="3" t="s">
        <v>57</v>
      </c>
      <c r="P262" s="3" t="s">
        <v>58</v>
      </c>
      <c r="Q262" s="3" t="s">
        <v>69</v>
      </c>
      <c r="R262" s="3" t="str">
        <f aca="false">IF(Q262="pass","No","Yes")</f>
        <v>No</v>
      </c>
      <c r="S262" s="3" t="s">
        <v>60</v>
      </c>
      <c r="T262" s="3"/>
      <c r="U262" s="3"/>
      <c r="V262" s="9" t="n">
        <v>26.817</v>
      </c>
    </row>
    <row r="263" customFormat="false" ht="15" hidden="false" customHeight="true" outlineLevel="0" collapsed="false">
      <c r="A263" s="3" t="n">
        <v>262</v>
      </c>
      <c r="B263" s="3" t="n">
        <v>6</v>
      </c>
      <c r="C263" s="3" t="s">
        <v>237</v>
      </c>
      <c r="D263" s="3" t="s">
        <v>238</v>
      </c>
      <c r="E263" s="3" t="s">
        <v>239</v>
      </c>
      <c r="F263" s="3" t="s">
        <v>240</v>
      </c>
      <c r="G263" s="3" t="s">
        <v>116</v>
      </c>
      <c r="H263" s="3" t="n">
        <v>2</v>
      </c>
      <c r="I263" s="3" t="n">
        <v>12</v>
      </c>
      <c r="J263" s="3" t="s">
        <v>500</v>
      </c>
      <c r="K263" s="8" t="n">
        <v>367800</v>
      </c>
      <c r="L263" s="8" t="n">
        <v>15000</v>
      </c>
      <c r="M263" s="8" t="n">
        <v>28710</v>
      </c>
      <c r="N263" s="8" t="n">
        <v>411510</v>
      </c>
      <c r="O263" s="3" t="s">
        <v>57</v>
      </c>
      <c r="P263" s="3" t="s">
        <v>58</v>
      </c>
      <c r="Q263" s="3" t="s">
        <v>69</v>
      </c>
      <c r="R263" s="3" t="str">
        <f aca="false">IF(Q263="pass","No","Yes")</f>
        <v>No</v>
      </c>
      <c r="S263" s="3" t="s">
        <v>60</v>
      </c>
      <c r="T263" s="3"/>
      <c r="U263" s="3"/>
      <c r="V263" s="9" t="n">
        <v>17.249</v>
      </c>
    </row>
    <row r="264" customFormat="false" ht="15" hidden="false" customHeight="true" outlineLevel="0" collapsed="false">
      <c r="A264" s="3" t="n">
        <v>263</v>
      </c>
      <c r="B264" s="3" t="n">
        <v>6</v>
      </c>
      <c r="C264" s="3" t="s">
        <v>100</v>
      </c>
      <c r="D264" s="3" t="s">
        <v>101</v>
      </c>
      <c r="E264" s="3" t="s">
        <v>102</v>
      </c>
      <c r="F264" s="3" t="s">
        <v>103</v>
      </c>
      <c r="G264" s="3" t="s">
        <v>67</v>
      </c>
      <c r="H264" s="3" t="n">
        <v>3</v>
      </c>
      <c r="I264" s="3" t="n">
        <v>25</v>
      </c>
      <c r="J264" s="3" t="s">
        <v>501</v>
      </c>
      <c r="K264" s="8" t="n">
        <v>550700</v>
      </c>
      <c r="L264" s="8" t="n">
        <v>4500</v>
      </c>
      <c r="M264" s="8" t="n">
        <v>41640</v>
      </c>
      <c r="N264" s="8" t="n">
        <v>596840</v>
      </c>
      <c r="O264" s="3" t="s">
        <v>57</v>
      </c>
      <c r="P264" s="3" t="s">
        <v>58</v>
      </c>
      <c r="Q264" s="3" t="s">
        <v>69</v>
      </c>
      <c r="R264" s="3" t="str">
        <f aca="false">IF(Q264="pass","No","Yes")</f>
        <v>No</v>
      </c>
      <c r="S264" s="3" t="s">
        <v>60</v>
      </c>
      <c r="T264" s="3"/>
      <c r="U264" s="3"/>
      <c r="V264" s="9" t="n">
        <v>26.024</v>
      </c>
    </row>
    <row r="265" customFormat="false" ht="15" hidden="false" customHeight="true" outlineLevel="0" collapsed="false">
      <c r="A265" s="3" t="n">
        <v>264</v>
      </c>
      <c r="B265" s="3" t="n">
        <v>6</v>
      </c>
      <c r="C265" s="3" t="s">
        <v>77</v>
      </c>
      <c r="D265" s="3" t="s">
        <v>78</v>
      </c>
      <c r="E265" s="3" t="s">
        <v>79</v>
      </c>
      <c r="F265" s="3" t="s">
        <v>80</v>
      </c>
      <c r="G265" s="3" t="s">
        <v>81</v>
      </c>
      <c r="H265" s="3" t="n">
        <v>1</v>
      </c>
      <c r="I265" s="3" t="n">
        <v>82</v>
      </c>
      <c r="J265" s="3" t="s">
        <v>502</v>
      </c>
      <c r="K265" s="8" t="n">
        <v>779000</v>
      </c>
      <c r="L265" s="8" t="n">
        <v>4000</v>
      </c>
      <c r="M265" s="8" t="n">
        <v>58725</v>
      </c>
      <c r="N265" s="8" t="n">
        <v>841725</v>
      </c>
      <c r="O265" s="3" t="s">
        <v>57</v>
      </c>
      <c r="P265" s="3" t="s">
        <v>58</v>
      </c>
      <c r="Q265" s="3" t="s">
        <v>69</v>
      </c>
      <c r="R265" s="3" t="str">
        <f aca="false">IF(Q265="pass","No","Yes")</f>
        <v>No</v>
      </c>
      <c r="S265" s="3" t="s">
        <v>60</v>
      </c>
      <c r="T265" s="3"/>
      <c r="U265" s="3"/>
      <c r="V265" s="9" t="n">
        <v>24.376</v>
      </c>
    </row>
    <row r="266" customFormat="false" ht="15" hidden="false" customHeight="true" outlineLevel="0" collapsed="false">
      <c r="A266" s="3" t="n">
        <v>265</v>
      </c>
      <c r="B266" s="3" t="n">
        <v>6</v>
      </c>
      <c r="C266" s="3" t="s">
        <v>177</v>
      </c>
      <c r="D266" s="3" t="s">
        <v>178</v>
      </c>
      <c r="E266" s="3" t="s">
        <v>179</v>
      </c>
      <c r="F266" s="3" t="s">
        <v>180</v>
      </c>
      <c r="G266" s="3" t="s">
        <v>81</v>
      </c>
      <c r="H266" s="3" t="n">
        <v>3</v>
      </c>
      <c r="I266" s="3" t="n">
        <v>211</v>
      </c>
      <c r="J266" s="3" t="s">
        <v>503</v>
      </c>
      <c r="K266" s="8" t="n">
        <v>2076200</v>
      </c>
      <c r="L266" s="8" t="n">
        <v>4000</v>
      </c>
      <c r="M266" s="8" t="n">
        <v>156015</v>
      </c>
      <c r="N266" s="8" t="n">
        <v>2236215</v>
      </c>
      <c r="O266" s="3" t="s">
        <v>57</v>
      </c>
      <c r="P266" s="3" t="s">
        <v>58</v>
      </c>
      <c r="Q266" s="3" t="s">
        <v>69</v>
      </c>
      <c r="R266" s="3" t="str">
        <f aca="false">IF(Q266="pass","No","Yes")</f>
        <v>No</v>
      </c>
      <c r="S266" s="3" t="s">
        <v>60</v>
      </c>
      <c r="T266" s="3"/>
      <c r="U266" s="3"/>
      <c r="V266" s="9" t="n">
        <v>36.855</v>
      </c>
    </row>
    <row r="267" customFormat="false" ht="15" hidden="false" customHeight="true" outlineLevel="0" collapsed="false">
      <c r="A267" s="3" t="n">
        <v>266</v>
      </c>
      <c r="B267" s="3" t="n">
        <v>6</v>
      </c>
      <c r="C267" s="3" t="s">
        <v>166</v>
      </c>
      <c r="D267" s="3" t="s">
        <v>167</v>
      </c>
      <c r="E267" s="3" t="s">
        <v>168</v>
      </c>
      <c r="F267" s="3" t="s">
        <v>169</v>
      </c>
      <c r="G267" s="3" t="s">
        <v>74</v>
      </c>
      <c r="H267" s="3" t="n">
        <v>2</v>
      </c>
      <c r="I267" s="3" t="n">
        <v>122</v>
      </c>
      <c r="J267" s="3" t="s">
        <v>504</v>
      </c>
      <c r="K267" s="8" t="n">
        <v>1312000</v>
      </c>
      <c r="L267" s="8" t="n">
        <v>9000</v>
      </c>
      <c r="M267" s="8" t="n">
        <v>99075</v>
      </c>
      <c r="N267" s="8" t="n">
        <v>1420075</v>
      </c>
      <c r="O267" s="3" t="s">
        <v>57</v>
      </c>
      <c r="P267" s="3" t="s">
        <v>58</v>
      </c>
      <c r="Q267" s="3" t="s">
        <v>69</v>
      </c>
      <c r="R267" s="3" t="str">
        <f aca="false">IF(Q267="pass","No","Yes")</f>
        <v>No</v>
      </c>
      <c r="S267" s="3" t="s">
        <v>60</v>
      </c>
      <c r="T267" s="3"/>
      <c r="U267" s="3"/>
      <c r="V267" s="9" t="n">
        <v>33.372</v>
      </c>
    </row>
    <row r="268" customFormat="false" ht="15" hidden="false" customHeight="true" outlineLevel="0" collapsed="false">
      <c r="A268" s="3" t="n">
        <v>267</v>
      </c>
      <c r="B268" s="3" t="n">
        <v>6</v>
      </c>
      <c r="C268" s="3" t="s">
        <v>100</v>
      </c>
      <c r="D268" s="3" t="s">
        <v>101</v>
      </c>
      <c r="E268" s="3" t="s">
        <v>102</v>
      </c>
      <c r="F268" s="3" t="s">
        <v>103</v>
      </c>
      <c r="G268" s="3" t="s">
        <v>67</v>
      </c>
      <c r="H268" s="3" t="n">
        <v>2</v>
      </c>
      <c r="I268" s="3" t="n">
        <v>95</v>
      </c>
      <c r="J268" s="3" t="s">
        <v>505</v>
      </c>
      <c r="K268" s="8" t="n">
        <v>826800</v>
      </c>
      <c r="L268" s="8" t="n">
        <v>4500</v>
      </c>
      <c r="M268" s="8" t="n">
        <v>62347.5</v>
      </c>
      <c r="N268" s="8" t="n">
        <v>893647.5</v>
      </c>
      <c r="O268" s="3" t="s">
        <v>94</v>
      </c>
      <c r="P268" s="3" t="s">
        <v>84</v>
      </c>
      <c r="Q268" s="3" t="s">
        <v>85</v>
      </c>
      <c r="R268" s="3" t="str">
        <f aca="false">IF(Q268="pass","No","Yes")</f>
        <v>Yes</v>
      </c>
      <c r="S268" s="3" t="s">
        <v>86</v>
      </c>
      <c r="T268" s="3" t="s">
        <v>95</v>
      </c>
      <c r="U268" s="3" t="s">
        <v>506</v>
      </c>
      <c r="V268" s="9" t="n">
        <v>28.202</v>
      </c>
    </row>
    <row r="269" customFormat="false" ht="15" hidden="false" customHeight="true" outlineLevel="0" collapsed="false">
      <c r="A269" s="3" t="n">
        <v>268</v>
      </c>
      <c r="B269" s="3" t="n">
        <v>6</v>
      </c>
      <c r="C269" s="3" t="s">
        <v>191</v>
      </c>
      <c r="D269" s="3" t="s">
        <v>192</v>
      </c>
      <c r="E269" s="3" t="s">
        <v>193</v>
      </c>
      <c r="F269" s="3" t="s">
        <v>194</v>
      </c>
      <c r="G269" s="3" t="s">
        <v>116</v>
      </c>
      <c r="H269" s="3" t="n">
        <v>1</v>
      </c>
      <c r="I269" s="3" t="n">
        <v>35</v>
      </c>
      <c r="J269" s="3" t="s">
        <v>507</v>
      </c>
      <c r="K269" s="8" t="n">
        <v>301000</v>
      </c>
      <c r="L269" s="8" t="n">
        <v>15000</v>
      </c>
      <c r="M269" s="8" t="n">
        <v>23700</v>
      </c>
      <c r="N269" s="8" t="n">
        <v>339700</v>
      </c>
      <c r="O269" s="3" t="s">
        <v>94</v>
      </c>
      <c r="P269" s="3" t="s">
        <v>84</v>
      </c>
      <c r="Q269" s="3" t="s">
        <v>85</v>
      </c>
      <c r="R269" s="3" t="str">
        <f aca="false">IF(Q269="pass","No","Yes")</f>
        <v>Yes</v>
      </c>
      <c r="S269" s="3" t="s">
        <v>86</v>
      </c>
      <c r="T269" s="3" t="s">
        <v>253</v>
      </c>
      <c r="U269" s="3" t="s">
        <v>254</v>
      </c>
      <c r="V269" s="9" t="n">
        <v>11.219</v>
      </c>
    </row>
    <row r="270" customFormat="false" ht="15" hidden="false" customHeight="true" outlineLevel="0" collapsed="false">
      <c r="A270" s="3" t="n">
        <v>269</v>
      </c>
      <c r="B270" s="3" t="n">
        <v>6</v>
      </c>
      <c r="C270" s="3" t="s">
        <v>63</v>
      </c>
      <c r="D270" s="3" t="s">
        <v>64</v>
      </c>
      <c r="E270" s="3" t="s">
        <v>65</v>
      </c>
      <c r="F270" s="3" t="s">
        <v>66</v>
      </c>
      <c r="G270" s="3" t="s">
        <v>146</v>
      </c>
      <c r="H270" s="3" t="n">
        <v>3</v>
      </c>
      <c r="I270" s="3" t="n">
        <v>136</v>
      </c>
      <c r="J270" s="3" t="s">
        <v>508</v>
      </c>
      <c r="K270" s="8" t="n">
        <v>1749600</v>
      </c>
      <c r="L270" s="8" t="n">
        <v>0</v>
      </c>
      <c r="M270" s="8" t="n">
        <v>131220</v>
      </c>
      <c r="N270" s="8" t="n">
        <v>1880820</v>
      </c>
      <c r="O270" s="3" t="s">
        <v>148</v>
      </c>
      <c r="P270" s="3" t="s">
        <v>84</v>
      </c>
      <c r="Q270" s="3" t="s">
        <v>85</v>
      </c>
      <c r="R270" s="3" t="str">
        <f aca="false">IF(Q270="pass","No","Yes")</f>
        <v>Yes</v>
      </c>
      <c r="S270" s="3" t="s">
        <v>86</v>
      </c>
      <c r="T270" s="3" t="s">
        <v>374</v>
      </c>
      <c r="U270" s="3" t="s">
        <v>509</v>
      </c>
      <c r="V270" s="9" t="n">
        <v>43.049</v>
      </c>
    </row>
    <row r="271" customFormat="false" ht="15" hidden="false" customHeight="true" outlineLevel="0" collapsed="false">
      <c r="A271" s="3" t="n">
        <v>270</v>
      </c>
      <c r="B271" s="3" t="n">
        <v>6</v>
      </c>
      <c r="C271" s="3" t="s">
        <v>77</v>
      </c>
      <c r="D271" s="3" t="s">
        <v>78</v>
      </c>
      <c r="E271" s="3" t="s">
        <v>79</v>
      </c>
      <c r="F271" s="3" t="s">
        <v>80</v>
      </c>
      <c r="G271" s="3" t="s">
        <v>81</v>
      </c>
      <c r="H271" s="3" t="n">
        <v>2</v>
      </c>
      <c r="I271" s="3" t="n">
        <v>140</v>
      </c>
      <c r="J271" s="3" t="s">
        <v>510</v>
      </c>
      <c r="K271" s="8" t="n">
        <v>1249500</v>
      </c>
      <c r="L271" s="8" t="n">
        <v>4000</v>
      </c>
      <c r="M271" s="8" t="n">
        <v>94012.5</v>
      </c>
      <c r="N271" s="8" t="n">
        <v>1347512.5</v>
      </c>
      <c r="O271" s="3" t="s">
        <v>57</v>
      </c>
      <c r="P271" s="3" t="s">
        <v>58</v>
      </c>
      <c r="Q271" s="3" t="s">
        <v>69</v>
      </c>
      <c r="R271" s="3" t="str">
        <f aca="false">IF(Q271="pass","No","Yes")</f>
        <v>No</v>
      </c>
      <c r="S271" s="3" t="s">
        <v>60</v>
      </c>
      <c r="T271" s="3"/>
      <c r="U271" s="3"/>
      <c r="V271" s="9" t="n">
        <v>43.93</v>
      </c>
    </row>
    <row r="272" customFormat="false" ht="15" hidden="false" customHeight="true" outlineLevel="0" collapsed="false">
      <c r="A272" s="3" t="n">
        <v>271</v>
      </c>
      <c r="B272" s="3" t="n">
        <v>6</v>
      </c>
      <c r="C272" s="3" t="s">
        <v>119</v>
      </c>
      <c r="D272" s="3" t="s">
        <v>120</v>
      </c>
      <c r="E272" s="3" t="s">
        <v>121</v>
      </c>
      <c r="F272" s="3" t="s">
        <v>122</v>
      </c>
      <c r="G272" s="3" t="s">
        <v>123</v>
      </c>
      <c r="H272" s="3" t="n">
        <v>3</v>
      </c>
      <c r="I272" s="3" t="n">
        <v>134</v>
      </c>
      <c r="J272" s="3" t="s">
        <v>511</v>
      </c>
      <c r="K272" s="8" t="n">
        <v>1382000</v>
      </c>
      <c r="L272" s="8" t="n">
        <v>5000</v>
      </c>
      <c r="M272" s="8" t="n">
        <v>104025</v>
      </c>
      <c r="N272" s="8" t="n">
        <v>1491025</v>
      </c>
      <c r="O272" s="3" t="s">
        <v>152</v>
      </c>
      <c r="P272" s="3" t="s">
        <v>84</v>
      </c>
      <c r="Q272" s="3" t="s">
        <v>85</v>
      </c>
      <c r="R272" s="3" t="str">
        <f aca="false">IF(Q272="pass","No","Yes")</f>
        <v>Yes</v>
      </c>
      <c r="S272" s="3" t="s">
        <v>86</v>
      </c>
      <c r="T272" s="3" t="s">
        <v>183</v>
      </c>
      <c r="U272" s="3" t="s">
        <v>512</v>
      </c>
      <c r="V272" s="9" t="n">
        <v>37.48</v>
      </c>
    </row>
    <row r="273" customFormat="false" ht="15" hidden="false" customHeight="true" outlineLevel="0" collapsed="false">
      <c r="A273" s="3" t="n">
        <v>272</v>
      </c>
      <c r="B273" s="3" t="n">
        <v>6</v>
      </c>
      <c r="C273" s="3" t="s">
        <v>191</v>
      </c>
      <c r="D273" s="3" t="s">
        <v>192</v>
      </c>
      <c r="E273" s="3" t="s">
        <v>193</v>
      </c>
      <c r="F273" s="3" t="s">
        <v>194</v>
      </c>
      <c r="G273" s="3" t="s">
        <v>116</v>
      </c>
      <c r="H273" s="3" t="n">
        <v>2</v>
      </c>
      <c r="I273" s="3" t="n">
        <v>78</v>
      </c>
      <c r="J273" s="3" t="s">
        <v>513</v>
      </c>
      <c r="K273" s="8" t="n">
        <v>791600</v>
      </c>
      <c r="L273" s="8" t="n">
        <v>15000</v>
      </c>
      <c r="M273" s="8" t="n">
        <v>60495</v>
      </c>
      <c r="N273" s="8" t="n">
        <v>867095</v>
      </c>
      <c r="O273" s="3" t="s">
        <v>57</v>
      </c>
      <c r="P273" s="3" t="s">
        <v>58</v>
      </c>
      <c r="Q273" s="3" t="s">
        <v>69</v>
      </c>
      <c r="R273" s="3" t="str">
        <f aca="false">IF(Q273="pass","No","Yes")</f>
        <v>No</v>
      </c>
      <c r="S273" s="3" t="s">
        <v>60</v>
      </c>
      <c r="T273" s="3"/>
      <c r="U273" s="3"/>
      <c r="V273" s="9" t="n">
        <v>31.615</v>
      </c>
    </row>
    <row r="274" customFormat="false" ht="15" hidden="false" customHeight="true" outlineLevel="0" collapsed="false">
      <c r="A274" s="3" t="n">
        <v>273</v>
      </c>
      <c r="B274" s="3" t="n">
        <v>6</v>
      </c>
      <c r="C274" s="3" t="s">
        <v>154</v>
      </c>
      <c r="D274" s="3" t="s">
        <v>155</v>
      </c>
      <c r="E274" s="3" t="s">
        <v>156</v>
      </c>
      <c r="F274" s="3" t="s">
        <v>157</v>
      </c>
      <c r="G274" s="3" t="s">
        <v>123</v>
      </c>
      <c r="H274" s="3" t="n">
        <v>3</v>
      </c>
      <c r="I274" s="3" t="n">
        <v>37</v>
      </c>
      <c r="J274" s="3" t="s">
        <v>514</v>
      </c>
      <c r="K274" s="8" t="n">
        <v>843200</v>
      </c>
      <c r="L274" s="8" t="n">
        <v>5000</v>
      </c>
      <c r="M274" s="8" t="n">
        <v>63615</v>
      </c>
      <c r="N274" s="8" t="n">
        <v>911815</v>
      </c>
      <c r="O274" s="3" t="s">
        <v>94</v>
      </c>
      <c r="P274" s="3" t="s">
        <v>84</v>
      </c>
      <c r="Q274" s="3" t="s">
        <v>85</v>
      </c>
      <c r="R274" s="3" t="str">
        <f aca="false">IF(Q274="pass","No","Yes")</f>
        <v>Yes</v>
      </c>
      <c r="S274" s="3" t="s">
        <v>86</v>
      </c>
      <c r="T274" s="3" t="s">
        <v>253</v>
      </c>
      <c r="U274" s="3" t="s">
        <v>254</v>
      </c>
      <c r="V274" s="9" t="n">
        <v>24.978</v>
      </c>
    </row>
    <row r="275" customFormat="false" ht="15" hidden="false" customHeight="true" outlineLevel="0" collapsed="false">
      <c r="A275" s="3" t="n">
        <v>274</v>
      </c>
      <c r="B275" s="3" t="n">
        <v>6</v>
      </c>
      <c r="C275" s="3" t="s">
        <v>186</v>
      </c>
      <c r="D275" s="3" t="s">
        <v>187</v>
      </c>
      <c r="E275" s="3" t="s">
        <v>188</v>
      </c>
      <c r="F275" s="3" t="s">
        <v>189</v>
      </c>
      <c r="G275" s="3" t="s">
        <v>123</v>
      </c>
      <c r="H275" s="3" t="n">
        <v>1</v>
      </c>
      <c r="I275" s="3" t="n">
        <v>17</v>
      </c>
      <c r="J275" s="3" t="s">
        <v>515</v>
      </c>
      <c r="K275" s="8" t="n">
        <v>646000</v>
      </c>
      <c r="L275" s="8" t="n">
        <v>5000</v>
      </c>
      <c r="M275" s="8" t="n">
        <v>48825</v>
      </c>
      <c r="N275" s="8" t="n">
        <v>699825</v>
      </c>
      <c r="O275" s="3" t="s">
        <v>76</v>
      </c>
      <c r="P275" s="3" t="s">
        <v>58</v>
      </c>
      <c r="Q275" s="3" t="s">
        <v>69</v>
      </c>
      <c r="R275" s="3" t="str">
        <f aca="false">IF(Q275="pass","No","Yes")</f>
        <v>No</v>
      </c>
      <c r="S275" s="3" t="s">
        <v>60</v>
      </c>
      <c r="T275" s="3"/>
      <c r="U275" s="3"/>
      <c r="V275" s="9" t="n">
        <v>12.067</v>
      </c>
    </row>
    <row r="276" customFormat="false" ht="15" hidden="false" customHeight="true" outlineLevel="0" collapsed="false">
      <c r="A276" s="3" t="n">
        <v>275</v>
      </c>
      <c r="B276" s="3" t="n">
        <v>6</v>
      </c>
      <c r="C276" s="3" t="s">
        <v>142</v>
      </c>
      <c r="D276" s="3" t="s">
        <v>143</v>
      </c>
      <c r="E276" s="3" t="s">
        <v>144</v>
      </c>
      <c r="F276" s="3" t="s">
        <v>145</v>
      </c>
      <c r="G276" s="3" t="s">
        <v>74</v>
      </c>
      <c r="H276" s="3" t="n">
        <v>4</v>
      </c>
      <c r="I276" s="3" t="n">
        <v>44</v>
      </c>
      <c r="J276" s="3" t="s">
        <v>516</v>
      </c>
      <c r="K276" s="8" t="n">
        <v>696000</v>
      </c>
      <c r="L276" s="8" t="n">
        <v>9000</v>
      </c>
      <c r="M276" s="8" t="n">
        <v>52875</v>
      </c>
      <c r="N276" s="8" t="n">
        <v>757875</v>
      </c>
      <c r="O276" s="3" t="s">
        <v>83</v>
      </c>
      <c r="P276" s="3" t="s">
        <v>84</v>
      </c>
      <c r="Q276" s="3" t="s">
        <v>85</v>
      </c>
      <c r="R276" s="3" t="str">
        <f aca="false">IF(Q276="pass","No","Yes")</f>
        <v>Yes</v>
      </c>
      <c r="S276" s="3" t="s">
        <v>86</v>
      </c>
      <c r="T276" s="3" t="s">
        <v>87</v>
      </c>
      <c r="U276" s="3" t="s">
        <v>517</v>
      </c>
      <c r="V276" s="9" t="n">
        <v>35.048</v>
      </c>
    </row>
    <row r="277" customFormat="false" ht="15" hidden="false" customHeight="true" outlineLevel="0" collapsed="false">
      <c r="A277" s="3" t="n">
        <v>276</v>
      </c>
      <c r="B277" s="3" t="n">
        <v>6</v>
      </c>
      <c r="C277" s="3" t="s">
        <v>191</v>
      </c>
      <c r="D277" s="3" t="s">
        <v>192</v>
      </c>
      <c r="E277" s="3" t="s">
        <v>193</v>
      </c>
      <c r="F277" s="3" t="s">
        <v>194</v>
      </c>
      <c r="G277" s="3" t="s">
        <v>116</v>
      </c>
      <c r="H277" s="3" t="n">
        <v>1</v>
      </c>
      <c r="I277" s="3" t="n">
        <v>205</v>
      </c>
      <c r="J277" s="3" t="s">
        <v>518</v>
      </c>
      <c r="K277" s="8" t="n">
        <v>1947500</v>
      </c>
      <c r="L277" s="8" t="n">
        <v>15000</v>
      </c>
      <c r="M277" s="8" t="n">
        <v>147187.5</v>
      </c>
      <c r="N277" s="8" t="n">
        <v>2109687.5</v>
      </c>
      <c r="O277" s="3" t="s">
        <v>110</v>
      </c>
      <c r="P277" s="3" t="s">
        <v>58</v>
      </c>
      <c r="Q277" s="3" t="s">
        <v>59</v>
      </c>
      <c r="R277" s="3" t="str">
        <f aca="false">IF(Q277="pass","No","Yes")</f>
        <v>Yes</v>
      </c>
      <c r="S277" s="3" t="s">
        <v>60</v>
      </c>
      <c r="T277" s="3" t="s">
        <v>61</v>
      </c>
      <c r="U277" s="3" t="s">
        <v>519</v>
      </c>
      <c r="V277" s="9" t="n">
        <v>25.575</v>
      </c>
    </row>
    <row r="278" customFormat="false" ht="15" hidden="false" customHeight="true" outlineLevel="0" collapsed="false">
      <c r="A278" s="3" t="n">
        <v>277</v>
      </c>
      <c r="B278" s="3" t="n">
        <v>6</v>
      </c>
      <c r="C278" s="3" t="s">
        <v>77</v>
      </c>
      <c r="D278" s="3" t="s">
        <v>78</v>
      </c>
      <c r="E278" s="3" t="s">
        <v>79</v>
      </c>
      <c r="F278" s="3" t="s">
        <v>80</v>
      </c>
      <c r="G278" s="3" t="s">
        <v>81</v>
      </c>
      <c r="H278" s="3" t="n">
        <v>3</v>
      </c>
      <c r="I278" s="3" t="n">
        <v>53</v>
      </c>
      <c r="J278" s="3" t="s">
        <v>520</v>
      </c>
      <c r="K278" s="8" t="n">
        <v>1155000</v>
      </c>
      <c r="L278" s="8" t="n">
        <v>4000</v>
      </c>
      <c r="M278" s="8" t="n">
        <v>86925</v>
      </c>
      <c r="N278" s="8" t="n">
        <v>1245925</v>
      </c>
      <c r="O278" s="3" t="s">
        <v>152</v>
      </c>
      <c r="P278" s="3" t="s">
        <v>84</v>
      </c>
      <c r="Q278" s="3" t="s">
        <v>85</v>
      </c>
      <c r="R278" s="3" t="str">
        <f aca="false">IF(Q278="pass","No","Yes")</f>
        <v>Yes</v>
      </c>
      <c r="S278" s="3" t="s">
        <v>86</v>
      </c>
      <c r="T278" s="3" t="s">
        <v>87</v>
      </c>
      <c r="U278" s="3" t="s">
        <v>475</v>
      </c>
      <c r="V278" s="9" t="n">
        <v>27.321</v>
      </c>
    </row>
    <row r="279" customFormat="false" ht="15" hidden="false" customHeight="true" outlineLevel="0" collapsed="false">
      <c r="A279" s="3" t="n">
        <v>278</v>
      </c>
      <c r="B279" s="3" t="n">
        <v>6</v>
      </c>
      <c r="C279" s="3" t="s">
        <v>186</v>
      </c>
      <c r="D279" s="3" t="s">
        <v>187</v>
      </c>
      <c r="E279" s="3" t="s">
        <v>188</v>
      </c>
      <c r="F279" s="3" t="s">
        <v>189</v>
      </c>
      <c r="G279" s="3" t="s">
        <v>123</v>
      </c>
      <c r="H279" s="3" t="n">
        <v>1</v>
      </c>
      <c r="I279" s="3" t="n">
        <v>149</v>
      </c>
      <c r="J279" s="3" t="s">
        <v>521</v>
      </c>
      <c r="K279" s="8" t="n">
        <v>1415500</v>
      </c>
      <c r="L279" s="8" t="n">
        <v>5000</v>
      </c>
      <c r="M279" s="8" t="n">
        <v>106537.5</v>
      </c>
      <c r="N279" s="8" t="n">
        <v>1527037.5</v>
      </c>
      <c r="O279" s="3" t="s">
        <v>57</v>
      </c>
      <c r="P279" s="3" t="s">
        <v>58</v>
      </c>
      <c r="Q279" s="3" t="s">
        <v>69</v>
      </c>
      <c r="R279" s="3" t="str">
        <f aca="false">IF(Q279="pass","No","Yes")</f>
        <v>No</v>
      </c>
      <c r="S279" s="3" t="s">
        <v>60</v>
      </c>
      <c r="T279" s="3"/>
      <c r="U279" s="3"/>
      <c r="V279" s="9" t="n">
        <v>26.493</v>
      </c>
    </row>
    <row r="280" customFormat="false" ht="15" hidden="false" customHeight="true" outlineLevel="0" collapsed="false">
      <c r="A280" s="3" t="n">
        <v>279</v>
      </c>
      <c r="B280" s="3" t="n">
        <v>6</v>
      </c>
      <c r="C280" s="3" t="s">
        <v>77</v>
      </c>
      <c r="D280" s="3" t="s">
        <v>78</v>
      </c>
      <c r="E280" s="3" t="s">
        <v>79</v>
      </c>
      <c r="F280" s="3" t="s">
        <v>80</v>
      </c>
      <c r="G280" s="3" t="s">
        <v>81</v>
      </c>
      <c r="H280" s="3" t="n">
        <v>3</v>
      </c>
      <c r="I280" s="3" t="n">
        <v>29</v>
      </c>
      <c r="J280" s="3" t="s">
        <v>522</v>
      </c>
      <c r="K280" s="8" t="n">
        <v>1249000</v>
      </c>
      <c r="L280" s="8" t="n">
        <v>4000</v>
      </c>
      <c r="M280" s="8" t="n">
        <v>93975</v>
      </c>
      <c r="N280" s="8" t="n">
        <v>1346975</v>
      </c>
      <c r="O280" s="3" t="s">
        <v>57</v>
      </c>
      <c r="P280" s="3" t="s">
        <v>58</v>
      </c>
      <c r="Q280" s="3" t="s">
        <v>69</v>
      </c>
      <c r="R280" s="3" t="str">
        <f aca="false">IF(Q280="pass","No","Yes")</f>
        <v>No</v>
      </c>
      <c r="S280" s="3" t="s">
        <v>60</v>
      </c>
      <c r="T280" s="3"/>
      <c r="U280" s="3"/>
      <c r="V280" s="9" t="n">
        <v>25.44</v>
      </c>
    </row>
    <row r="281" customFormat="false" ht="15" hidden="false" customHeight="true" outlineLevel="0" collapsed="false">
      <c r="A281" s="3" t="n">
        <v>280</v>
      </c>
      <c r="B281" s="3" t="n">
        <v>6</v>
      </c>
      <c r="C281" s="3" t="s">
        <v>191</v>
      </c>
      <c r="D281" s="3" t="s">
        <v>192</v>
      </c>
      <c r="E281" s="3" t="s">
        <v>193</v>
      </c>
      <c r="F281" s="3" t="s">
        <v>194</v>
      </c>
      <c r="G281" s="3" t="s">
        <v>116</v>
      </c>
      <c r="H281" s="3" t="n">
        <v>2</v>
      </c>
      <c r="I281" s="3" t="n">
        <v>526</v>
      </c>
      <c r="J281" s="3" t="s">
        <v>523</v>
      </c>
      <c r="K281" s="8" t="n">
        <v>4729400</v>
      </c>
      <c r="L281" s="8" t="n">
        <v>15000</v>
      </c>
      <c r="M281" s="8" t="n">
        <v>355830</v>
      </c>
      <c r="N281" s="8" t="n">
        <v>5100230</v>
      </c>
      <c r="O281" s="3" t="s">
        <v>159</v>
      </c>
      <c r="P281" s="3" t="s">
        <v>84</v>
      </c>
      <c r="Q281" s="3" t="s">
        <v>85</v>
      </c>
      <c r="R281" s="3" t="str">
        <f aca="false">IF(Q281="pass","No","Yes")</f>
        <v>Yes</v>
      </c>
      <c r="S281" s="3" t="s">
        <v>86</v>
      </c>
      <c r="T281" s="3" t="s">
        <v>160</v>
      </c>
      <c r="U281" s="3" t="s">
        <v>524</v>
      </c>
      <c r="V281" s="9" t="n">
        <v>19.703</v>
      </c>
    </row>
    <row r="282" customFormat="false" ht="15" hidden="false" customHeight="true" outlineLevel="0" collapsed="false">
      <c r="A282" s="3" t="n">
        <v>281</v>
      </c>
      <c r="B282" s="3" t="n">
        <v>6</v>
      </c>
      <c r="C282" s="3" t="s">
        <v>166</v>
      </c>
      <c r="D282" s="3" t="s">
        <v>167</v>
      </c>
      <c r="E282" s="3" t="s">
        <v>168</v>
      </c>
      <c r="F282" s="3" t="s">
        <v>169</v>
      </c>
      <c r="G282" s="3" t="s">
        <v>74</v>
      </c>
      <c r="H282" s="3" t="n">
        <v>4</v>
      </c>
      <c r="I282" s="3" t="n">
        <v>53</v>
      </c>
      <c r="J282" s="3" t="s">
        <v>525</v>
      </c>
      <c r="K282" s="8" t="n">
        <v>969600</v>
      </c>
      <c r="L282" s="8" t="n">
        <v>9000</v>
      </c>
      <c r="M282" s="8" t="n">
        <v>73395</v>
      </c>
      <c r="N282" s="8" t="n">
        <v>1051995</v>
      </c>
      <c r="O282" s="3" t="s">
        <v>272</v>
      </c>
      <c r="P282" s="3" t="s">
        <v>84</v>
      </c>
      <c r="Q282" s="3" t="s">
        <v>85</v>
      </c>
      <c r="R282" s="3" t="str">
        <f aca="false">IF(Q282="pass","No","Yes")</f>
        <v>Yes</v>
      </c>
      <c r="S282" s="3" t="s">
        <v>86</v>
      </c>
      <c r="T282" s="3" t="s">
        <v>273</v>
      </c>
      <c r="U282" s="3" t="s">
        <v>526</v>
      </c>
      <c r="V282" s="9" t="n">
        <v>38.898</v>
      </c>
    </row>
    <row r="283" customFormat="false" ht="15" hidden="false" customHeight="true" outlineLevel="0" collapsed="false">
      <c r="A283" s="3" t="n">
        <v>282</v>
      </c>
      <c r="B283" s="3" t="n">
        <v>6</v>
      </c>
      <c r="C283" s="3" t="s">
        <v>51</v>
      </c>
      <c r="D283" s="3" t="s">
        <v>52</v>
      </c>
      <c r="E283" s="3" t="s">
        <v>53</v>
      </c>
      <c r="F283" s="3" t="s">
        <v>54</v>
      </c>
      <c r="G283" s="3" t="s">
        <v>55</v>
      </c>
      <c r="H283" s="3" t="n">
        <v>2</v>
      </c>
      <c r="I283" s="3" t="n">
        <v>189</v>
      </c>
      <c r="J283" s="3" t="s">
        <v>527</v>
      </c>
      <c r="K283" s="8" t="n">
        <v>1655200</v>
      </c>
      <c r="L283" s="8" t="n">
        <v>6000</v>
      </c>
      <c r="M283" s="8" t="n">
        <v>124590</v>
      </c>
      <c r="N283" s="8" t="n">
        <v>1785790</v>
      </c>
      <c r="O283" s="3" t="s">
        <v>57</v>
      </c>
      <c r="P283" s="3" t="s">
        <v>58</v>
      </c>
      <c r="Q283" s="3" t="s">
        <v>59</v>
      </c>
      <c r="R283" s="3" t="str">
        <f aca="false">IF(Q283="pass","No","Yes")</f>
        <v>Yes</v>
      </c>
      <c r="S283" s="3" t="s">
        <v>60</v>
      </c>
      <c r="T283" s="3" t="s">
        <v>61</v>
      </c>
      <c r="U283" s="3" t="s">
        <v>528</v>
      </c>
      <c r="V283" s="9" t="n">
        <v>33.651</v>
      </c>
    </row>
    <row r="284" customFormat="false" ht="15" hidden="false" customHeight="true" outlineLevel="0" collapsed="false">
      <c r="A284" s="3" t="n">
        <v>283</v>
      </c>
      <c r="B284" s="3" t="n">
        <v>6</v>
      </c>
      <c r="C284" s="3" t="s">
        <v>186</v>
      </c>
      <c r="D284" s="3" t="s">
        <v>187</v>
      </c>
      <c r="E284" s="3" t="s">
        <v>188</v>
      </c>
      <c r="F284" s="3" t="s">
        <v>189</v>
      </c>
      <c r="G284" s="3" t="s">
        <v>123</v>
      </c>
      <c r="H284" s="3" t="n">
        <v>3</v>
      </c>
      <c r="I284" s="3" t="n">
        <v>90</v>
      </c>
      <c r="J284" s="3" t="s">
        <v>529</v>
      </c>
      <c r="K284" s="8" t="n">
        <v>1432200</v>
      </c>
      <c r="L284" s="8" t="n">
        <v>5000</v>
      </c>
      <c r="M284" s="8" t="n">
        <v>107790</v>
      </c>
      <c r="N284" s="8" t="n">
        <v>1544990</v>
      </c>
      <c r="O284" s="3" t="s">
        <v>224</v>
      </c>
      <c r="P284" s="3" t="s">
        <v>84</v>
      </c>
      <c r="Q284" s="3" t="s">
        <v>85</v>
      </c>
      <c r="R284" s="3" t="str">
        <f aca="false">IF(Q284="pass","No","Yes")</f>
        <v>Yes</v>
      </c>
      <c r="S284" s="3" t="s">
        <v>86</v>
      </c>
      <c r="T284" s="3" t="s">
        <v>149</v>
      </c>
      <c r="U284" s="3" t="s">
        <v>225</v>
      </c>
      <c r="V284" s="9" t="n">
        <v>28.743</v>
      </c>
    </row>
    <row r="285" customFormat="false" ht="15" hidden="false" customHeight="true" outlineLevel="0" collapsed="false">
      <c r="A285" s="3" t="n">
        <v>284</v>
      </c>
      <c r="B285" s="3" t="n">
        <v>6</v>
      </c>
      <c r="C285" s="3" t="s">
        <v>127</v>
      </c>
      <c r="D285" s="3" t="s">
        <v>128</v>
      </c>
      <c r="E285" s="3" t="s">
        <v>129</v>
      </c>
      <c r="F285" s="3" t="s">
        <v>130</v>
      </c>
      <c r="G285" s="3" t="s">
        <v>55</v>
      </c>
      <c r="H285" s="3" t="n">
        <v>2</v>
      </c>
      <c r="I285" s="3" t="n">
        <v>49</v>
      </c>
      <c r="J285" s="3" t="s">
        <v>530</v>
      </c>
      <c r="K285" s="8" t="n">
        <v>562800</v>
      </c>
      <c r="L285" s="8" t="n">
        <v>6000</v>
      </c>
      <c r="M285" s="8" t="n">
        <v>42660</v>
      </c>
      <c r="N285" s="8" t="n">
        <v>611460</v>
      </c>
      <c r="O285" s="3" t="s">
        <v>57</v>
      </c>
      <c r="P285" s="3" t="s">
        <v>58</v>
      </c>
      <c r="Q285" s="3" t="s">
        <v>69</v>
      </c>
      <c r="R285" s="3" t="str">
        <f aca="false">IF(Q285="pass","No","Yes")</f>
        <v>No</v>
      </c>
      <c r="S285" s="3" t="s">
        <v>60</v>
      </c>
      <c r="T285" s="3"/>
      <c r="U285" s="3"/>
      <c r="V285" s="9" t="n">
        <v>21.732</v>
      </c>
    </row>
    <row r="286" customFormat="false" ht="15" hidden="false" customHeight="true" outlineLevel="0" collapsed="false">
      <c r="A286" s="3" t="n">
        <v>285</v>
      </c>
      <c r="B286" s="3" t="n">
        <v>6</v>
      </c>
      <c r="C286" s="3" t="s">
        <v>154</v>
      </c>
      <c r="D286" s="3" t="s">
        <v>155</v>
      </c>
      <c r="E286" s="3" t="s">
        <v>156</v>
      </c>
      <c r="F286" s="3" t="s">
        <v>157</v>
      </c>
      <c r="G286" s="3" t="s">
        <v>123</v>
      </c>
      <c r="H286" s="3" t="n">
        <v>1</v>
      </c>
      <c r="I286" s="3" t="n">
        <v>14</v>
      </c>
      <c r="J286" s="3" t="s">
        <v>281</v>
      </c>
      <c r="K286" s="8" t="n">
        <v>728000</v>
      </c>
      <c r="L286" s="8" t="n">
        <v>5000</v>
      </c>
      <c r="M286" s="8" t="n">
        <v>54975</v>
      </c>
      <c r="N286" s="8" t="n">
        <v>787975</v>
      </c>
      <c r="O286" s="3" t="s">
        <v>94</v>
      </c>
      <c r="P286" s="3" t="s">
        <v>84</v>
      </c>
      <c r="Q286" s="3" t="s">
        <v>85</v>
      </c>
      <c r="R286" s="3" t="str">
        <f aca="false">IF(Q286="pass","No","Yes")</f>
        <v>Yes</v>
      </c>
      <c r="S286" s="3" t="s">
        <v>86</v>
      </c>
      <c r="T286" s="3" t="s">
        <v>253</v>
      </c>
      <c r="U286" s="3" t="s">
        <v>254</v>
      </c>
      <c r="V286" s="9" t="n">
        <v>12.352</v>
      </c>
    </row>
    <row r="287" customFormat="false" ht="15" hidden="false" customHeight="true" outlineLevel="0" collapsed="false">
      <c r="A287" s="3" t="n">
        <v>286</v>
      </c>
      <c r="B287" s="3" t="n">
        <v>6</v>
      </c>
      <c r="C287" s="3" t="s">
        <v>198</v>
      </c>
      <c r="D287" s="3" t="s">
        <v>199</v>
      </c>
      <c r="E287" s="3" t="s">
        <v>200</v>
      </c>
      <c r="F287" s="3" t="s">
        <v>201</v>
      </c>
      <c r="G287" s="3" t="s">
        <v>81</v>
      </c>
      <c r="H287" s="3" t="n">
        <v>1</v>
      </c>
      <c r="I287" s="3" t="n">
        <v>8</v>
      </c>
      <c r="J287" s="3" t="s">
        <v>531</v>
      </c>
      <c r="K287" s="8" t="n">
        <v>304000</v>
      </c>
      <c r="L287" s="8" t="n">
        <v>4000</v>
      </c>
      <c r="M287" s="8" t="n">
        <v>23100</v>
      </c>
      <c r="N287" s="8" t="n">
        <v>331100</v>
      </c>
      <c r="O287" s="3" t="s">
        <v>57</v>
      </c>
      <c r="P287" s="3" t="s">
        <v>58</v>
      </c>
      <c r="Q287" s="3" t="s">
        <v>69</v>
      </c>
      <c r="R287" s="3" t="str">
        <f aca="false">IF(Q287="pass","No","Yes")</f>
        <v>No</v>
      </c>
      <c r="S287" s="3" t="s">
        <v>60</v>
      </c>
      <c r="T287" s="3"/>
      <c r="U287" s="3"/>
      <c r="V287" s="9" t="n">
        <v>12.458</v>
      </c>
    </row>
    <row r="288" customFormat="false" ht="15" hidden="false" customHeight="true" outlineLevel="0" collapsed="false">
      <c r="A288" s="3" t="n">
        <v>287</v>
      </c>
      <c r="B288" s="3" t="n">
        <v>6</v>
      </c>
      <c r="C288" s="3" t="s">
        <v>137</v>
      </c>
      <c r="D288" s="3" t="s">
        <v>138</v>
      </c>
      <c r="E288" s="3" t="s">
        <v>139</v>
      </c>
      <c r="F288" s="3" t="s">
        <v>140</v>
      </c>
      <c r="G288" s="3" t="s">
        <v>55</v>
      </c>
      <c r="H288" s="3" t="n">
        <v>2</v>
      </c>
      <c r="I288" s="3" t="n">
        <v>91</v>
      </c>
      <c r="J288" s="3" t="s">
        <v>532</v>
      </c>
      <c r="K288" s="8" t="n">
        <v>1550500</v>
      </c>
      <c r="L288" s="8" t="n">
        <v>6000</v>
      </c>
      <c r="M288" s="8" t="n">
        <v>116737.5</v>
      </c>
      <c r="N288" s="8" t="n">
        <v>1673237.5</v>
      </c>
      <c r="O288" s="3" t="s">
        <v>57</v>
      </c>
      <c r="P288" s="3" t="s">
        <v>58</v>
      </c>
      <c r="Q288" s="3" t="s">
        <v>69</v>
      </c>
      <c r="R288" s="3" t="str">
        <f aca="false">IF(Q288="pass","No","Yes")</f>
        <v>No</v>
      </c>
      <c r="S288" s="3" t="s">
        <v>60</v>
      </c>
      <c r="T288" s="3"/>
      <c r="U288" s="3"/>
      <c r="V288" s="9" t="n">
        <v>21.728</v>
      </c>
    </row>
    <row r="289" customFormat="false" ht="15" hidden="false" customHeight="true" outlineLevel="0" collapsed="false">
      <c r="A289" s="3" t="n">
        <v>288</v>
      </c>
      <c r="B289" s="3" t="n">
        <v>6</v>
      </c>
      <c r="C289" s="3" t="s">
        <v>100</v>
      </c>
      <c r="D289" s="3" t="s">
        <v>101</v>
      </c>
      <c r="E289" s="3" t="s">
        <v>102</v>
      </c>
      <c r="F289" s="3" t="s">
        <v>103</v>
      </c>
      <c r="G289" s="3" t="s">
        <v>67</v>
      </c>
      <c r="H289" s="3" t="n">
        <v>3</v>
      </c>
      <c r="I289" s="3" t="n">
        <v>145</v>
      </c>
      <c r="J289" s="3" t="s">
        <v>533</v>
      </c>
      <c r="K289" s="8" t="n">
        <v>1309600</v>
      </c>
      <c r="L289" s="8" t="n">
        <v>4500</v>
      </c>
      <c r="M289" s="8" t="n">
        <v>98557.5</v>
      </c>
      <c r="N289" s="8" t="n">
        <v>1412657.5</v>
      </c>
      <c r="O289" s="3" t="s">
        <v>224</v>
      </c>
      <c r="P289" s="3" t="s">
        <v>84</v>
      </c>
      <c r="Q289" s="3" t="s">
        <v>85</v>
      </c>
      <c r="R289" s="3" t="str">
        <f aca="false">IF(Q289="pass","No","Yes")</f>
        <v>Yes</v>
      </c>
      <c r="S289" s="3" t="s">
        <v>86</v>
      </c>
      <c r="T289" s="3" t="s">
        <v>374</v>
      </c>
      <c r="U289" s="3" t="s">
        <v>534</v>
      </c>
      <c r="V289" s="9" t="n">
        <v>56.405</v>
      </c>
    </row>
    <row r="290" customFormat="false" ht="15" hidden="false" customHeight="true" outlineLevel="0" collapsed="false">
      <c r="A290" s="3" t="n">
        <v>289</v>
      </c>
      <c r="B290" s="3" t="n">
        <v>6</v>
      </c>
      <c r="C290" s="3" t="s">
        <v>137</v>
      </c>
      <c r="D290" s="3" t="s">
        <v>138</v>
      </c>
      <c r="E290" s="3" t="s">
        <v>139</v>
      </c>
      <c r="F290" s="3" t="s">
        <v>140</v>
      </c>
      <c r="G290" s="3" t="s">
        <v>55</v>
      </c>
      <c r="H290" s="3" t="n">
        <v>2</v>
      </c>
      <c r="I290" s="3" t="n">
        <v>6</v>
      </c>
      <c r="J290" s="3" t="s">
        <v>535</v>
      </c>
      <c r="K290" s="8" t="n">
        <v>228000</v>
      </c>
      <c r="L290" s="8" t="n">
        <v>6000</v>
      </c>
      <c r="M290" s="8" t="n">
        <v>17550</v>
      </c>
      <c r="N290" s="8" t="n">
        <v>251550</v>
      </c>
      <c r="O290" s="3" t="s">
        <v>152</v>
      </c>
      <c r="P290" s="3" t="s">
        <v>84</v>
      </c>
      <c r="Q290" s="3" t="s">
        <v>85</v>
      </c>
      <c r="R290" s="3" t="str">
        <f aca="false">IF(Q290="pass","No","Yes")</f>
        <v>Yes</v>
      </c>
      <c r="S290" s="3" t="s">
        <v>86</v>
      </c>
      <c r="T290" s="3" t="s">
        <v>87</v>
      </c>
      <c r="U290" s="3" t="s">
        <v>336</v>
      </c>
      <c r="V290" s="9" t="n">
        <v>18.988</v>
      </c>
    </row>
    <row r="291" customFormat="false" ht="15" hidden="false" customHeight="true" outlineLevel="0" collapsed="false">
      <c r="A291" s="3" t="n">
        <v>290</v>
      </c>
      <c r="B291" s="3" t="n">
        <v>6</v>
      </c>
      <c r="C291" s="3" t="s">
        <v>137</v>
      </c>
      <c r="D291" s="3" t="s">
        <v>138</v>
      </c>
      <c r="E291" s="3" t="s">
        <v>139</v>
      </c>
      <c r="F291" s="3" t="s">
        <v>140</v>
      </c>
      <c r="G291" s="3" t="s">
        <v>55</v>
      </c>
      <c r="H291" s="3" t="n">
        <v>3</v>
      </c>
      <c r="I291" s="3" t="n">
        <v>134</v>
      </c>
      <c r="J291" s="3" t="s">
        <v>536</v>
      </c>
      <c r="K291" s="8" t="n">
        <v>1433000</v>
      </c>
      <c r="L291" s="8" t="n">
        <v>6000</v>
      </c>
      <c r="M291" s="8" t="n">
        <v>107925</v>
      </c>
      <c r="N291" s="8" t="n">
        <v>1546925</v>
      </c>
      <c r="O291" s="3" t="s">
        <v>57</v>
      </c>
      <c r="P291" s="3" t="s">
        <v>58</v>
      </c>
      <c r="Q291" s="3" t="s">
        <v>69</v>
      </c>
      <c r="R291" s="3" t="str">
        <f aca="false">IF(Q291="pass","No","Yes")</f>
        <v>No</v>
      </c>
      <c r="S291" s="3" t="s">
        <v>60</v>
      </c>
      <c r="T291" s="3"/>
      <c r="U291" s="3"/>
      <c r="V291" s="9" t="n">
        <v>44.374</v>
      </c>
    </row>
    <row r="292" customFormat="false" ht="15" hidden="false" customHeight="true" outlineLevel="0" collapsed="false">
      <c r="A292" s="3" t="n">
        <v>291</v>
      </c>
      <c r="B292" s="3" t="n">
        <v>6</v>
      </c>
      <c r="C292" s="3" t="s">
        <v>237</v>
      </c>
      <c r="D292" s="3" t="s">
        <v>238</v>
      </c>
      <c r="E292" s="3" t="s">
        <v>239</v>
      </c>
      <c r="F292" s="3" t="s">
        <v>240</v>
      </c>
      <c r="G292" s="3" t="s">
        <v>116</v>
      </c>
      <c r="H292" s="3" t="n">
        <v>1</v>
      </c>
      <c r="I292" s="3" t="n">
        <v>206</v>
      </c>
      <c r="J292" s="3" t="s">
        <v>377</v>
      </c>
      <c r="K292" s="8" t="n">
        <v>1957000</v>
      </c>
      <c r="L292" s="8" t="n">
        <v>15000</v>
      </c>
      <c r="M292" s="8" t="n">
        <v>147900</v>
      </c>
      <c r="N292" s="8" t="n">
        <v>2119900</v>
      </c>
      <c r="O292" s="3" t="s">
        <v>110</v>
      </c>
      <c r="P292" s="3" t="s">
        <v>58</v>
      </c>
      <c r="Q292" s="3" t="s">
        <v>59</v>
      </c>
      <c r="R292" s="3" t="str">
        <f aca="false">IF(Q292="pass","No","Yes")</f>
        <v>Yes</v>
      </c>
      <c r="S292" s="3" t="s">
        <v>60</v>
      </c>
      <c r="T292" s="3" t="s">
        <v>61</v>
      </c>
      <c r="U292" s="3" t="s">
        <v>537</v>
      </c>
      <c r="V292" s="9" t="n">
        <v>26.985</v>
      </c>
    </row>
    <row r="293" customFormat="false" ht="15" hidden="false" customHeight="true" outlineLevel="0" collapsed="false">
      <c r="A293" s="3" t="n">
        <v>292</v>
      </c>
      <c r="B293" s="3" t="n">
        <v>6</v>
      </c>
      <c r="C293" s="3" t="s">
        <v>51</v>
      </c>
      <c r="D293" s="3" t="s">
        <v>52</v>
      </c>
      <c r="E293" s="3" t="s">
        <v>53</v>
      </c>
      <c r="F293" s="3" t="s">
        <v>54</v>
      </c>
      <c r="G293" s="3" t="s">
        <v>55</v>
      </c>
      <c r="H293" s="3" t="n">
        <v>1</v>
      </c>
      <c r="I293" s="3" t="n">
        <v>56</v>
      </c>
      <c r="J293" s="3" t="s">
        <v>538</v>
      </c>
      <c r="K293" s="8" t="n">
        <v>812000</v>
      </c>
      <c r="L293" s="8" t="n">
        <v>6000</v>
      </c>
      <c r="M293" s="8" t="n">
        <v>61350</v>
      </c>
      <c r="N293" s="8" t="n">
        <v>879350</v>
      </c>
      <c r="O293" s="3" t="s">
        <v>57</v>
      </c>
      <c r="P293" s="3" t="s">
        <v>58</v>
      </c>
      <c r="Q293" s="3" t="s">
        <v>69</v>
      </c>
      <c r="R293" s="3" t="str">
        <f aca="false">IF(Q293="pass","No","Yes")</f>
        <v>No</v>
      </c>
      <c r="S293" s="3" t="s">
        <v>60</v>
      </c>
      <c r="T293" s="3"/>
      <c r="U293" s="3"/>
      <c r="V293" s="9" t="n">
        <v>15.034</v>
      </c>
    </row>
    <row r="294" customFormat="false" ht="15" hidden="false" customHeight="true" outlineLevel="0" collapsed="false">
      <c r="A294" s="3" t="n">
        <v>293</v>
      </c>
      <c r="B294" s="3" t="n">
        <v>6</v>
      </c>
      <c r="C294" s="3" t="s">
        <v>177</v>
      </c>
      <c r="D294" s="3" t="s">
        <v>178</v>
      </c>
      <c r="E294" s="3" t="s">
        <v>179</v>
      </c>
      <c r="F294" s="3" t="s">
        <v>180</v>
      </c>
      <c r="G294" s="3" t="s">
        <v>81</v>
      </c>
      <c r="H294" s="3" t="n">
        <v>2</v>
      </c>
      <c r="I294" s="3" t="n">
        <v>35</v>
      </c>
      <c r="J294" s="3" t="s">
        <v>539</v>
      </c>
      <c r="K294" s="8" t="n">
        <v>678000</v>
      </c>
      <c r="L294" s="8" t="n">
        <v>4000</v>
      </c>
      <c r="M294" s="8" t="n">
        <v>51150</v>
      </c>
      <c r="N294" s="8" t="n">
        <v>733150</v>
      </c>
      <c r="O294" s="3" t="s">
        <v>94</v>
      </c>
      <c r="P294" s="3" t="s">
        <v>84</v>
      </c>
      <c r="Q294" s="3" t="s">
        <v>85</v>
      </c>
      <c r="R294" s="3" t="str">
        <f aca="false">IF(Q294="pass","No","Yes")</f>
        <v>Yes</v>
      </c>
      <c r="S294" s="3" t="s">
        <v>86</v>
      </c>
      <c r="T294" s="3" t="s">
        <v>253</v>
      </c>
      <c r="U294" s="3" t="s">
        <v>254</v>
      </c>
      <c r="V294" s="9" t="n">
        <v>21.685</v>
      </c>
    </row>
    <row r="295" customFormat="false" ht="15" hidden="false" customHeight="true" outlineLevel="0" collapsed="false">
      <c r="A295" s="3" t="n">
        <v>294</v>
      </c>
      <c r="B295" s="3" t="n">
        <v>6</v>
      </c>
      <c r="C295" s="3" t="s">
        <v>191</v>
      </c>
      <c r="D295" s="3" t="s">
        <v>192</v>
      </c>
      <c r="E295" s="3" t="s">
        <v>193</v>
      </c>
      <c r="F295" s="3" t="s">
        <v>194</v>
      </c>
      <c r="G295" s="3" t="s">
        <v>146</v>
      </c>
      <c r="H295" s="3" t="n">
        <v>2</v>
      </c>
      <c r="I295" s="3" t="n">
        <v>110</v>
      </c>
      <c r="J295" s="3" t="s">
        <v>540</v>
      </c>
      <c r="K295" s="8" t="n">
        <v>982400</v>
      </c>
      <c r="L295" s="8" t="n">
        <v>0</v>
      </c>
      <c r="M295" s="8" t="n">
        <v>73680</v>
      </c>
      <c r="N295" s="8" t="n">
        <v>1056080</v>
      </c>
      <c r="O295" s="3" t="s">
        <v>148</v>
      </c>
      <c r="P295" s="3" t="s">
        <v>84</v>
      </c>
      <c r="Q295" s="3" t="s">
        <v>85</v>
      </c>
      <c r="R295" s="3" t="str">
        <f aca="false">IF(Q295="pass","No","Yes")</f>
        <v>Yes</v>
      </c>
      <c r="S295" s="3" t="s">
        <v>86</v>
      </c>
      <c r="T295" s="3" t="s">
        <v>149</v>
      </c>
      <c r="U295" s="3" t="s">
        <v>150</v>
      </c>
      <c r="V295" s="9" t="n">
        <v>32.835</v>
      </c>
    </row>
    <row r="296" customFormat="false" ht="15" hidden="false" customHeight="true" outlineLevel="0" collapsed="false">
      <c r="A296" s="3" t="n">
        <v>295</v>
      </c>
      <c r="B296" s="3" t="n">
        <v>6</v>
      </c>
      <c r="C296" s="3" t="s">
        <v>77</v>
      </c>
      <c r="D296" s="3" t="s">
        <v>78</v>
      </c>
      <c r="E296" s="3" t="s">
        <v>79</v>
      </c>
      <c r="F296" s="3" t="s">
        <v>80</v>
      </c>
      <c r="G296" s="3" t="s">
        <v>81</v>
      </c>
      <c r="H296" s="3" t="n">
        <v>2</v>
      </c>
      <c r="I296" s="3" t="n">
        <v>65</v>
      </c>
      <c r="J296" s="3" t="s">
        <v>541</v>
      </c>
      <c r="K296" s="8" t="n">
        <v>921700</v>
      </c>
      <c r="L296" s="8" t="n">
        <v>4000</v>
      </c>
      <c r="M296" s="8" t="n">
        <v>69427.5</v>
      </c>
      <c r="N296" s="8" t="n">
        <v>995127.5</v>
      </c>
      <c r="O296" s="3" t="s">
        <v>57</v>
      </c>
      <c r="P296" s="3" t="s">
        <v>58</v>
      </c>
      <c r="Q296" s="3" t="s">
        <v>69</v>
      </c>
      <c r="R296" s="3" t="str">
        <f aca="false">IF(Q296="pass","No","Yes")</f>
        <v>No</v>
      </c>
      <c r="S296" s="3" t="s">
        <v>60</v>
      </c>
      <c r="T296" s="3"/>
      <c r="U296" s="3"/>
      <c r="V296" s="9" t="n">
        <v>22.77</v>
      </c>
    </row>
    <row r="297" customFormat="false" ht="15" hidden="false" customHeight="true" outlineLevel="0" collapsed="false">
      <c r="A297" s="3" t="n">
        <v>296</v>
      </c>
      <c r="B297" s="3" t="n">
        <v>6</v>
      </c>
      <c r="C297" s="3" t="s">
        <v>63</v>
      </c>
      <c r="D297" s="3" t="s">
        <v>64</v>
      </c>
      <c r="E297" s="3" t="s">
        <v>65</v>
      </c>
      <c r="F297" s="3" t="s">
        <v>66</v>
      </c>
      <c r="G297" s="3" t="s">
        <v>67</v>
      </c>
      <c r="H297" s="3" t="n">
        <v>3</v>
      </c>
      <c r="I297" s="3" t="n">
        <v>86</v>
      </c>
      <c r="J297" s="3" t="s">
        <v>542</v>
      </c>
      <c r="K297" s="8" t="n">
        <v>1562700</v>
      </c>
      <c r="L297" s="8" t="n">
        <v>4500</v>
      </c>
      <c r="M297" s="8" t="n">
        <v>117540</v>
      </c>
      <c r="N297" s="8" t="n">
        <v>1684740</v>
      </c>
      <c r="O297" s="3" t="s">
        <v>57</v>
      </c>
      <c r="P297" s="3" t="s">
        <v>58</v>
      </c>
      <c r="Q297" s="3" t="s">
        <v>69</v>
      </c>
      <c r="R297" s="3" t="str">
        <f aca="false">IF(Q297="pass","No","Yes")</f>
        <v>No</v>
      </c>
      <c r="S297" s="3" t="s">
        <v>60</v>
      </c>
      <c r="T297" s="3"/>
      <c r="U297" s="3"/>
      <c r="V297" s="9" t="n">
        <v>31.237</v>
      </c>
    </row>
    <row r="298" customFormat="false" ht="15" hidden="false" customHeight="true" outlineLevel="0" collapsed="false">
      <c r="A298" s="3" t="n">
        <v>297</v>
      </c>
      <c r="B298" s="3" t="n">
        <v>6</v>
      </c>
      <c r="C298" s="3" t="s">
        <v>70</v>
      </c>
      <c r="D298" s="3" t="s">
        <v>71</v>
      </c>
      <c r="E298" s="3" t="s">
        <v>72</v>
      </c>
      <c r="F298" s="3" t="s">
        <v>73</v>
      </c>
      <c r="G298" s="3" t="s">
        <v>74</v>
      </c>
      <c r="H298" s="3" t="n">
        <v>4</v>
      </c>
      <c r="I298" s="3" t="n">
        <v>2055</v>
      </c>
      <c r="J298" s="3" t="s">
        <v>543</v>
      </c>
      <c r="K298" s="8" t="n">
        <v>20120400</v>
      </c>
      <c r="L298" s="8" t="n">
        <v>9000</v>
      </c>
      <c r="M298" s="8" t="n">
        <v>1509705</v>
      </c>
      <c r="N298" s="8" t="n">
        <v>21639105</v>
      </c>
      <c r="O298" s="3" t="s">
        <v>159</v>
      </c>
      <c r="P298" s="3" t="s">
        <v>84</v>
      </c>
      <c r="Q298" s="3" t="s">
        <v>85</v>
      </c>
      <c r="R298" s="3" t="str">
        <f aca="false">IF(Q298="pass","No","Yes")</f>
        <v>Yes</v>
      </c>
      <c r="S298" s="3" t="s">
        <v>86</v>
      </c>
      <c r="T298" s="3" t="s">
        <v>229</v>
      </c>
      <c r="U298" s="3" t="s">
        <v>544</v>
      </c>
      <c r="V298" s="9" t="n">
        <v>67.794</v>
      </c>
    </row>
    <row r="299" customFormat="false" ht="15" hidden="false" customHeight="true" outlineLevel="0" collapsed="false">
      <c r="A299" s="3" t="n">
        <v>298</v>
      </c>
      <c r="B299" s="3" t="n">
        <v>6</v>
      </c>
      <c r="C299" s="3" t="s">
        <v>213</v>
      </c>
      <c r="D299" s="3" t="s">
        <v>214</v>
      </c>
      <c r="E299" s="3" t="s">
        <v>215</v>
      </c>
      <c r="F299" s="3" t="s">
        <v>216</v>
      </c>
      <c r="G299" s="3" t="s">
        <v>67</v>
      </c>
      <c r="H299" s="3" t="n">
        <v>4</v>
      </c>
      <c r="I299" s="3" t="n">
        <v>1130</v>
      </c>
      <c r="J299" s="3" t="s">
        <v>545</v>
      </c>
      <c r="K299" s="8" t="n">
        <v>13547200</v>
      </c>
      <c r="L299" s="8" t="n">
        <v>4500</v>
      </c>
      <c r="M299" s="8" t="n">
        <v>1016377.5</v>
      </c>
      <c r="N299" s="8" t="n">
        <v>14568077.5</v>
      </c>
      <c r="O299" s="3" t="s">
        <v>159</v>
      </c>
      <c r="P299" s="3" t="s">
        <v>84</v>
      </c>
      <c r="Q299" s="3" t="s">
        <v>85</v>
      </c>
      <c r="R299" s="3" t="str">
        <f aca="false">IF(Q299="pass","No","Yes")</f>
        <v>Yes</v>
      </c>
      <c r="S299" s="3" t="s">
        <v>86</v>
      </c>
      <c r="T299" s="3" t="s">
        <v>160</v>
      </c>
      <c r="U299" s="3" t="s">
        <v>197</v>
      </c>
      <c r="V299" s="9" t="n">
        <v>50.493</v>
      </c>
    </row>
    <row r="300" customFormat="false" ht="15" hidden="false" customHeight="true" outlineLevel="0" collapsed="false">
      <c r="A300" s="3" t="n">
        <v>299</v>
      </c>
      <c r="B300" s="3" t="n">
        <v>6</v>
      </c>
      <c r="C300" s="3" t="s">
        <v>213</v>
      </c>
      <c r="D300" s="3" t="s">
        <v>214</v>
      </c>
      <c r="E300" s="3" t="s">
        <v>215</v>
      </c>
      <c r="F300" s="3" t="s">
        <v>216</v>
      </c>
      <c r="G300" s="3" t="s">
        <v>67</v>
      </c>
      <c r="H300" s="3" t="n">
        <v>2</v>
      </c>
      <c r="I300" s="3" t="n">
        <v>73</v>
      </c>
      <c r="J300" s="3" t="s">
        <v>546</v>
      </c>
      <c r="K300" s="8" t="n">
        <v>895700</v>
      </c>
      <c r="L300" s="8" t="n">
        <v>4500</v>
      </c>
      <c r="M300" s="8" t="n">
        <v>67515</v>
      </c>
      <c r="N300" s="8" t="n">
        <v>967715</v>
      </c>
      <c r="O300" s="3" t="s">
        <v>57</v>
      </c>
      <c r="P300" s="3" t="s">
        <v>58</v>
      </c>
      <c r="Q300" s="3" t="s">
        <v>69</v>
      </c>
      <c r="R300" s="3" t="str">
        <f aca="false">IF(Q300="pass","No","Yes")</f>
        <v>No</v>
      </c>
      <c r="S300" s="3" t="s">
        <v>60</v>
      </c>
      <c r="T300" s="3"/>
      <c r="U300" s="3"/>
      <c r="V300" s="9" t="n">
        <v>23.399</v>
      </c>
    </row>
    <row r="301" customFormat="false" ht="15" hidden="false" customHeight="true" outlineLevel="0" collapsed="false">
      <c r="A301" s="3" t="n">
        <v>300</v>
      </c>
      <c r="B301" s="3" t="n">
        <v>6</v>
      </c>
      <c r="C301" s="3" t="s">
        <v>77</v>
      </c>
      <c r="D301" s="3" t="s">
        <v>78</v>
      </c>
      <c r="E301" s="3" t="s">
        <v>79</v>
      </c>
      <c r="F301" s="3" t="s">
        <v>80</v>
      </c>
      <c r="G301" s="3" t="s">
        <v>81</v>
      </c>
      <c r="H301" s="3" t="n">
        <v>3</v>
      </c>
      <c r="I301" s="3" t="n">
        <v>17</v>
      </c>
      <c r="J301" s="3" t="s">
        <v>547</v>
      </c>
      <c r="K301" s="8" t="n">
        <v>578200</v>
      </c>
      <c r="L301" s="8" t="n">
        <v>4000</v>
      </c>
      <c r="M301" s="8" t="n">
        <v>43665</v>
      </c>
      <c r="N301" s="8" t="n">
        <v>625865</v>
      </c>
      <c r="O301" s="3" t="s">
        <v>57</v>
      </c>
      <c r="P301" s="3" t="s">
        <v>58</v>
      </c>
      <c r="Q301" s="3" t="s">
        <v>69</v>
      </c>
      <c r="R301" s="3" t="str">
        <f aca="false">IF(Q301="pass","No","Yes")</f>
        <v>No</v>
      </c>
      <c r="S301" s="3" t="s">
        <v>60</v>
      </c>
      <c r="T301" s="3"/>
      <c r="U301" s="3"/>
      <c r="V301" s="9" t="n">
        <v>29.76</v>
      </c>
    </row>
    <row r="302" customFormat="false" ht="15" hidden="false" customHeight="true" outlineLevel="0" collapsed="false">
      <c r="A302" s="3" t="n">
        <v>301</v>
      </c>
      <c r="B302" s="3" t="n">
        <v>7</v>
      </c>
      <c r="C302" s="3" t="s">
        <v>154</v>
      </c>
      <c r="D302" s="3" t="s">
        <v>155</v>
      </c>
      <c r="E302" s="3" t="s">
        <v>156</v>
      </c>
      <c r="F302" s="3" t="s">
        <v>157</v>
      </c>
      <c r="G302" s="3" t="s">
        <v>123</v>
      </c>
      <c r="H302" s="3" t="n">
        <v>3</v>
      </c>
      <c r="I302" s="3" t="n">
        <v>42</v>
      </c>
      <c r="J302" s="3" t="s">
        <v>548</v>
      </c>
      <c r="K302" s="8" t="n">
        <v>666400</v>
      </c>
      <c r="L302" s="8" t="n">
        <v>5000</v>
      </c>
      <c r="M302" s="8" t="n">
        <v>50355</v>
      </c>
      <c r="N302" s="8" t="n">
        <v>721755</v>
      </c>
      <c r="O302" s="3" t="s">
        <v>57</v>
      </c>
      <c r="P302" s="3" t="s">
        <v>58</v>
      </c>
      <c r="Q302" s="3" t="s">
        <v>69</v>
      </c>
      <c r="R302" s="3" t="str">
        <f aca="false">IF(Q302="pass","No","Yes")</f>
        <v>No</v>
      </c>
      <c r="S302" s="3" t="s">
        <v>60</v>
      </c>
      <c r="T302" s="3"/>
      <c r="U302" s="3"/>
      <c r="V302" s="9" t="n">
        <v>42.703</v>
      </c>
    </row>
    <row r="303" customFormat="false" ht="15" hidden="false" customHeight="true" outlineLevel="0" collapsed="false">
      <c r="A303" s="3" t="n">
        <v>302</v>
      </c>
      <c r="B303" s="3" t="n">
        <v>7</v>
      </c>
      <c r="C303" s="3" t="s">
        <v>112</v>
      </c>
      <c r="D303" s="3" t="s">
        <v>113</v>
      </c>
      <c r="E303" s="3" t="s">
        <v>114</v>
      </c>
      <c r="F303" s="3" t="s">
        <v>115</v>
      </c>
      <c r="G303" s="3" t="s">
        <v>116</v>
      </c>
      <c r="H303" s="3" t="n">
        <v>1</v>
      </c>
      <c r="I303" s="3" t="n">
        <v>217</v>
      </c>
      <c r="J303" s="3" t="s">
        <v>549</v>
      </c>
      <c r="K303" s="8" t="n">
        <v>2061500</v>
      </c>
      <c r="L303" s="8" t="n">
        <v>15000</v>
      </c>
      <c r="M303" s="8" t="n">
        <v>155737.5</v>
      </c>
      <c r="N303" s="8" t="n">
        <v>2232237.5</v>
      </c>
      <c r="O303" s="3" t="s">
        <v>110</v>
      </c>
      <c r="P303" s="3" t="s">
        <v>58</v>
      </c>
      <c r="Q303" s="3" t="s">
        <v>69</v>
      </c>
      <c r="R303" s="3" t="str">
        <f aca="false">IF(Q303="pass","No","Yes")</f>
        <v>No</v>
      </c>
      <c r="S303" s="3" t="s">
        <v>60</v>
      </c>
      <c r="T303" s="3"/>
      <c r="U303" s="3"/>
      <c r="V303" s="9" t="n">
        <v>28.178</v>
      </c>
    </row>
    <row r="304" customFormat="false" ht="15" hidden="false" customHeight="true" outlineLevel="0" collapsed="false">
      <c r="A304" s="3" t="n">
        <v>303</v>
      </c>
      <c r="B304" s="3" t="n">
        <v>7</v>
      </c>
      <c r="C304" s="3" t="s">
        <v>177</v>
      </c>
      <c r="D304" s="3" t="s">
        <v>178</v>
      </c>
      <c r="E304" s="3" t="s">
        <v>179</v>
      </c>
      <c r="F304" s="3" t="s">
        <v>180</v>
      </c>
      <c r="G304" s="3" t="s">
        <v>81</v>
      </c>
      <c r="H304" s="3" t="n">
        <v>2</v>
      </c>
      <c r="I304" s="3" t="n">
        <v>45</v>
      </c>
      <c r="J304" s="3" t="s">
        <v>550</v>
      </c>
      <c r="K304" s="8" t="n">
        <v>864000</v>
      </c>
      <c r="L304" s="8" t="n">
        <v>4000</v>
      </c>
      <c r="M304" s="8" t="n">
        <v>65100</v>
      </c>
      <c r="N304" s="8" t="n">
        <v>933100</v>
      </c>
      <c r="O304" s="3" t="s">
        <v>57</v>
      </c>
      <c r="P304" s="3" t="s">
        <v>58</v>
      </c>
      <c r="Q304" s="3" t="s">
        <v>69</v>
      </c>
      <c r="R304" s="3" t="str">
        <f aca="false">IF(Q304="pass","No","Yes")</f>
        <v>No</v>
      </c>
      <c r="S304" s="3" t="s">
        <v>60</v>
      </c>
      <c r="T304" s="3"/>
      <c r="U304" s="3"/>
      <c r="V304" s="9" t="n">
        <v>26.232</v>
      </c>
    </row>
    <row r="305" customFormat="false" ht="15" hidden="false" customHeight="true" outlineLevel="0" collapsed="false">
      <c r="A305" s="3" t="n">
        <v>304</v>
      </c>
      <c r="B305" s="3" t="n">
        <v>7</v>
      </c>
      <c r="C305" s="3" t="s">
        <v>63</v>
      </c>
      <c r="D305" s="3" t="s">
        <v>64</v>
      </c>
      <c r="E305" s="3" t="s">
        <v>65</v>
      </c>
      <c r="F305" s="3" t="s">
        <v>66</v>
      </c>
      <c r="G305" s="3" t="s">
        <v>67</v>
      </c>
      <c r="H305" s="3" t="n">
        <v>2</v>
      </c>
      <c r="I305" s="3" t="n">
        <v>42</v>
      </c>
      <c r="J305" s="3" t="s">
        <v>551</v>
      </c>
      <c r="K305" s="8" t="n">
        <v>826500</v>
      </c>
      <c r="L305" s="8" t="n">
        <v>4500</v>
      </c>
      <c r="M305" s="8" t="n">
        <v>62325</v>
      </c>
      <c r="N305" s="8" t="n">
        <v>893325</v>
      </c>
      <c r="O305" s="3" t="s">
        <v>57</v>
      </c>
      <c r="P305" s="3" t="s">
        <v>58</v>
      </c>
      <c r="Q305" s="3" t="s">
        <v>69</v>
      </c>
      <c r="R305" s="3" t="str">
        <f aca="false">IF(Q305="pass","No","Yes")</f>
        <v>No</v>
      </c>
      <c r="S305" s="3" t="s">
        <v>60</v>
      </c>
      <c r="T305" s="3"/>
      <c r="U305" s="3"/>
      <c r="V305" s="9" t="n">
        <v>38.527</v>
      </c>
    </row>
    <row r="306" customFormat="false" ht="15" hidden="false" customHeight="true" outlineLevel="0" collapsed="false">
      <c r="A306" s="3" t="n">
        <v>305</v>
      </c>
      <c r="B306" s="3" t="n">
        <v>7</v>
      </c>
      <c r="C306" s="3" t="s">
        <v>89</v>
      </c>
      <c r="D306" s="3" t="s">
        <v>90</v>
      </c>
      <c r="E306" s="3" t="s">
        <v>91</v>
      </c>
      <c r="F306" s="3" t="s">
        <v>92</v>
      </c>
      <c r="G306" s="3" t="s">
        <v>67</v>
      </c>
      <c r="H306" s="3" t="n">
        <v>2</v>
      </c>
      <c r="I306" s="3" t="n">
        <v>5</v>
      </c>
      <c r="J306" s="3" t="s">
        <v>552</v>
      </c>
      <c r="K306" s="8" t="n">
        <v>138500</v>
      </c>
      <c r="L306" s="8" t="n">
        <v>4500</v>
      </c>
      <c r="M306" s="8" t="n">
        <v>10725</v>
      </c>
      <c r="N306" s="8" t="n">
        <v>153725</v>
      </c>
      <c r="O306" s="3" t="s">
        <v>83</v>
      </c>
      <c r="P306" s="3" t="s">
        <v>84</v>
      </c>
      <c r="Q306" s="3" t="s">
        <v>85</v>
      </c>
      <c r="R306" s="3" t="str">
        <f aca="false">IF(Q306="pass","No","Yes")</f>
        <v>Yes</v>
      </c>
      <c r="S306" s="3" t="s">
        <v>86</v>
      </c>
      <c r="T306" s="3" t="s">
        <v>87</v>
      </c>
      <c r="U306" s="3" t="s">
        <v>517</v>
      </c>
      <c r="V306" s="9" t="n">
        <v>24.816</v>
      </c>
    </row>
    <row r="307" customFormat="false" ht="15" hidden="false" customHeight="true" outlineLevel="0" collapsed="false">
      <c r="A307" s="3" t="n">
        <v>306</v>
      </c>
      <c r="B307" s="3" t="n">
        <v>7</v>
      </c>
      <c r="C307" s="3" t="s">
        <v>154</v>
      </c>
      <c r="D307" s="3" t="s">
        <v>155</v>
      </c>
      <c r="E307" s="3" t="s">
        <v>156</v>
      </c>
      <c r="F307" s="3" t="s">
        <v>157</v>
      </c>
      <c r="G307" s="3" t="s">
        <v>123</v>
      </c>
      <c r="H307" s="3" t="n">
        <v>1</v>
      </c>
      <c r="I307" s="3" t="n">
        <v>164</v>
      </c>
      <c r="J307" s="3" t="s">
        <v>553</v>
      </c>
      <c r="K307" s="8" t="n">
        <v>1558000</v>
      </c>
      <c r="L307" s="8" t="n">
        <v>5000</v>
      </c>
      <c r="M307" s="8" t="n">
        <v>117225</v>
      </c>
      <c r="N307" s="8" t="n">
        <v>1680225</v>
      </c>
      <c r="O307" s="3" t="s">
        <v>57</v>
      </c>
      <c r="P307" s="3" t="s">
        <v>58</v>
      </c>
      <c r="Q307" s="3" t="s">
        <v>69</v>
      </c>
      <c r="R307" s="3" t="str">
        <f aca="false">IF(Q307="pass","No","Yes")</f>
        <v>No</v>
      </c>
      <c r="S307" s="3" t="s">
        <v>60</v>
      </c>
      <c r="T307" s="3"/>
      <c r="U307" s="3"/>
      <c r="V307" s="9" t="n">
        <v>29.501</v>
      </c>
    </row>
    <row r="308" customFormat="false" ht="15" hidden="false" customHeight="true" outlineLevel="0" collapsed="false">
      <c r="A308" s="3" t="n">
        <v>307</v>
      </c>
      <c r="B308" s="3" t="n">
        <v>7</v>
      </c>
      <c r="C308" s="3" t="s">
        <v>89</v>
      </c>
      <c r="D308" s="3" t="s">
        <v>90</v>
      </c>
      <c r="E308" s="3" t="s">
        <v>91</v>
      </c>
      <c r="F308" s="3" t="s">
        <v>92</v>
      </c>
      <c r="G308" s="3" t="s">
        <v>67</v>
      </c>
      <c r="H308" s="3" t="n">
        <v>1</v>
      </c>
      <c r="I308" s="3" t="n">
        <v>6</v>
      </c>
      <c r="J308" s="3" t="s">
        <v>554</v>
      </c>
      <c r="K308" s="8" t="n">
        <v>24600</v>
      </c>
      <c r="L308" s="8" t="n">
        <v>4500</v>
      </c>
      <c r="M308" s="8" t="n">
        <v>2182.5</v>
      </c>
      <c r="N308" s="8" t="n">
        <v>31282.5</v>
      </c>
      <c r="O308" s="3" t="s">
        <v>76</v>
      </c>
      <c r="P308" s="3" t="s">
        <v>58</v>
      </c>
      <c r="Q308" s="3" t="s">
        <v>69</v>
      </c>
      <c r="R308" s="3" t="str">
        <f aca="false">IF(Q308="pass","No","Yes")</f>
        <v>No</v>
      </c>
      <c r="S308" s="3" t="s">
        <v>60</v>
      </c>
      <c r="T308" s="3"/>
      <c r="U308" s="3"/>
      <c r="V308" s="9" t="n">
        <v>14.653</v>
      </c>
    </row>
    <row r="309" customFormat="false" ht="15" hidden="false" customHeight="true" outlineLevel="0" collapsed="false">
      <c r="A309" s="3" t="n">
        <v>308</v>
      </c>
      <c r="B309" s="3" t="n">
        <v>7</v>
      </c>
      <c r="C309" s="3" t="s">
        <v>89</v>
      </c>
      <c r="D309" s="3" t="s">
        <v>90</v>
      </c>
      <c r="E309" s="3" t="s">
        <v>91</v>
      </c>
      <c r="F309" s="3" t="s">
        <v>92</v>
      </c>
      <c r="G309" s="3" t="s">
        <v>67</v>
      </c>
      <c r="H309" s="3" t="n">
        <v>1</v>
      </c>
      <c r="I309" s="3" t="n">
        <v>14</v>
      </c>
      <c r="J309" s="3" t="s">
        <v>342</v>
      </c>
      <c r="K309" s="8" t="n">
        <v>120400</v>
      </c>
      <c r="L309" s="8" t="n">
        <v>4500</v>
      </c>
      <c r="M309" s="8" t="n">
        <v>9367.5</v>
      </c>
      <c r="N309" s="8" t="n">
        <v>134267.5</v>
      </c>
      <c r="O309" s="3" t="s">
        <v>76</v>
      </c>
      <c r="P309" s="3" t="s">
        <v>58</v>
      </c>
      <c r="Q309" s="3" t="s">
        <v>69</v>
      </c>
      <c r="R309" s="3" t="str">
        <f aca="false">IF(Q309="pass","No","Yes")</f>
        <v>No</v>
      </c>
      <c r="S309" s="3" t="s">
        <v>60</v>
      </c>
      <c r="T309" s="3"/>
      <c r="U309" s="3"/>
      <c r="V309" s="9" t="n">
        <v>14.739</v>
      </c>
    </row>
    <row r="310" customFormat="false" ht="15" hidden="false" customHeight="true" outlineLevel="0" collapsed="false">
      <c r="A310" s="3" t="n">
        <v>309</v>
      </c>
      <c r="B310" s="3" t="n">
        <v>7</v>
      </c>
      <c r="C310" s="3" t="s">
        <v>237</v>
      </c>
      <c r="D310" s="3" t="s">
        <v>238</v>
      </c>
      <c r="E310" s="3" t="s">
        <v>239</v>
      </c>
      <c r="F310" s="3" t="s">
        <v>240</v>
      </c>
      <c r="G310" s="3" t="s">
        <v>116</v>
      </c>
      <c r="H310" s="3" t="n">
        <v>3</v>
      </c>
      <c r="I310" s="3" t="n">
        <v>148</v>
      </c>
      <c r="J310" s="3" t="s">
        <v>555</v>
      </c>
      <c r="K310" s="8" t="n">
        <v>1119800</v>
      </c>
      <c r="L310" s="8" t="n">
        <v>15000</v>
      </c>
      <c r="M310" s="8" t="n">
        <v>85110</v>
      </c>
      <c r="N310" s="8" t="n">
        <v>1219910</v>
      </c>
      <c r="O310" s="3" t="s">
        <v>224</v>
      </c>
      <c r="P310" s="3" t="s">
        <v>84</v>
      </c>
      <c r="Q310" s="3" t="s">
        <v>85</v>
      </c>
      <c r="R310" s="3" t="str">
        <f aca="false">IF(Q310="pass","No","Yes")</f>
        <v>Yes</v>
      </c>
      <c r="S310" s="3" t="s">
        <v>86</v>
      </c>
      <c r="T310" s="3" t="s">
        <v>374</v>
      </c>
      <c r="U310" s="3" t="s">
        <v>556</v>
      </c>
      <c r="V310" s="9" t="n">
        <v>44.931</v>
      </c>
    </row>
    <row r="311" customFormat="false" ht="15" hidden="false" customHeight="true" outlineLevel="0" collapsed="false">
      <c r="A311" s="3" t="n">
        <v>310</v>
      </c>
      <c r="B311" s="3" t="n">
        <v>7</v>
      </c>
      <c r="C311" s="3" t="s">
        <v>112</v>
      </c>
      <c r="D311" s="3" t="s">
        <v>113</v>
      </c>
      <c r="E311" s="3" t="s">
        <v>114</v>
      </c>
      <c r="F311" s="3" t="s">
        <v>115</v>
      </c>
      <c r="G311" s="3" t="s">
        <v>116</v>
      </c>
      <c r="H311" s="3" t="n">
        <v>2</v>
      </c>
      <c r="I311" s="3" t="n">
        <v>17</v>
      </c>
      <c r="J311" s="3" t="s">
        <v>557</v>
      </c>
      <c r="K311" s="8" t="n">
        <v>632000</v>
      </c>
      <c r="L311" s="8" t="n">
        <v>15000</v>
      </c>
      <c r="M311" s="8" t="n">
        <v>48525</v>
      </c>
      <c r="N311" s="8" t="n">
        <v>695525</v>
      </c>
      <c r="O311" s="3" t="s">
        <v>94</v>
      </c>
      <c r="P311" s="3" t="s">
        <v>84</v>
      </c>
      <c r="Q311" s="3" t="s">
        <v>85</v>
      </c>
      <c r="R311" s="3" t="str">
        <f aca="false">IF(Q311="pass","No","Yes")</f>
        <v>Yes</v>
      </c>
      <c r="S311" s="3" t="s">
        <v>86</v>
      </c>
      <c r="T311" s="3" t="s">
        <v>253</v>
      </c>
      <c r="U311" s="3" t="s">
        <v>254</v>
      </c>
      <c r="V311" s="9" t="n">
        <v>21.797</v>
      </c>
    </row>
    <row r="312" customFormat="false" ht="15" hidden="false" customHeight="true" outlineLevel="0" collapsed="false">
      <c r="A312" s="3" t="n">
        <v>311</v>
      </c>
      <c r="B312" s="3" t="n">
        <v>7</v>
      </c>
      <c r="C312" s="3" t="s">
        <v>105</v>
      </c>
      <c r="D312" s="3" t="s">
        <v>106</v>
      </c>
      <c r="E312" s="3" t="s">
        <v>107</v>
      </c>
      <c r="F312" s="3" t="s">
        <v>108</v>
      </c>
      <c r="G312" s="3" t="s">
        <v>81</v>
      </c>
      <c r="H312" s="3" t="n">
        <v>2</v>
      </c>
      <c r="I312" s="3" t="n">
        <v>14</v>
      </c>
      <c r="J312" s="3" t="s">
        <v>558</v>
      </c>
      <c r="K312" s="8" t="n">
        <v>165200</v>
      </c>
      <c r="L312" s="8" t="n">
        <v>4000</v>
      </c>
      <c r="M312" s="8" t="n">
        <v>12690</v>
      </c>
      <c r="N312" s="8" t="n">
        <v>181890</v>
      </c>
      <c r="O312" s="3" t="s">
        <v>57</v>
      </c>
      <c r="P312" s="3" t="s">
        <v>58</v>
      </c>
      <c r="Q312" s="3" t="s">
        <v>69</v>
      </c>
      <c r="R312" s="3" t="str">
        <f aca="false">IF(Q312="pass","No","Yes")</f>
        <v>No</v>
      </c>
      <c r="S312" s="3" t="s">
        <v>60</v>
      </c>
      <c r="T312" s="3"/>
      <c r="U312" s="3"/>
      <c r="V312" s="9" t="n">
        <v>23.618</v>
      </c>
    </row>
    <row r="313" customFormat="false" ht="15" hidden="false" customHeight="true" outlineLevel="0" collapsed="false">
      <c r="A313" s="3" t="n">
        <v>312</v>
      </c>
      <c r="B313" s="3" t="n">
        <v>7</v>
      </c>
      <c r="C313" s="3" t="s">
        <v>198</v>
      </c>
      <c r="D313" s="3" t="s">
        <v>199</v>
      </c>
      <c r="E313" s="3" t="s">
        <v>200</v>
      </c>
      <c r="F313" s="3" t="s">
        <v>201</v>
      </c>
      <c r="G313" s="3" t="s">
        <v>81</v>
      </c>
      <c r="H313" s="3" t="n">
        <v>2</v>
      </c>
      <c r="I313" s="3" t="n">
        <v>100</v>
      </c>
      <c r="J313" s="3" t="s">
        <v>559</v>
      </c>
      <c r="K313" s="8" t="n">
        <v>743800</v>
      </c>
      <c r="L313" s="8" t="n">
        <v>4000</v>
      </c>
      <c r="M313" s="8" t="n">
        <v>56085</v>
      </c>
      <c r="N313" s="8" t="n">
        <v>803885</v>
      </c>
      <c r="O313" s="3" t="s">
        <v>57</v>
      </c>
      <c r="P313" s="3" t="s">
        <v>58</v>
      </c>
      <c r="Q313" s="3" t="s">
        <v>59</v>
      </c>
      <c r="R313" s="3" t="str">
        <f aca="false">IF(Q313="pass","No","Yes")</f>
        <v>Yes</v>
      </c>
      <c r="S313" s="3" t="s">
        <v>60</v>
      </c>
      <c r="T313" s="3" t="s">
        <v>61</v>
      </c>
      <c r="U313" s="3" t="s">
        <v>560</v>
      </c>
      <c r="V313" s="9" t="n">
        <v>36.532</v>
      </c>
    </row>
    <row r="314" customFormat="false" ht="15" hidden="false" customHeight="true" outlineLevel="0" collapsed="false">
      <c r="A314" s="3" t="n">
        <v>313</v>
      </c>
      <c r="B314" s="3" t="n">
        <v>7</v>
      </c>
      <c r="C314" s="3" t="s">
        <v>166</v>
      </c>
      <c r="D314" s="3" t="s">
        <v>167</v>
      </c>
      <c r="E314" s="3" t="s">
        <v>168</v>
      </c>
      <c r="F314" s="3" t="s">
        <v>169</v>
      </c>
      <c r="G314" s="3" t="s">
        <v>74</v>
      </c>
      <c r="H314" s="3" t="n">
        <v>1</v>
      </c>
      <c r="I314" s="3" t="n">
        <v>36</v>
      </c>
      <c r="J314" s="3" t="s">
        <v>561</v>
      </c>
      <c r="K314" s="8" t="n">
        <v>522000</v>
      </c>
      <c r="L314" s="8" t="n">
        <v>9000</v>
      </c>
      <c r="M314" s="8" t="n">
        <v>39825</v>
      </c>
      <c r="N314" s="8" t="n">
        <v>570825</v>
      </c>
      <c r="O314" s="3" t="s">
        <v>57</v>
      </c>
      <c r="P314" s="3" t="s">
        <v>58</v>
      </c>
      <c r="Q314" s="3" t="s">
        <v>69</v>
      </c>
      <c r="R314" s="3" t="str">
        <f aca="false">IF(Q314="pass","No","Yes")</f>
        <v>No</v>
      </c>
      <c r="S314" s="3" t="s">
        <v>60</v>
      </c>
      <c r="T314" s="3"/>
      <c r="U314" s="3"/>
      <c r="V314" s="9" t="n">
        <v>15.917</v>
      </c>
    </row>
    <row r="315" customFormat="false" ht="15" hidden="false" customHeight="true" outlineLevel="0" collapsed="false">
      <c r="A315" s="3" t="n">
        <v>314</v>
      </c>
      <c r="B315" s="3" t="n">
        <v>7</v>
      </c>
      <c r="C315" s="3" t="s">
        <v>89</v>
      </c>
      <c r="D315" s="3" t="s">
        <v>90</v>
      </c>
      <c r="E315" s="3" t="s">
        <v>91</v>
      </c>
      <c r="F315" s="3" t="s">
        <v>92</v>
      </c>
      <c r="G315" s="3" t="s">
        <v>67</v>
      </c>
      <c r="H315" s="3" t="n">
        <v>3</v>
      </c>
      <c r="I315" s="3" t="n">
        <v>187</v>
      </c>
      <c r="J315" s="3" t="s">
        <v>562</v>
      </c>
      <c r="K315" s="8" t="n">
        <v>2121300</v>
      </c>
      <c r="L315" s="8" t="n">
        <v>4500</v>
      </c>
      <c r="M315" s="8" t="n">
        <v>159435</v>
      </c>
      <c r="N315" s="8" t="n">
        <v>2285235</v>
      </c>
      <c r="O315" s="3" t="s">
        <v>57</v>
      </c>
      <c r="P315" s="3" t="s">
        <v>58</v>
      </c>
      <c r="Q315" s="3" t="s">
        <v>59</v>
      </c>
      <c r="R315" s="3" t="str">
        <f aca="false">IF(Q315="pass","No","Yes")</f>
        <v>Yes</v>
      </c>
      <c r="S315" s="3" t="s">
        <v>60</v>
      </c>
      <c r="T315" s="3" t="s">
        <v>61</v>
      </c>
      <c r="U315" s="3" t="s">
        <v>563</v>
      </c>
      <c r="V315" s="9" t="n">
        <v>48.52</v>
      </c>
    </row>
    <row r="316" customFormat="false" ht="15" hidden="false" customHeight="true" outlineLevel="0" collapsed="false">
      <c r="A316" s="3" t="n">
        <v>315</v>
      </c>
      <c r="B316" s="3" t="n">
        <v>7</v>
      </c>
      <c r="C316" s="3" t="s">
        <v>137</v>
      </c>
      <c r="D316" s="3" t="s">
        <v>138</v>
      </c>
      <c r="E316" s="3" t="s">
        <v>139</v>
      </c>
      <c r="F316" s="3" t="s">
        <v>140</v>
      </c>
      <c r="G316" s="3" t="s">
        <v>55</v>
      </c>
      <c r="H316" s="3" t="n">
        <v>2</v>
      </c>
      <c r="I316" s="3" t="n">
        <v>8</v>
      </c>
      <c r="J316" s="3" t="s">
        <v>564</v>
      </c>
      <c r="K316" s="8" t="n">
        <v>297000</v>
      </c>
      <c r="L316" s="8" t="n">
        <v>6000</v>
      </c>
      <c r="M316" s="8" t="n">
        <v>22725</v>
      </c>
      <c r="N316" s="8" t="n">
        <v>325725</v>
      </c>
      <c r="O316" s="3" t="s">
        <v>57</v>
      </c>
      <c r="P316" s="3" t="s">
        <v>58</v>
      </c>
      <c r="Q316" s="3" t="s">
        <v>69</v>
      </c>
      <c r="R316" s="3" t="str">
        <f aca="false">IF(Q316="pass","No","Yes")</f>
        <v>No</v>
      </c>
      <c r="S316" s="3" t="s">
        <v>60</v>
      </c>
      <c r="T316" s="3"/>
      <c r="U316" s="3"/>
      <c r="V316" s="9" t="n">
        <v>23.534</v>
      </c>
    </row>
    <row r="317" customFormat="false" ht="15" hidden="false" customHeight="true" outlineLevel="0" collapsed="false">
      <c r="A317" s="3" t="n">
        <v>316</v>
      </c>
      <c r="B317" s="3" t="n">
        <v>7</v>
      </c>
      <c r="C317" s="3" t="s">
        <v>112</v>
      </c>
      <c r="D317" s="3" t="s">
        <v>113</v>
      </c>
      <c r="E317" s="3" t="s">
        <v>114</v>
      </c>
      <c r="F317" s="3" t="s">
        <v>115</v>
      </c>
      <c r="G317" s="3" t="s">
        <v>116</v>
      </c>
      <c r="H317" s="3" t="n">
        <v>1</v>
      </c>
      <c r="I317" s="3" t="n">
        <v>23</v>
      </c>
      <c r="J317" s="3" t="s">
        <v>445</v>
      </c>
      <c r="K317" s="8" t="n">
        <v>271400</v>
      </c>
      <c r="L317" s="8" t="n">
        <v>15000</v>
      </c>
      <c r="M317" s="8" t="n">
        <v>21480</v>
      </c>
      <c r="N317" s="8" t="n">
        <v>307880</v>
      </c>
      <c r="O317" s="3" t="s">
        <v>76</v>
      </c>
      <c r="P317" s="3" t="s">
        <v>58</v>
      </c>
      <c r="Q317" s="3" t="s">
        <v>69</v>
      </c>
      <c r="R317" s="3" t="str">
        <f aca="false">IF(Q317="pass","No","Yes")</f>
        <v>No</v>
      </c>
      <c r="S317" s="3" t="s">
        <v>60</v>
      </c>
      <c r="T317" s="3"/>
      <c r="U317" s="3"/>
      <c r="V317" s="9" t="n">
        <v>16.506</v>
      </c>
    </row>
    <row r="318" customFormat="false" ht="15" hidden="false" customHeight="true" outlineLevel="0" collapsed="false">
      <c r="A318" s="3" t="n">
        <v>317</v>
      </c>
      <c r="B318" s="3" t="n">
        <v>7</v>
      </c>
      <c r="C318" s="3" t="s">
        <v>154</v>
      </c>
      <c r="D318" s="3" t="s">
        <v>155</v>
      </c>
      <c r="E318" s="3" t="s">
        <v>156</v>
      </c>
      <c r="F318" s="3" t="s">
        <v>157</v>
      </c>
      <c r="G318" s="3" t="s">
        <v>123</v>
      </c>
      <c r="H318" s="3" t="n">
        <v>2</v>
      </c>
      <c r="I318" s="3" t="n">
        <v>263</v>
      </c>
      <c r="J318" s="3" t="s">
        <v>565</v>
      </c>
      <c r="K318" s="8" t="n">
        <v>2332600</v>
      </c>
      <c r="L318" s="8" t="n">
        <v>5000</v>
      </c>
      <c r="M318" s="8" t="n">
        <v>175320</v>
      </c>
      <c r="N318" s="8" t="n">
        <v>2512920</v>
      </c>
      <c r="O318" s="3" t="s">
        <v>171</v>
      </c>
      <c r="P318" s="3" t="s">
        <v>84</v>
      </c>
      <c r="Q318" s="3" t="s">
        <v>85</v>
      </c>
      <c r="R318" s="3" t="str">
        <f aca="false">IF(Q318="pass","No","Yes")</f>
        <v>Yes</v>
      </c>
      <c r="S318" s="3" t="s">
        <v>86</v>
      </c>
      <c r="T318" s="3" t="s">
        <v>209</v>
      </c>
      <c r="U318" s="3" t="s">
        <v>210</v>
      </c>
      <c r="V318" s="9" t="n">
        <v>25.083</v>
      </c>
    </row>
    <row r="319" customFormat="false" ht="15" hidden="false" customHeight="true" outlineLevel="0" collapsed="false">
      <c r="A319" s="3" t="n">
        <v>318</v>
      </c>
      <c r="B319" s="3" t="n">
        <v>7</v>
      </c>
      <c r="C319" s="3" t="s">
        <v>186</v>
      </c>
      <c r="D319" s="3" t="s">
        <v>187</v>
      </c>
      <c r="E319" s="3" t="s">
        <v>188</v>
      </c>
      <c r="F319" s="3" t="s">
        <v>189</v>
      </c>
      <c r="G319" s="3" t="s">
        <v>123</v>
      </c>
      <c r="H319" s="3" t="n">
        <v>1</v>
      </c>
      <c r="I319" s="3" t="n">
        <v>202</v>
      </c>
      <c r="J319" s="3" t="s">
        <v>489</v>
      </c>
      <c r="K319" s="8" t="n">
        <v>1919000</v>
      </c>
      <c r="L319" s="8" t="n">
        <v>5000</v>
      </c>
      <c r="M319" s="8" t="n">
        <v>144300</v>
      </c>
      <c r="N319" s="8" t="n">
        <v>2068300</v>
      </c>
      <c r="O319" s="3" t="s">
        <v>110</v>
      </c>
      <c r="P319" s="3" t="s">
        <v>58</v>
      </c>
      <c r="Q319" s="3" t="s">
        <v>69</v>
      </c>
      <c r="R319" s="3" t="str">
        <f aca="false">IF(Q319="pass","No","Yes")</f>
        <v>No</v>
      </c>
      <c r="S319" s="3" t="s">
        <v>60</v>
      </c>
      <c r="T319" s="3"/>
      <c r="U319" s="3"/>
      <c r="V319" s="9" t="n">
        <v>30.443</v>
      </c>
    </row>
    <row r="320" customFormat="false" ht="15" hidden="false" customHeight="true" outlineLevel="0" collapsed="false">
      <c r="A320" s="3" t="n">
        <v>319</v>
      </c>
      <c r="B320" s="3" t="n">
        <v>7</v>
      </c>
      <c r="C320" s="3" t="s">
        <v>89</v>
      </c>
      <c r="D320" s="3" t="s">
        <v>90</v>
      </c>
      <c r="E320" s="3" t="s">
        <v>91</v>
      </c>
      <c r="F320" s="3" t="s">
        <v>92</v>
      </c>
      <c r="G320" s="3" t="s">
        <v>67</v>
      </c>
      <c r="H320" s="3" t="n">
        <v>1</v>
      </c>
      <c r="I320" s="3" t="n">
        <v>8</v>
      </c>
      <c r="J320" s="3" t="s">
        <v>566</v>
      </c>
      <c r="K320" s="8" t="n">
        <v>248000</v>
      </c>
      <c r="L320" s="8" t="n">
        <v>4500</v>
      </c>
      <c r="M320" s="8" t="n">
        <v>18937.5</v>
      </c>
      <c r="N320" s="8" t="n">
        <v>271437.5</v>
      </c>
      <c r="O320" s="3" t="s">
        <v>94</v>
      </c>
      <c r="P320" s="3" t="s">
        <v>84</v>
      </c>
      <c r="Q320" s="3" t="s">
        <v>85</v>
      </c>
      <c r="R320" s="3" t="str">
        <f aca="false">IF(Q320="pass","No","Yes")</f>
        <v>Yes</v>
      </c>
      <c r="S320" s="3" t="s">
        <v>86</v>
      </c>
      <c r="T320" s="3" t="s">
        <v>253</v>
      </c>
      <c r="U320" s="3" t="s">
        <v>254</v>
      </c>
      <c r="V320" s="9" t="n">
        <v>15.274</v>
      </c>
    </row>
    <row r="321" customFormat="false" ht="15" hidden="false" customHeight="true" outlineLevel="0" collapsed="false">
      <c r="A321" s="3" t="n">
        <v>320</v>
      </c>
      <c r="B321" s="3" t="n">
        <v>7</v>
      </c>
      <c r="C321" s="3" t="s">
        <v>127</v>
      </c>
      <c r="D321" s="3" t="s">
        <v>128</v>
      </c>
      <c r="E321" s="3" t="s">
        <v>129</v>
      </c>
      <c r="F321" s="3" t="s">
        <v>130</v>
      </c>
      <c r="G321" s="3" t="s">
        <v>55</v>
      </c>
      <c r="H321" s="3" t="n">
        <v>1</v>
      </c>
      <c r="I321" s="3" t="n">
        <v>2</v>
      </c>
      <c r="J321" s="3" t="s">
        <v>567</v>
      </c>
      <c r="K321" s="8" t="n">
        <v>76000</v>
      </c>
      <c r="L321" s="8" t="n">
        <v>6000</v>
      </c>
      <c r="M321" s="8" t="n">
        <v>6150</v>
      </c>
      <c r="N321" s="8" t="n">
        <v>88150</v>
      </c>
      <c r="O321" s="3" t="s">
        <v>57</v>
      </c>
      <c r="P321" s="3" t="s">
        <v>58</v>
      </c>
      <c r="Q321" s="3" t="s">
        <v>69</v>
      </c>
      <c r="R321" s="3" t="str">
        <f aca="false">IF(Q321="pass","No","Yes")</f>
        <v>No</v>
      </c>
      <c r="S321" s="3" t="s">
        <v>60</v>
      </c>
      <c r="T321" s="3"/>
      <c r="U321" s="3"/>
      <c r="V321" s="9" t="n">
        <v>14.461</v>
      </c>
    </row>
    <row r="322" customFormat="false" ht="15" hidden="false" customHeight="true" outlineLevel="0" collapsed="false">
      <c r="A322" s="3" t="n">
        <v>321</v>
      </c>
      <c r="B322" s="3" t="n">
        <v>7</v>
      </c>
      <c r="C322" s="3" t="s">
        <v>127</v>
      </c>
      <c r="D322" s="3" t="s">
        <v>128</v>
      </c>
      <c r="E322" s="3" t="s">
        <v>129</v>
      </c>
      <c r="F322" s="3" t="s">
        <v>130</v>
      </c>
      <c r="G322" s="3" t="s">
        <v>146</v>
      </c>
      <c r="H322" s="3" t="n">
        <v>1</v>
      </c>
      <c r="I322" s="3" t="n">
        <v>28</v>
      </c>
      <c r="J322" s="3" t="s">
        <v>568</v>
      </c>
      <c r="K322" s="8" t="n">
        <v>350000</v>
      </c>
      <c r="L322" s="8" t="n">
        <v>0</v>
      </c>
      <c r="M322" s="8" t="n">
        <v>26250</v>
      </c>
      <c r="N322" s="8" t="n">
        <v>376250</v>
      </c>
      <c r="O322" s="3" t="s">
        <v>148</v>
      </c>
      <c r="P322" s="3" t="s">
        <v>84</v>
      </c>
      <c r="Q322" s="3" t="s">
        <v>85</v>
      </c>
      <c r="R322" s="3" t="str">
        <f aca="false">IF(Q322="pass","No","Yes")</f>
        <v>Yes</v>
      </c>
      <c r="S322" s="3" t="s">
        <v>86</v>
      </c>
      <c r="T322" s="3" t="s">
        <v>149</v>
      </c>
      <c r="U322" s="3" t="s">
        <v>150</v>
      </c>
      <c r="V322" s="9" t="n">
        <v>15.478</v>
      </c>
    </row>
    <row r="323" customFormat="false" ht="15" hidden="false" customHeight="true" outlineLevel="0" collapsed="false">
      <c r="A323" s="3" t="n">
        <v>322</v>
      </c>
      <c r="B323" s="3" t="n">
        <v>7</v>
      </c>
      <c r="C323" s="3" t="s">
        <v>63</v>
      </c>
      <c r="D323" s="3" t="s">
        <v>64</v>
      </c>
      <c r="E323" s="3" t="s">
        <v>65</v>
      </c>
      <c r="F323" s="3" t="s">
        <v>66</v>
      </c>
      <c r="G323" s="3" t="s">
        <v>146</v>
      </c>
      <c r="H323" s="3" t="n">
        <v>3</v>
      </c>
      <c r="I323" s="3" t="n">
        <v>74</v>
      </c>
      <c r="J323" s="3" t="s">
        <v>569</v>
      </c>
      <c r="K323" s="8" t="n">
        <v>1122700</v>
      </c>
      <c r="L323" s="8" t="n">
        <v>0</v>
      </c>
      <c r="M323" s="8" t="n">
        <v>84202.5</v>
      </c>
      <c r="N323" s="8" t="n">
        <v>1206902.5</v>
      </c>
      <c r="O323" s="3" t="s">
        <v>148</v>
      </c>
      <c r="P323" s="3" t="s">
        <v>84</v>
      </c>
      <c r="Q323" s="3" t="s">
        <v>85</v>
      </c>
      <c r="R323" s="3" t="str">
        <f aca="false">IF(Q323="pass","No","Yes")</f>
        <v>Yes</v>
      </c>
      <c r="S323" s="3" t="s">
        <v>86</v>
      </c>
      <c r="T323" s="3" t="s">
        <v>149</v>
      </c>
      <c r="U323" s="3" t="s">
        <v>150</v>
      </c>
      <c r="V323" s="9" t="n">
        <v>39.849</v>
      </c>
    </row>
    <row r="324" customFormat="false" ht="15" hidden="false" customHeight="true" outlineLevel="0" collapsed="false">
      <c r="A324" s="3" t="n">
        <v>323</v>
      </c>
      <c r="B324" s="3" t="n">
        <v>7</v>
      </c>
      <c r="C324" s="3" t="s">
        <v>63</v>
      </c>
      <c r="D324" s="3" t="s">
        <v>64</v>
      </c>
      <c r="E324" s="3" t="s">
        <v>65</v>
      </c>
      <c r="F324" s="3" t="s">
        <v>66</v>
      </c>
      <c r="G324" s="3" t="s">
        <v>67</v>
      </c>
      <c r="H324" s="3" t="n">
        <v>1</v>
      </c>
      <c r="I324" s="3" t="n">
        <v>13</v>
      </c>
      <c r="J324" s="3" t="s">
        <v>570</v>
      </c>
      <c r="K324" s="8" t="n">
        <v>162500</v>
      </c>
      <c r="L324" s="8" t="n">
        <v>4500</v>
      </c>
      <c r="M324" s="8" t="n">
        <v>12525</v>
      </c>
      <c r="N324" s="8" t="n">
        <v>179525</v>
      </c>
      <c r="O324" s="3" t="s">
        <v>224</v>
      </c>
      <c r="P324" s="3" t="s">
        <v>84</v>
      </c>
      <c r="Q324" s="3" t="s">
        <v>85</v>
      </c>
      <c r="R324" s="3" t="str">
        <f aca="false">IF(Q324="pass","No","Yes")</f>
        <v>Yes</v>
      </c>
      <c r="S324" s="3" t="s">
        <v>86</v>
      </c>
      <c r="T324" s="3" t="s">
        <v>149</v>
      </c>
      <c r="U324" s="3" t="s">
        <v>225</v>
      </c>
      <c r="V324" s="9" t="n">
        <v>16.26</v>
      </c>
    </row>
    <row r="325" customFormat="false" ht="15" hidden="false" customHeight="true" outlineLevel="0" collapsed="false">
      <c r="A325" s="3" t="n">
        <v>324</v>
      </c>
      <c r="B325" s="3" t="n">
        <v>7</v>
      </c>
      <c r="C325" s="3" t="s">
        <v>213</v>
      </c>
      <c r="D325" s="3" t="s">
        <v>214</v>
      </c>
      <c r="E325" s="3" t="s">
        <v>215</v>
      </c>
      <c r="F325" s="3" t="s">
        <v>216</v>
      </c>
      <c r="G325" s="3" t="s">
        <v>67</v>
      </c>
      <c r="H325" s="3" t="n">
        <v>3</v>
      </c>
      <c r="I325" s="3" t="n">
        <v>130</v>
      </c>
      <c r="J325" s="3" t="s">
        <v>571</v>
      </c>
      <c r="K325" s="8" t="n">
        <v>1338200</v>
      </c>
      <c r="L325" s="8" t="n">
        <v>4500</v>
      </c>
      <c r="M325" s="8" t="n">
        <v>100702.5</v>
      </c>
      <c r="N325" s="8" t="n">
        <v>1443402.5</v>
      </c>
      <c r="O325" s="3" t="s">
        <v>152</v>
      </c>
      <c r="P325" s="3" t="s">
        <v>84</v>
      </c>
      <c r="Q325" s="3" t="s">
        <v>85</v>
      </c>
      <c r="R325" s="3" t="str">
        <f aca="false">IF(Q325="pass","No","Yes")</f>
        <v>Yes</v>
      </c>
      <c r="S325" s="3" t="s">
        <v>86</v>
      </c>
      <c r="T325" s="3" t="s">
        <v>87</v>
      </c>
      <c r="U325" s="3" t="s">
        <v>475</v>
      </c>
      <c r="V325" s="9" t="n">
        <v>48.688</v>
      </c>
    </row>
    <row r="326" customFormat="false" ht="15" hidden="false" customHeight="true" outlineLevel="0" collapsed="false">
      <c r="A326" s="3" t="n">
        <v>325</v>
      </c>
      <c r="B326" s="3" t="n">
        <v>7</v>
      </c>
      <c r="C326" s="3" t="s">
        <v>137</v>
      </c>
      <c r="D326" s="3" t="s">
        <v>138</v>
      </c>
      <c r="E326" s="3" t="s">
        <v>139</v>
      </c>
      <c r="F326" s="3" t="s">
        <v>140</v>
      </c>
      <c r="G326" s="3" t="s">
        <v>55</v>
      </c>
      <c r="H326" s="3" t="n">
        <v>3</v>
      </c>
      <c r="I326" s="3" t="n">
        <v>45</v>
      </c>
      <c r="J326" s="3" t="s">
        <v>572</v>
      </c>
      <c r="K326" s="8" t="n">
        <v>1259700</v>
      </c>
      <c r="L326" s="8" t="n">
        <v>6000</v>
      </c>
      <c r="M326" s="8" t="n">
        <v>94927.5</v>
      </c>
      <c r="N326" s="8" t="n">
        <v>1360627.5</v>
      </c>
      <c r="O326" s="3" t="s">
        <v>57</v>
      </c>
      <c r="P326" s="3" t="s">
        <v>58</v>
      </c>
      <c r="Q326" s="3" t="s">
        <v>69</v>
      </c>
      <c r="R326" s="3" t="str">
        <f aca="false">IF(Q326="pass","No","Yes")</f>
        <v>No</v>
      </c>
      <c r="S326" s="3" t="s">
        <v>60</v>
      </c>
      <c r="T326" s="3"/>
      <c r="U326" s="3"/>
      <c r="V326" s="9" t="n">
        <v>34.522</v>
      </c>
    </row>
    <row r="327" customFormat="false" ht="15" hidden="false" customHeight="true" outlineLevel="0" collapsed="false">
      <c r="A327" s="3" t="n">
        <v>326</v>
      </c>
      <c r="B327" s="3" t="n">
        <v>7</v>
      </c>
      <c r="C327" s="3" t="s">
        <v>186</v>
      </c>
      <c r="D327" s="3" t="s">
        <v>187</v>
      </c>
      <c r="E327" s="3" t="s">
        <v>188</v>
      </c>
      <c r="F327" s="3" t="s">
        <v>189</v>
      </c>
      <c r="G327" s="3" t="s">
        <v>146</v>
      </c>
      <c r="H327" s="3" t="n">
        <v>3</v>
      </c>
      <c r="I327" s="3" t="n">
        <v>206</v>
      </c>
      <c r="J327" s="3" t="s">
        <v>573</v>
      </c>
      <c r="K327" s="8" t="n">
        <v>2106300</v>
      </c>
      <c r="L327" s="8" t="n">
        <v>0</v>
      </c>
      <c r="M327" s="8" t="n">
        <v>157972.5</v>
      </c>
      <c r="N327" s="8" t="n">
        <v>2264272.5</v>
      </c>
      <c r="O327" s="3" t="s">
        <v>148</v>
      </c>
      <c r="P327" s="3" t="s">
        <v>84</v>
      </c>
      <c r="Q327" s="3" t="s">
        <v>85</v>
      </c>
      <c r="R327" s="3" t="str">
        <f aca="false">IF(Q327="pass","No","Yes")</f>
        <v>Yes</v>
      </c>
      <c r="S327" s="3" t="s">
        <v>86</v>
      </c>
      <c r="T327" s="3" t="s">
        <v>374</v>
      </c>
      <c r="U327" s="3" t="s">
        <v>574</v>
      </c>
      <c r="V327" s="9" t="n">
        <v>62.139</v>
      </c>
    </row>
    <row r="328" customFormat="false" ht="15" hidden="false" customHeight="true" outlineLevel="0" collapsed="false">
      <c r="A328" s="3" t="n">
        <v>327</v>
      </c>
      <c r="B328" s="3" t="n">
        <v>7</v>
      </c>
      <c r="C328" s="3" t="s">
        <v>51</v>
      </c>
      <c r="D328" s="3" t="s">
        <v>52</v>
      </c>
      <c r="E328" s="3" t="s">
        <v>53</v>
      </c>
      <c r="F328" s="3" t="s">
        <v>54</v>
      </c>
      <c r="G328" s="3" t="s">
        <v>55</v>
      </c>
      <c r="H328" s="3" t="n">
        <v>1</v>
      </c>
      <c r="I328" s="3" t="n">
        <v>2</v>
      </c>
      <c r="J328" s="3" t="s">
        <v>255</v>
      </c>
      <c r="K328" s="8" t="n">
        <v>8200</v>
      </c>
      <c r="L328" s="8" t="n">
        <v>6000</v>
      </c>
      <c r="M328" s="8" t="n">
        <v>1065</v>
      </c>
      <c r="N328" s="8" t="n">
        <v>15265</v>
      </c>
      <c r="O328" s="3" t="s">
        <v>57</v>
      </c>
      <c r="P328" s="3" t="s">
        <v>58</v>
      </c>
      <c r="Q328" s="3" t="s">
        <v>59</v>
      </c>
      <c r="R328" s="3" t="str">
        <f aca="false">IF(Q328="pass","No","Yes")</f>
        <v>Yes</v>
      </c>
      <c r="S328" s="3" t="s">
        <v>98</v>
      </c>
      <c r="T328" s="3" t="s">
        <v>97</v>
      </c>
      <c r="U328" s="3" t="s">
        <v>575</v>
      </c>
      <c r="V328" s="9" t="n">
        <v>13.457</v>
      </c>
    </row>
    <row r="329" customFormat="false" ht="15" hidden="false" customHeight="true" outlineLevel="0" collapsed="false">
      <c r="A329" s="3" t="n">
        <v>328</v>
      </c>
      <c r="B329" s="3" t="n">
        <v>7</v>
      </c>
      <c r="C329" s="3" t="s">
        <v>137</v>
      </c>
      <c r="D329" s="3" t="s">
        <v>138</v>
      </c>
      <c r="E329" s="3" t="s">
        <v>139</v>
      </c>
      <c r="F329" s="3" t="s">
        <v>140</v>
      </c>
      <c r="G329" s="3" t="s">
        <v>55</v>
      </c>
      <c r="H329" s="3" t="n">
        <v>1</v>
      </c>
      <c r="I329" s="3" t="n">
        <v>161</v>
      </c>
      <c r="J329" s="3" t="s">
        <v>576</v>
      </c>
      <c r="K329" s="8" t="n">
        <v>1529500</v>
      </c>
      <c r="L329" s="8" t="n">
        <v>6000</v>
      </c>
      <c r="M329" s="8" t="n">
        <v>115162.5</v>
      </c>
      <c r="N329" s="8" t="n">
        <v>1650662.5</v>
      </c>
      <c r="O329" s="3" t="s">
        <v>57</v>
      </c>
      <c r="P329" s="3" t="s">
        <v>58</v>
      </c>
      <c r="Q329" s="3" t="s">
        <v>69</v>
      </c>
      <c r="R329" s="3" t="str">
        <f aca="false">IF(Q329="pass","No","Yes")</f>
        <v>No</v>
      </c>
      <c r="S329" s="3" t="s">
        <v>60</v>
      </c>
      <c r="T329" s="3"/>
      <c r="U329" s="3"/>
      <c r="V329" s="9" t="n">
        <v>31.216</v>
      </c>
    </row>
    <row r="330" customFormat="false" ht="15" hidden="false" customHeight="true" outlineLevel="0" collapsed="false">
      <c r="A330" s="3" t="n">
        <v>329</v>
      </c>
      <c r="B330" s="3" t="n">
        <v>7</v>
      </c>
      <c r="C330" s="3" t="s">
        <v>213</v>
      </c>
      <c r="D330" s="3" t="s">
        <v>214</v>
      </c>
      <c r="E330" s="3" t="s">
        <v>215</v>
      </c>
      <c r="F330" s="3" t="s">
        <v>216</v>
      </c>
      <c r="G330" s="3" t="s">
        <v>67</v>
      </c>
      <c r="H330" s="3" t="n">
        <v>3</v>
      </c>
      <c r="I330" s="3" t="n">
        <v>95</v>
      </c>
      <c r="J330" s="3" t="s">
        <v>577</v>
      </c>
      <c r="K330" s="8" t="n">
        <v>1612800</v>
      </c>
      <c r="L330" s="8" t="n">
        <v>4500</v>
      </c>
      <c r="M330" s="8" t="n">
        <v>121297.5</v>
      </c>
      <c r="N330" s="8" t="n">
        <v>1738597.5</v>
      </c>
      <c r="O330" s="3" t="s">
        <v>57</v>
      </c>
      <c r="P330" s="3" t="s">
        <v>58</v>
      </c>
      <c r="Q330" s="3" t="s">
        <v>69</v>
      </c>
      <c r="R330" s="3" t="str">
        <f aca="false">IF(Q330="pass","No","Yes")</f>
        <v>No</v>
      </c>
      <c r="S330" s="3" t="s">
        <v>60</v>
      </c>
      <c r="T330" s="3"/>
      <c r="U330" s="3"/>
      <c r="V330" s="9" t="n">
        <v>49.529</v>
      </c>
    </row>
    <row r="331" customFormat="false" ht="15" hidden="false" customHeight="true" outlineLevel="0" collapsed="false">
      <c r="A331" s="3" t="n">
        <v>330</v>
      </c>
      <c r="B331" s="3" t="n">
        <v>7</v>
      </c>
      <c r="C331" s="3" t="s">
        <v>191</v>
      </c>
      <c r="D331" s="3" t="s">
        <v>192</v>
      </c>
      <c r="E331" s="3" t="s">
        <v>193</v>
      </c>
      <c r="F331" s="3" t="s">
        <v>194</v>
      </c>
      <c r="G331" s="3" t="s">
        <v>116</v>
      </c>
      <c r="H331" s="3" t="n">
        <v>2</v>
      </c>
      <c r="I331" s="3" t="n">
        <v>174</v>
      </c>
      <c r="J331" s="3" t="s">
        <v>578</v>
      </c>
      <c r="K331" s="8" t="n">
        <v>1828500</v>
      </c>
      <c r="L331" s="8" t="n">
        <v>15000</v>
      </c>
      <c r="M331" s="8" t="n">
        <v>138262.5</v>
      </c>
      <c r="N331" s="8" t="n">
        <v>1981762.5</v>
      </c>
      <c r="O331" s="3" t="s">
        <v>132</v>
      </c>
      <c r="P331" s="3" t="s">
        <v>84</v>
      </c>
      <c r="Q331" s="3" t="s">
        <v>85</v>
      </c>
      <c r="R331" s="3" t="str">
        <f aca="false">IF(Q331="pass","No","Yes")</f>
        <v>Yes</v>
      </c>
      <c r="S331" s="3" t="s">
        <v>86</v>
      </c>
      <c r="T331" s="3" t="s">
        <v>133</v>
      </c>
      <c r="U331" s="3" t="s">
        <v>134</v>
      </c>
      <c r="V331" s="9" t="n">
        <v>33.173</v>
      </c>
    </row>
    <row r="332" customFormat="false" ht="15" hidden="false" customHeight="true" outlineLevel="0" collapsed="false">
      <c r="A332" s="3" t="n">
        <v>331</v>
      </c>
      <c r="B332" s="3" t="n">
        <v>7</v>
      </c>
      <c r="C332" s="3" t="s">
        <v>119</v>
      </c>
      <c r="D332" s="3" t="s">
        <v>120</v>
      </c>
      <c r="E332" s="3" t="s">
        <v>121</v>
      </c>
      <c r="F332" s="3" t="s">
        <v>122</v>
      </c>
      <c r="G332" s="3" t="s">
        <v>123</v>
      </c>
      <c r="H332" s="3" t="n">
        <v>2</v>
      </c>
      <c r="I332" s="3" t="n">
        <v>82</v>
      </c>
      <c r="J332" s="3" t="s">
        <v>579</v>
      </c>
      <c r="K332" s="8" t="n">
        <v>1015200</v>
      </c>
      <c r="L332" s="8" t="n">
        <v>5000</v>
      </c>
      <c r="M332" s="8" t="n">
        <v>76515</v>
      </c>
      <c r="N332" s="8" t="n">
        <v>1096715</v>
      </c>
      <c r="O332" s="3" t="s">
        <v>57</v>
      </c>
      <c r="P332" s="3" t="s">
        <v>58</v>
      </c>
      <c r="Q332" s="3" t="s">
        <v>69</v>
      </c>
      <c r="R332" s="3" t="str">
        <f aca="false">IF(Q332="pass","No","Yes")</f>
        <v>No</v>
      </c>
      <c r="S332" s="3" t="s">
        <v>60</v>
      </c>
      <c r="T332" s="3"/>
      <c r="U332" s="3"/>
      <c r="V332" s="9" t="n">
        <v>27.949</v>
      </c>
    </row>
    <row r="333" customFormat="false" ht="15" hidden="false" customHeight="true" outlineLevel="0" collapsed="false">
      <c r="A333" s="3" t="n">
        <v>332</v>
      </c>
      <c r="B333" s="3" t="n">
        <v>7</v>
      </c>
      <c r="C333" s="3" t="s">
        <v>77</v>
      </c>
      <c r="D333" s="3" t="s">
        <v>78</v>
      </c>
      <c r="E333" s="3" t="s">
        <v>79</v>
      </c>
      <c r="F333" s="3" t="s">
        <v>80</v>
      </c>
      <c r="G333" s="3" t="s">
        <v>81</v>
      </c>
      <c r="H333" s="3" t="n">
        <v>1</v>
      </c>
      <c r="I333" s="3" t="n">
        <v>204</v>
      </c>
      <c r="J333" s="3" t="s">
        <v>580</v>
      </c>
      <c r="K333" s="8" t="n">
        <v>1938000</v>
      </c>
      <c r="L333" s="8" t="n">
        <v>4000</v>
      </c>
      <c r="M333" s="8" t="n">
        <v>145650</v>
      </c>
      <c r="N333" s="8" t="n">
        <v>2087650</v>
      </c>
      <c r="O333" s="3" t="s">
        <v>110</v>
      </c>
      <c r="P333" s="3" t="s">
        <v>58</v>
      </c>
      <c r="Q333" s="3" t="s">
        <v>69</v>
      </c>
      <c r="R333" s="3" t="str">
        <f aca="false">IF(Q333="pass","No","Yes")</f>
        <v>No</v>
      </c>
      <c r="S333" s="3" t="s">
        <v>60</v>
      </c>
      <c r="T333" s="3"/>
      <c r="U333" s="3"/>
      <c r="V333" s="9" t="n">
        <v>32.421</v>
      </c>
    </row>
    <row r="334" customFormat="false" ht="15" hidden="false" customHeight="true" outlineLevel="0" collapsed="false">
      <c r="A334" s="3" t="n">
        <v>333</v>
      </c>
      <c r="B334" s="3" t="n">
        <v>7</v>
      </c>
      <c r="C334" s="3" t="s">
        <v>63</v>
      </c>
      <c r="D334" s="3" t="s">
        <v>64</v>
      </c>
      <c r="E334" s="3" t="s">
        <v>65</v>
      </c>
      <c r="F334" s="3" t="s">
        <v>66</v>
      </c>
      <c r="G334" s="3" t="s">
        <v>67</v>
      </c>
      <c r="H334" s="3" t="n">
        <v>1</v>
      </c>
      <c r="I334" s="3" t="n">
        <v>13</v>
      </c>
      <c r="J334" s="3" t="s">
        <v>581</v>
      </c>
      <c r="K334" s="8" t="n">
        <v>403000</v>
      </c>
      <c r="L334" s="8" t="n">
        <v>4500</v>
      </c>
      <c r="M334" s="8" t="n">
        <v>30562.5</v>
      </c>
      <c r="N334" s="8" t="n">
        <v>438062.5</v>
      </c>
      <c r="O334" s="3" t="s">
        <v>57</v>
      </c>
      <c r="P334" s="3" t="s">
        <v>58</v>
      </c>
      <c r="Q334" s="3" t="s">
        <v>69</v>
      </c>
      <c r="R334" s="3" t="str">
        <f aca="false">IF(Q334="pass","No","Yes")</f>
        <v>No</v>
      </c>
      <c r="S334" s="3" t="s">
        <v>60</v>
      </c>
      <c r="T334" s="3"/>
      <c r="U334" s="3"/>
      <c r="V334" s="9" t="n">
        <v>16.277</v>
      </c>
    </row>
    <row r="335" customFormat="false" ht="15" hidden="false" customHeight="true" outlineLevel="0" collapsed="false">
      <c r="A335" s="3" t="n">
        <v>334</v>
      </c>
      <c r="B335" s="3" t="n">
        <v>7</v>
      </c>
      <c r="C335" s="3" t="s">
        <v>77</v>
      </c>
      <c r="D335" s="3" t="s">
        <v>78</v>
      </c>
      <c r="E335" s="3" t="s">
        <v>79</v>
      </c>
      <c r="F335" s="3" t="s">
        <v>80</v>
      </c>
      <c r="G335" s="3" t="s">
        <v>81</v>
      </c>
      <c r="H335" s="3" t="n">
        <v>0</v>
      </c>
      <c r="I335" s="3" t="n">
        <v>0</v>
      </c>
      <c r="J335" s="3"/>
      <c r="K335" s="8" t="n">
        <v>0</v>
      </c>
      <c r="L335" s="8" t="n">
        <v>4000</v>
      </c>
      <c r="M335" s="8" t="n">
        <v>300</v>
      </c>
      <c r="N335" s="8" t="n">
        <v>4300</v>
      </c>
      <c r="O335" s="3" t="s">
        <v>76</v>
      </c>
      <c r="P335" s="3" t="s">
        <v>58</v>
      </c>
      <c r="Q335" s="3" t="s">
        <v>85</v>
      </c>
      <c r="R335" s="3" t="str">
        <f aca="false">IF(Q335="pass","No","Yes")</f>
        <v>Yes</v>
      </c>
      <c r="S335" s="3" t="s">
        <v>86</v>
      </c>
      <c r="T335" s="3" t="s">
        <v>87</v>
      </c>
      <c r="U335" s="3" t="s">
        <v>205</v>
      </c>
      <c r="V335" s="9" t="n">
        <v>5.911</v>
      </c>
    </row>
    <row r="336" customFormat="false" ht="15" hidden="false" customHeight="true" outlineLevel="0" collapsed="false">
      <c r="A336" s="3" t="n">
        <v>335</v>
      </c>
      <c r="B336" s="3" t="n">
        <v>7</v>
      </c>
      <c r="C336" s="3" t="s">
        <v>166</v>
      </c>
      <c r="D336" s="3" t="s">
        <v>167</v>
      </c>
      <c r="E336" s="3" t="s">
        <v>168</v>
      </c>
      <c r="F336" s="3" t="s">
        <v>169</v>
      </c>
      <c r="G336" s="3" t="s">
        <v>146</v>
      </c>
      <c r="H336" s="3" t="n">
        <v>1</v>
      </c>
      <c r="I336" s="3" t="n">
        <v>111</v>
      </c>
      <c r="J336" s="3" t="s">
        <v>582</v>
      </c>
      <c r="K336" s="8" t="n">
        <v>799200</v>
      </c>
      <c r="L336" s="8" t="n">
        <v>0</v>
      </c>
      <c r="M336" s="8" t="n">
        <v>59940</v>
      </c>
      <c r="N336" s="8" t="n">
        <v>859140</v>
      </c>
      <c r="O336" s="3" t="s">
        <v>148</v>
      </c>
      <c r="P336" s="3" t="s">
        <v>84</v>
      </c>
      <c r="Q336" s="3" t="s">
        <v>85</v>
      </c>
      <c r="R336" s="3" t="str">
        <f aca="false">IF(Q336="pass","No","Yes")</f>
        <v>Yes</v>
      </c>
      <c r="S336" s="3" t="s">
        <v>86</v>
      </c>
      <c r="T336" s="3" t="s">
        <v>149</v>
      </c>
      <c r="U336" s="3" t="s">
        <v>150</v>
      </c>
      <c r="V336" s="9" t="n">
        <v>29.354</v>
      </c>
    </row>
    <row r="337" customFormat="false" ht="15" hidden="false" customHeight="true" outlineLevel="0" collapsed="false">
      <c r="A337" s="3" t="n">
        <v>336</v>
      </c>
      <c r="B337" s="3" t="n">
        <v>7</v>
      </c>
      <c r="C337" s="3" t="s">
        <v>198</v>
      </c>
      <c r="D337" s="3" t="s">
        <v>199</v>
      </c>
      <c r="E337" s="3" t="s">
        <v>200</v>
      </c>
      <c r="F337" s="3" t="s">
        <v>201</v>
      </c>
      <c r="G337" s="3" t="s">
        <v>81</v>
      </c>
      <c r="H337" s="3" t="n">
        <v>3</v>
      </c>
      <c r="I337" s="3" t="n">
        <v>89</v>
      </c>
      <c r="J337" s="3" t="s">
        <v>583</v>
      </c>
      <c r="K337" s="8" t="n">
        <v>1289900</v>
      </c>
      <c r="L337" s="8" t="n">
        <v>4000</v>
      </c>
      <c r="M337" s="8" t="n">
        <v>97042.5</v>
      </c>
      <c r="N337" s="8" t="n">
        <v>1390942.5</v>
      </c>
      <c r="O337" s="3" t="s">
        <v>132</v>
      </c>
      <c r="P337" s="3" t="s">
        <v>84</v>
      </c>
      <c r="Q337" s="3" t="s">
        <v>85</v>
      </c>
      <c r="R337" s="3" t="str">
        <f aca="false">IF(Q337="pass","No","Yes")</f>
        <v>Yes</v>
      </c>
      <c r="S337" s="3" t="s">
        <v>86</v>
      </c>
      <c r="T337" s="3" t="s">
        <v>133</v>
      </c>
      <c r="U337" s="3" t="s">
        <v>134</v>
      </c>
      <c r="V337" s="9" t="n">
        <v>29.431</v>
      </c>
    </row>
    <row r="338" customFormat="false" ht="15" hidden="false" customHeight="true" outlineLevel="0" collapsed="false">
      <c r="A338" s="3" t="n">
        <v>337</v>
      </c>
      <c r="B338" s="3" t="n">
        <v>7</v>
      </c>
      <c r="C338" s="3" t="s">
        <v>191</v>
      </c>
      <c r="D338" s="3" t="s">
        <v>192</v>
      </c>
      <c r="E338" s="3" t="s">
        <v>193</v>
      </c>
      <c r="F338" s="3" t="s">
        <v>194</v>
      </c>
      <c r="G338" s="3" t="s">
        <v>116</v>
      </c>
      <c r="H338" s="3" t="n">
        <v>3</v>
      </c>
      <c r="I338" s="3" t="n">
        <v>24</v>
      </c>
      <c r="J338" s="3" t="s">
        <v>584</v>
      </c>
      <c r="K338" s="8" t="n">
        <v>559000</v>
      </c>
      <c r="L338" s="8" t="n">
        <v>15000</v>
      </c>
      <c r="M338" s="8" t="n">
        <v>43050</v>
      </c>
      <c r="N338" s="8" t="n">
        <v>617050</v>
      </c>
      <c r="O338" s="3" t="s">
        <v>57</v>
      </c>
      <c r="P338" s="3" t="s">
        <v>58</v>
      </c>
      <c r="Q338" s="3" t="s">
        <v>69</v>
      </c>
      <c r="R338" s="3" t="str">
        <f aca="false">IF(Q338="pass","No","Yes")</f>
        <v>No</v>
      </c>
      <c r="S338" s="3" t="s">
        <v>60</v>
      </c>
      <c r="T338" s="3"/>
      <c r="U338" s="3"/>
      <c r="V338" s="9" t="n">
        <v>55.647</v>
      </c>
    </row>
    <row r="339" customFormat="false" ht="15" hidden="false" customHeight="true" outlineLevel="0" collapsed="false">
      <c r="A339" s="3" t="n">
        <v>338</v>
      </c>
      <c r="B339" s="3" t="n">
        <v>7</v>
      </c>
      <c r="C339" s="3" t="s">
        <v>51</v>
      </c>
      <c r="D339" s="3" t="s">
        <v>52</v>
      </c>
      <c r="E339" s="3" t="s">
        <v>53</v>
      </c>
      <c r="F339" s="3" t="s">
        <v>54</v>
      </c>
      <c r="G339" s="3" t="s">
        <v>55</v>
      </c>
      <c r="H339" s="3" t="n">
        <v>1</v>
      </c>
      <c r="I339" s="3" t="n">
        <v>7</v>
      </c>
      <c r="J339" s="3" t="s">
        <v>345</v>
      </c>
      <c r="K339" s="8" t="n">
        <v>60200</v>
      </c>
      <c r="L339" s="8" t="n">
        <v>6000</v>
      </c>
      <c r="M339" s="8" t="n">
        <v>4965</v>
      </c>
      <c r="N339" s="8" t="n">
        <v>71165</v>
      </c>
      <c r="O339" s="3" t="s">
        <v>76</v>
      </c>
      <c r="P339" s="3" t="s">
        <v>58</v>
      </c>
      <c r="Q339" s="3" t="s">
        <v>69</v>
      </c>
      <c r="R339" s="3" t="str">
        <f aca="false">IF(Q339="pass","No","Yes")</f>
        <v>No</v>
      </c>
      <c r="S339" s="3" t="s">
        <v>60</v>
      </c>
      <c r="T339" s="3"/>
      <c r="U339" s="3"/>
      <c r="V339" s="9" t="n">
        <v>16.967</v>
      </c>
    </row>
    <row r="340" customFormat="false" ht="15" hidden="false" customHeight="true" outlineLevel="0" collapsed="false">
      <c r="A340" s="3" t="n">
        <v>339</v>
      </c>
      <c r="B340" s="3" t="n">
        <v>7</v>
      </c>
      <c r="C340" s="3" t="s">
        <v>89</v>
      </c>
      <c r="D340" s="3" t="s">
        <v>90</v>
      </c>
      <c r="E340" s="3" t="s">
        <v>91</v>
      </c>
      <c r="F340" s="3" t="s">
        <v>92</v>
      </c>
      <c r="G340" s="3" t="s">
        <v>67</v>
      </c>
      <c r="H340" s="3" t="n">
        <v>4</v>
      </c>
      <c r="I340" s="3" t="n">
        <v>29</v>
      </c>
      <c r="J340" s="3" t="s">
        <v>585</v>
      </c>
      <c r="K340" s="8" t="n">
        <v>670200</v>
      </c>
      <c r="L340" s="8" t="n">
        <v>4500</v>
      </c>
      <c r="M340" s="8" t="n">
        <v>50602.5</v>
      </c>
      <c r="N340" s="8" t="n">
        <v>725302.5</v>
      </c>
      <c r="O340" s="3" t="s">
        <v>83</v>
      </c>
      <c r="P340" s="3" t="s">
        <v>84</v>
      </c>
      <c r="Q340" s="3" t="s">
        <v>85</v>
      </c>
      <c r="R340" s="3" t="str">
        <f aca="false">IF(Q340="pass","No","Yes")</f>
        <v>Yes</v>
      </c>
      <c r="S340" s="3" t="s">
        <v>86</v>
      </c>
      <c r="T340" s="3" t="s">
        <v>87</v>
      </c>
      <c r="U340" s="3" t="s">
        <v>488</v>
      </c>
      <c r="V340" s="9" t="n">
        <v>61.972</v>
      </c>
    </row>
    <row r="341" customFormat="false" ht="15" hidden="false" customHeight="true" outlineLevel="0" collapsed="false">
      <c r="A341" s="3" t="n">
        <v>340</v>
      </c>
      <c r="B341" s="3" t="n">
        <v>7</v>
      </c>
      <c r="C341" s="3" t="s">
        <v>198</v>
      </c>
      <c r="D341" s="3" t="s">
        <v>199</v>
      </c>
      <c r="E341" s="3" t="s">
        <v>200</v>
      </c>
      <c r="F341" s="3" t="s">
        <v>201</v>
      </c>
      <c r="G341" s="3" t="s">
        <v>81</v>
      </c>
      <c r="H341" s="3" t="n">
        <v>2</v>
      </c>
      <c r="I341" s="3" t="n">
        <v>47</v>
      </c>
      <c r="J341" s="3" t="s">
        <v>586</v>
      </c>
      <c r="K341" s="8" t="n">
        <v>1021600</v>
      </c>
      <c r="L341" s="8" t="n">
        <v>4000</v>
      </c>
      <c r="M341" s="8" t="n">
        <v>76920</v>
      </c>
      <c r="N341" s="8" t="n">
        <v>1102520</v>
      </c>
      <c r="O341" s="3" t="s">
        <v>118</v>
      </c>
      <c r="P341" s="3" t="s">
        <v>58</v>
      </c>
      <c r="Q341" s="3" t="s">
        <v>69</v>
      </c>
      <c r="R341" s="3" t="str">
        <f aca="false">IF(Q341="pass","No","Yes")</f>
        <v>No</v>
      </c>
      <c r="S341" s="3" t="s">
        <v>60</v>
      </c>
      <c r="T341" s="3"/>
      <c r="U341" s="3"/>
      <c r="V341" s="9" t="n">
        <v>25.322</v>
      </c>
    </row>
    <row r="342" customFormat="false" ht="15" hidden="false" customHeight="true" outlineLevel="0" collapsed="false">
      <c r="A342" s="3" t="n">
        <v>341</v>
      </c>
      <c r="B342" s="3" t="n">
        <v>7</v>
      </c>
      <c r="C342" s="3" t="s">
        <v>237</v>
      </c>
      <c r="D342" s="3" t="s">
        <v>238</v>
      </c>
      <c r="E342" s="3" t="s">
        <v>239</v>
      </c>
      <c r="F342" s="3" t="s">
        <v>240</v>
      </c>
      <c r="G342" s="3" t="s">
        <v>116</v>
      </c>
      <c r="H342" s="3" t="n">
        <v>1</v>
      </c>
      <c r="I342" s="3" t="n">
        <v>211</v>
      </c>
      <c r="J342" s="3" t="s">
        <v>256</v>
      </c>
      <c r="K342" s="8" t="n">
        <v>2004500</v>
      </c>
      <c r="L342" s="8" t="n">
        <v>15000</v>
      </c>
      <c r="M342" s="8" t="n">
        <v>151462.5</v>
      </c>
      <c r="N342" s="8" t="n">
        <v>2170962.5</v>
      </c>
      <c r="O342" s="3" t="s">
        <v>110</v>
      </c>
      <c r="P342" s="3" t="s">
        <v>58</v>
      </c>
      <c r="Q342" s="3" t="s">
        <v>59</v>
      </c>
      <c r="R342" s="3" t="str">
        <f aca="false">IF(Q342="pass","No","Yes")</f>
        <v>Yes</v>
      </c>
      <c r="S342" s="3" t="s">
        <v>98</v>
      </c>
      <c r="T342" s="3" t="s">
        <v>97</v>
      </c>
      <c r="U342" s="3" t="s">
        <v>587</v>
      </c>
      <c r="V342" s="9" t="n">
        <v>29.67</v>
      </c>
    </row>
    <row r="343" customFormat="false" ht="15" hidden="false" customHeight="true" outlineLevel="0" collapsed="false">
      <c r="A343" s="3" t="n">
        <v>342</v>
      </c>
      <c r="B343" s="3" t="n">
        <v>7</v>
      </c>
      <c r="C343" s="3" t="s">
        <v>142</v>
      </c>
      <c r="D343" s="3" t="s">
        <v>143</v>
      </c>
      <c r="E343" s="3" t="s">
        <v>144</v>
      </c>
      <c r="F343" s="3" t="s">
        <v>145</v>
      </c>
      <c r="G343" s="3" t="s">
        <v>74</v>
      </c>
      <c r="H343" s="3" t="n">
        <v>3</v>
      </c>
      <c r="I343" s="3" t="n">
        <v>176</v>
      </c>
      <c r="J343" s="3" t="s">
        <v>588</v>
      </c>
      <c r="K343" s="8" t="n">
        <v>1687500</v>
      </c>
      <c r="L343" s="8" t="n">
        <v>9000</v>
      </c>
      <c r="M343" s="8" t="n">
        <v>127237.5</v>
      </c>
      <c r="N343" s="8" t="n">
        <v>1823737.5</v>
      </c>
      <c r="O343" s="3" t="s">
        <v>57</v>
      </c>
      <c r="P343" s="3" t="s">
        <v>58</v>
      </c>
      <c r="Q343" s="3" t="s">
        <v>59</v>
      </c>
      <c r="R343" s="3" t="str">
        <f aca="false">IF(Q343="pass","No","Yes")</f>
        <v>Yes</v>
      </c>
      <c r="S343" s="3" t="s">
        <v>60</v>
      </c>
      <c r="T343" s="3" t="s">
        <v>61</v>
      </c>
      <c r="U343" s="3" t="s">
        <v>589</v>
      </c>
      <c r="V343" s="9" t="n">
        <v>54.094</v>
      </c>
    </row>
    <row r="344" customFormat="false" ht="15" hidden="false" customHeight="true" outlineLevel="0" collapsed="false">
      <c r="A344" s="3" t="n">
        <v>343</v>
      </c>
      <c r="B344" s="3" t="n">
        <v>7</v>
      </c>
      <c r="C344" s="3" t="s">
        <v>191</v>
      </c>
      <c r="D344" s="3" t="s">
        <v>192</v>
      </c>
      <c r="E344" s="3" t="s">
        <v>193</v>
      </c>
      <c r="F344" s="3" t="s">
        <v>194</v>
      </c>
      <c r="G344" s="3" t="s">
        <v>116</v>
      </c>
      <c r="H344" s="3" t="n">
        <v>3</v>
      </c>
      <c r="I344" s="3" t="n">
        <v>24</v>
      </c>
      <c r="J344" s="3" t="s">
        <v>584</v>
      </c>
      <c r="K344" s="8" t="n">
        <v>559000</v>
      </c>
      <c r="L344" s="8" t="n">
        <v>15000</v>
      </c>
      <c r="M344" s="8" t="n">
        <v>43050</v>
      </c>
      <c r="N344" s="8" t="n">
        <v>617050</v>
      </c>
      <c r="O344" s="3" t="s">
        <v>97</v>
      </c>
      <c r="P344" s="3" t="s">
        <v>84</v>
      </c>
      <c r="Q344" s="3" t="s">
        <v>59</v>
      </c>
      <c r="R344" s="3" t="str">
        <f aca="false">IF(Q344="pass","No","Yes")</f>
        <v>Yes</v>
      </c>
      <c r="S344" s="3" t="s">
        <v>98</v>
      </c>
      <c r="T344" s="3" t="s">
        <v>97</v>
      </c>
      <c r="U344" s="3" t="s">
        <v>590</v>
      </c>
      <c r="V344" s="9" t="n">
        <v>36.989</v>
      </c>
    </row>
    <row r="345" customFormat="false" ht="15" hidden="false" customHeight="true" outlineLevel="0" collapsed="false">
      <c r="A345" s="3" t="n">
        <v>344</v>
      </c>
      <c r="B345" s="3" t="n">
        <v>7</v>
      </c>
      <c r="C345" s="3" t="s">
        <v>177</v>
      </c>
      <c r="D345" s="3" t="s">
        <v>178</v>
      </c>
      <c r="E345" s="3" t="s">
        <v>179</v>
      </c>
      <c r="F345" s="3" t="s">
        <v>180</v>
      </c>
      <c r="G345" s="3" t="s">
        <v>81</v>
      </c>
      <c r="H345" s="3" t="n">
        <v>3</v>
      </c>
      <c r="I345" s="3" t="n">
        <v>862</v>
      </c>
      <c r="J345" s="3" t="s">
        <v>591</v>
      </c>
      <c r="K345" s="8" t="n">
        <v>12944500</v>
      </c>
      <c r="L345" s="8" t="n">
        <v>4000</v>
      </c>
      <c r="M345" s="8" t="n">
        <v>971137.5</v>
      </c>
      <c r="N345" s="8" t="n">
        <v>13919637.5</v>
      </c>
      <c r="O345" s="3" t="s">
        <v>159</v>
      </c>
      <c r="P345" s="3" t="s">
        <v>84</v>
      </c>
      <c r="Q345" s="3" t="s">
        <v>85</v>
      </c>
      <c r="R345" s="3" t="str">
        <f aca="false">IF(Q345="pass","No","Yes")</f>
        <v>Yes</v>
      </c>
      <c r="S345" s="3" t="s">
        <v>86</v>
      </c>
      <c r="T345" s="3" t="s">
        <v>229</v>
      </c>
      <c r="U345" s="3" t="s">
        <v>592</v>
      </c>
      <c r="V345" s="9" t="n">
        <v>38.785</v>
      </c>
    </row>
    <row r="346" customFormat="false" ht="15" hidden="false" customHeight="true" outlineLevel="0" collapsed="false">
      <c r="A346" s="3" t="n">
        <v>345</v>
      </c>
      <c r="B346" s="3" t="n">
        <v>7</v>
      </c>
      <c r="C346" s="3" t="s">
        <v>51</v>
      </c>
      <c r="D346" s="3" t="s">
        <v>52</v>
      </c>
      <c r="E346" s="3" t="s">
        <v>53</v>
      </c>
      <c r="F346" s="3" t="s">
        <v>54</v>
      </c>
      <c r="G346" s="3" t="s">
        <v>55</v>
      </c>
      <c r="H346" s="3" t="n">
        <v>3</v>
      </c>
      <c r="I346" s="3" t="n">
        <v>218</v>
      </c>
      <c r="J346" s="3" t="s">
        <v>593</v>
      </c>
      <c r="K346" s="8" t="n">
        <v>2490000</v>
      </c>
      <c r="L346" s="8" t="n">
        <v>6000</v>
      </c>
      <c r="M346" s="8" t="n">
        <v>187200</v>
      </c>
      <c r="N346" s="8" t="n">
        <v>2683200</v>
      </c>
      <c r="O346" s="3" t="s">
        <v>57</v>
      </c>
      <c r="P346" s="3" t="s">
        <v>58</v>
      </c>
      <c r="Q346" s="3" t="s">
        <v>69</v>
      </c>
      <c r="R346" s="3" t="str">
        <f aca="false">IF(Q346="pass","No","Yes")</f>
        <v>No</v>
      </c>
      <c r="S346" s="3" t="s">
        <v>60</v>
      </c>
      <c r="T346" s="3"/>
      <c r="U346" s="3"/>
      <c r="V346" s="9" t="n">
        <v>55.915</v>
      </c>
    </row>
    <row r="347" customFormat="false" ht="15" hidden="false" customHeight="true" outlineLevel="0" collapsed="false">
      <c r="A347" s="3" t="n">
        <v>346</v>
      </c>
      <c r="B347" s="3" t="n">
        <v>7</v>
      </c>
      <c r="C347" s="3" t="s">
        <v>186</v>
      </c>
      <c r="D347" s="3" t="s">
        <v>187</v>
      </c>
      <c r="E347" s="3" t="s">
        <v>188</v>
      </c>
      <c r="F347" s="3" t="s">
        <v>189</v>
      </c>
      <c r="G347" s="3" t="s">
        <v>123</v>
      </c>
      <c r="H347" s="3" t="n">
        <v>2</v>
      </c>
      <c r="I347" s="3" t="n">
        <v>45</v>
      </c>
      <c r="J347" s="3" t="s">
        <v>594</v>
      </c>
      <c r="K347" s="8" t="n">
        <v>539100</v>
      </c>
      <c r="L347" s="8" t="n">
        <v>5000</v>
      </c>
      <c r="M347" s="8" t="n">
        <v>40807.5</v>
      </c>
      <c r="N347" s="8" t="n">
        <v>584907.5</v>
      </c>
      <c r="O347" s="3" t="s">
        <v>94</v>
      </c>
      <c r="P347" s="3" t="s">
        <v>84</v>
      </c>
      <c r="Q347" s="3" t="s">
        <v>85</v>
      </c>
      <c r="R347" s="3" t="str">
        <f aca="false">IF(Q347="pass","No","Yes")</f>
        <v>Yes</v>
      </c>
      <c r="S347" s="3" t="s">
        <v>86</v>
      </c>
      <c r="T347" s="3" t="s">
        <v>253</v>
      </c>
      <c r="U347" s="3" t="s">
        <v>254</v>
      </c>
      <c r="V347" s="9" t="n">
        <v>28.616</v>
      </c>
    </row>
    <row r="348" customFormat="false" ht="15" hidden="false" customHeight="true" outlineLevel="0" collapsed="false">
      <c r="A348" s="3" t="n">
        <v>347</v>
      </c>
      <c r="B348" s="3" t="n">
        <v>7</v>
      </c>
      <c r="C348" s="3" t="s">
        <v>198</v>
      </c>
      <c r="D348" s="3" t="s">
        <v>199</v>
      </c>
      <c r="E348" s="3" t="s">
        <v>200</v>
      </c>
      <c r="F348" s="3" t="s">
        <v>201</v>
      </c>
      <c r="G348" s="3" t="s">
        <v>81</v>
      </c>
      <c r="H348" s="3" t="n">
        <v>3</v>
      </c>
      <c r="I348" s="3" t="n">
        <v>54</v>
      </c>
      <c r="J348" s="3" t="s">
        <v>595</v>
      </c>
      <c r="K348" s="8" t="n">
        <v>444200</v>
      </c>
      <c r="L348" s="8" t="n">
        <v>4000</v>
      </c>
      <c r="M348" s="8" t="n">
        <v>33615</v>
      </c>
      <c r="N348" s="8" t="n">
        <v>481815</v>
      </c>
      <c r="O348" s="3" t="s">
        <v>57</v>
      </c>
      <c r="P348" s="3" t="s">
        <v>58</v>
      </c>
      <c r="Q348" s="3" t="s">
        <v>69</v>
      </c>
      <c r="R348" s="3" t="str">
        <f aca="false">IF(Q348="pass","No","Yes")</f>
        <v>No</v>
      </c>
      <c r="S348" s="3" t="s">
        <v>60</v>
      </c>
      <c r="T348" s="3"/>
      <c r="U348" s="3"/>
      <c r="V348" s="9" t="n">
        <v>50.799</v>
      </c>
    </row>
    <row r="349" customFormat="false" ht="15" hidden="false" customHeight="true" outlineLevel="0" collapsed="false">
      <c r="A349" s="3" t="n">
        <v>348</v>
      </c>
      <c r="B349" s="3" t="n">
        <v>7</v>
      </c>
      <c r="C349" s="3" t="s">
        <v>142</v>
      </c>
      <c r="D349" s="3" t="s">
        <v>143</v>
      </c>
      <c r="E349" s="3" t="s">
        <v>144</v>
      </c>
      <c r="F349" s="3" t="s">
        <v>145</v>
      </c>
      <c r="G349" s="3" t="s">
        <v>74</v>
      </c>
      <c r="H349" s="3" t="n">
        <v>3</v>
      </c>
      <c r="I349" s="3" t="n">
        <v>63</v>
      </c>
      <c r="J349" s="3" t="s">
        <v>596</v>
      </c>
      <c r="K349" s="8" t="n">
        <v>935500</v>
      </c>
      <c r="L349" s="8" t="n">
        <v>9000</v>
      </c>
      <c r="M349" s="8" t="n">
        <v>70837.5</v>
      </c>
      <c r="N349" s="8" t="n">
        <v>1015337.5</v>
      </c>
      <c r="O349" s="3" t="s">
        <v>57</v>
      </c>
      <c r="P349" s="3" t="s">
        <v>58</v>
      </c>
      <c r="Q349" s="3" t="s">
        <v>69</v>
      </c>
      <c r="R349" s="3" t="str">
        <f aca="false">IF(Q349="pass","No","Yes")</f>
        <v>No</v>
      </c>
      <c r="S349" s="3" t="s">
        <v>60</v>
      </c>
      <c r="T349" s="3"/>
      <c r="U349" s="3"/>
      <c r="V349" s="9" t="n">
        <v>55.917</v>
      </c>
    </row>
    <row r="350" customFormat="false" ht="15" hidden="false" customHeight="true" outlineLevel="0" collapsed="false">
      <c r="A350" s="3" t="n">
        <v>349</v>
      </c>
      <c r="B350" s="3" t="n">
        <v>7</v>
      </c>
      <c r="C350" s="3" t="s">
        <v>142</v>
      </c>
      <c r="D350" s="3" t="s">
        <v>143</v>
      </c>
      <c r="E350" s="3" t="s">
        <v>144</v>
      </c>
      <c r="F350" s="3" t="s">
        <v>145</v>
      </c>
      <c r="G350" s="3" t="s">
        <v>74</v>
      </c>
      <c r="H350" s="3" t="n">
        <v>2</v>
      </c>
      <c r="I350" s="3" t="n">
        <v>168</v>
      </c>
      <c r="J350" s="3" t="s">
        <v>597</v>
      </c>
      <c r="K350" s="8" t="n">
        <v>1766000</v>
      </c>
      <c r="L350" s="8" t="n">
        <v>9000</v>
      </c>
      <c r="M350" s="8" t="n">
        <v>133125</v>
      </c>
      <c r="N350" s="8" t="n">
        <v>1908125</v>
      </c>
      <c r="O350" s="3" t="s">
        <v>224</v>
      </c>
      <c r="P350" s="3" t="s">
        <v>84</v>
      </c>
      <c r="Q350" s="3" t="s">
        <v>85</v>
      </c>
      <c r="R350" s="3" t="str">
        <f aca="false">IF(Q350="pass","No","Yes")</f>
        <v>Yes</v>
      </c>
      <c r="S350" s="3" t="s">
        <v>86</v>
      </c>
      <c r="T350" s="3" t="s">
        <v>374</v>
      </c>
      <c r="U350" s="3" t="s">
        <v>598</v>
      </c>
      <c r="V350" s="9" t="n">
        <v>42.661</v>
      </c>
    </row>
    <row r="351" customFormat="false" ht="15" hidden="false" customHeight="true" outlineLevel="0" collapsed="false">
      <c r="A351" s="3" t="n">
        <v>350</v>
      </c>
      <c r="B351" s="3" t="n">
        <v>7</v>
      </c>
      <c r="C351" s="3" t="s">
        <v>70</v>
      </c>
      <c r="D351" s="3" t="s">
        <v>71</v>
      </c>
      <c r="E351" s="3" t="s">
        <v>72</v>
      </c>
      <c r="F351" s="3" t="s">
        <v>73</v>
      </c>
      <c r="G351" s="3" t="s">
        <v>74</v>
      </c>
      <c r="H351" s="3" t="n">
        <v>1</v>
      </c>
      <c r="I351" s="3" t="n">
        <v>72</v>
      </c>
      <c r="J351" s="3" t="s">
        <v>599</v>
      </c>
      <c r="K351" s="8" t="n">
        <v>849600</v>
      </c>
      <c r="L351" s="8" t="n">
        <v>9000</v>
      </c>
      <c r="M351" s="8" t="n">
        <v>64395</v>
      </c>
      <c r="N351" s="8" t="n">
        <v>922995</v>
      </c>
      <c r="O351" s="3" t="s">
        <v>118</v>
      </c>
      <c r="P351" s="3" t="s">
        <v>58</v>
      </c>
      <c r="Q351" s="3" t="s">
        <v>69</v>
      </c>
      <c r="R351" s="3" t="str">
        <f aca="false">IF(Q351="pass","No","Yes")</f>
        <v>No</v>
      </c>
      <c r="S351" s="3" t="s">
        <v>60</v>
      </c>
      <c r="T351" s="3"/>
      <c r="U351" s="3"/>
      <c r="V351" s="9" t="n">
        <v>24.765</v>
      </c>
    </row>
    <row r="352" customFormat="false" ht="15" hidden="false" customHeight="true" outlineLevel="0" collapsed="false">
      <c r="A352" s="3" t="n">
        <v>351</v>
      </c>
      <c r="B352" s="3" t="n">
        <v>8</v>
      </c>
      <c r="C352" s="3" t="s">
        <v>51</v>
      </c>
      <c r="D352" s="3" t="s">
        <v>52</v>
      </c>
      <c r="E352" s="3" t="s">
        <v>53</v>
      </c>
      <c r="F352" s="3" t="s">
        <v>54</v>
      </c>
      <c r="G352" s="3" t="s">
        <v>55</v>
      </c>
      <c r="H352" s="3" t="n">
        <v>0</v>
      </c>
      <c r="I352" s="3" t="n">
        <v>0</v>
      </c>
      <c r="J352" s="3"/>
      <c r="K352" s="8" t="n">
        <v>0</v>
      </c>
      <c r="L352" s="8" t="n">
        <v>6000</v>
      </c>
      <c r="M352" s="8" t="n">
        <v>450</v>
      </c>
      <c r="N352" s="8" t="n">
        <v>6450</v>
      </c>
      <c r="O352" s="3" t="s">
        <v>76</v>
      </c>
      <c r="P352" s="3" t="s">
        <v>58</v>
      </c>
      <c r="Q352" s="3" t="s">
        <v>85</v>
      </c>
      <c r="R352" s="3" t="str">
        <f aca="false">IF(Q352="pass","No","Yes")</f>
        <v>Yes</v>
      </c>
      <c r="S352" s="3" t="s">
        <v>86</v>
      </c>
      <c r="T352" s="3" t="s">
        <v>87</v>
      </c>
      <c r="U352" s="3" t="s">
        <v>205</v>
      </c>
      <c r="V352" s="9" t="n">
        <v>6.518</v>
      </c>
    </row>
    <row r="353" customFormat="false" ht="15" hidden="false" customHeight="true" outlineLevel="0" collapsed="false">
      <c r="A353" s="3" t="n">
        <v>352</v>
      </c>
      <c r="B353" s="3" t="n">
        <v>8</v>
      </c>
      <c r="C353" s="3" t="s">
        <v>70</v>
      </c>
      <c r="D353" s="3" t="s">
        <v>71</v>
      </c>
      <c r="E353" s="3" t="s">
        <v>72</v>
      </c>
      <c r="F353" s="3" t="s">
        <v>73</v>
      </c>
      <c r="G353" s="3" t="s">
        <v>74</v>
      </c>
      <c r="H353" s="3" t="n">
        <v>3</v>
      </c>
      <c r="I353" s="3" t="n">
        <v>82</v>
      </c>
      <c r="J353" s="3" t="s">
        <v>600</v>
      </c>
      <c r="K353" s="8" t="n">
        <v>679400</v>
      </c>
      <c r="L353" s="8" t="n">
        <v>9000</v>
      </c>
      <c r="M353" s="8" t="n">
        <v>51630</v>
      </c>
      <c r="N353" s="8" t="n">
        <v>740030</v>
      </c>
      <c r="O353" s="3" t="s">
        <v>57</v>
      </c>
      <c r="P353" s="3" t="s">
        <v>58</v>
      </c>
      <c r="Q353" s="3" t="s">
        <v>69</v>
      </c>
      <c r="R353" s="3" t="str">
        <f aca="false">IF(Q353="pass","No","Yes")</f>
        <v>No</v>
      </c>
      <c r="S353" s="3" t="s">
        <v>60</v>
      </c>
      <c r="T353" s="3"/>
      <c r="U353" s="3"/>
      <c r="V353" s="9" t="n">
        <v>54.971</v>
      </c>
    </row>
    <row r="354" customFormat="false" ht="15" hidden="false" customHeight="true" outlineLevel="0" collapsed="false">
      <c r="A354" s="3" t="n">
        <v>353</v>
      </c>
      <c r="B354" s="3" t="n">
        <v>8</v>
      </c>
      <c r="C354" s="3" t="s">
        <v>77</v>
      </c>
      <c r="D354" s="3" t="s">
        <v>78</v>
      </c>
      <c r="E354" s="3" t="s">
        <v>79</v>
      </c>
      <c r="F354" s="3" t="s">
        <v>80</v>
      </c>
      <c r="G354" s="3" t="s">
        <v>81</v>
      </c>
      <c r="H354" s="3" t="n">
        <v>2</v>
      </c>
      <c r="I354" s="3" t="n">
        <v>72</v>
      </c>
      <c r="J354" s="3" t="s">
        <v>601</v>
      </c>
      <c r="K354" s="8" t="n">
        <v>741000</v>
      </c>
      <c r="L354" s="8" t="n">
        <v>4000</v>
      </c>
      <c r="M354" s="8" t="n">
        <v>55875</v>
      </c>
      <c r="N354" s="8" t="n">
        <v>800875</v>
      </c>
      <c r="O354" s="3" t="s">
        <v>57</v>
      </c>
      <c r="P354" s="3" t="s">
        <v>58</v>
      </c>
      <c r="Q354" s="3" t="s">
        <v>69</v>
      </c>
      <c r="R354" s="3" t="str">
        <f aca="false">IF(Q354="pass","No","Yes")</f>
        <v>No</v>
      </c>
      <c r="S354" s="3" t="s">
        <v>60</v>
      </c>
      <c r="T354" s="3"/>
      <c r="U354" s="3"/>
      <c r="V354" s="9" t="n">
        <v>45.721</v>
      </c>
    </row>
    <row r="355" customFormat="false" ht="15" hidden="false" customHeight="true" outlineLevel="0" collapsed="false">
      <c r="A355" s="3" t="n">
        <v>354</v>
      </c>
      <c r="B355" s="3" t="n">
        <v>8</v>
      </c>
      <c r="C355" s="3" t="s">
        <v>213</v>
      </c>
      <c r="D355" s="3" t="s">
        <v>214</v>
      </c>
      <c r="E355" s="3" t="s">
        <v>215</v>
      </c>
      <c r="F355" s="3" t="s">
        <v>216</v>
      </c>
      <c r="G355" s="3" t="s">
        <v>67</v>
      </c>
      <c r="H355" s="3" t="n">
        <v>3</v>
      </c>
      <c r="I355" s="3" t="n">
        <v>60</v>
      </c>
      <c r="J355" s="3" t="s">
        <v>602</v>
      </c>
      <c r="K355" s="8" t="n">
        <v>1255400</v>
      </c>
      <c r="L355" s="8" t="n">
        <v>4500</v>
      </c>
      <c r="M355" s="8" t="n">
        <v>94492.5</v>
      </c>
      <c r="N355" s="8" t="n">
        <v>1354392.5</v>
      </c>
      <c r="O355" s="3" t="s">
        <v>57</v>
      </c>
      <c r="P355" s="3" t="s">
        <v>58</v>
      </c>
      <c r="Q355" s="3" t="s">
        <v>69</v>
      </c>
      <c r="R355" s="3" t="str">
        <f aca="false">IF(Q355="pass","No","Yes")</f>
        <v>No</v>
      </c>
      <c r="S355" s="3" t="s">
        <v>60</v>
      </c>
      <c r="T355" s="3"/>
      <c r="U355" s="3"/>
      <c r="V355" s="9" t="n">
        <v>39.997</v>
      </c>
    </row>
    <row r="356" customFormat="false" ht="15" hidden="false" customHeight="true" outlineLevel="0" collapsed="false">
      <c r="A356" s="3" t="n">
        <v>355</v>
      </c>
      <c r="B356" s="3" t="n">
        <v>8</v>
      </c>
      <c r="C356" s="3" t="s">
        <v>63</v>
      </c>
      <c r="D356" s="3" t="s">
        <v>64</v>
      </c>
      <c r="E356" s="3" t="s">
        <v>65</v>
      </c>
      <c r="F356" s="3" t="s">
        <v>66</v>
      </c>
      <c r="G356" s="3" t="s">
        <v>67</v>
      </c>
      <c r="H356" s="3" t="n">
        <v>3</v>
      </c>
      <c r="I356" s="3" t="n">
        <v>162</v>
      </c>
      <c r="J356" s="3" t="s">
        <v>603</v>
      </c>
      <c r="K356" s="8" t="n">
        <v>1460200</v>
      </c>
      <c r="L356" s="8" t="n">
        <v>4500</v>
      </c>
      <c r="M356" s="8" t="n">
        <v>109852.5</v>
      </c>
      <c r="N356" s="8" t="n">
        <v>1574552.5</v>
      </c>
      <c r="O356" s="3" t="s">
        <v>57</v>
      </c>
      <c r="P356" s="3" t="s">
        <v>58</v>
      </c>
      <c r="Q356" s="3" t="s">
        <v>59</v>
      </c>
      <c r="R356" s="3" t="str">
        <f aca="false">IF(Q356="pass","No","Yes")</f>
        <v>Yes</v>
      </c>
      <c r="S356" s="3" t="s">
        <v>60</v>
      </c>
      <c r="T356" s="3" t="s">
        <v>61</v>
      </c>
      <c r="U356" s="3" t="s">
        <v>604</v>
      </c>
      <c r="V356" s="9" t="n">
        <v>53.135</v>
      </c>
    </row>
    <row r="357" customFormat="false" ht="15" hidden="false" customHeight="true" outlineLevel="0" collapsed="false">
      <c r="A357" s="3" t="n">
        <v>356</v>
      </c>
      <c r="B357" s="3" t="n">
        <v>8</v>
      </c>
      <c r="C357" s="3" t="s">
        <v>51</v>
      </c>
      <c r="D357" s="3" t="s">
        <v>52</v>
      </c>
      <c r="E357" s="3" t="s">
        <v>53</v>
      </c>
      <c r="F357" s="3" t="s">
        <v>54</v>
      </c>
      <c r="G357" s="3" t="s">
        <v>55</v>
      </c>
      <c r="H357" s="3" t="n">
        <v>1</v>
      </c>
      <c r="I357" s="3" t="n">
        <v>83</v>
      </c>
      <c r="J357" s="3" t="s">
        <v>605</v>
      </c>
      <c r="K357" s="8" t="n">
        <v>1203500</v>
      </c>
      <c r="L357" s="8" t="n">
        <v>6000</v>
      </c>
      <c r="M357" s="8" t="n">
        <v>90712.5</v>
      </c>
      <c r="N357" s="8" t="n">
        <v>1300212.5</v>
      </c>
      <c r="O357" s="3" t="s">
        <v>57</v>
      </c>
      <c r="P357" s="3" t="s">
        <v>58</v>
      </c>
      <c r="Q357" s="3" t="s">
        <v>69</v>
      </c>
      <c r="R357" s="3" t="str">
        <f aca="false">IF(Q357="pass","No","Yes")</f>
        <v>No</v>
      </c>
      <c r="S357" s="3" t="s">
        <v>60</v>
      </c>
      <c r="T357" s="3"/>
      <c r="U357" s="3"/>
      <c r="V357" s="9" t="n">
        <v>19.229</v>
      </c>
    </row>
    <row r="358" customFormat="false" ht="15" hidden="false" customHeight="true" outlineLevel="0" collapsed="false">
      <c r="A358" s="3" t="n">
        <v>357</v>
      </c>
      <c r="B358" s="3" t="n">
        <v>8</v>
      </c>
      <c r="C358" s="3" t="s">
        <v>166</v>
      </c>
      <c r="D358" s="3" t="s">
        <v>167</v>
      </c>
      <c r="E358" s="3" t="s">
        <v>168</v>
      </c>
      <c r="F358" s="3" t="s">
        <v>169</v>
      </c>
      <c r="G358" s="3" t="s">
        <v>74</v>
      </c>
      <c r="H358" s="3" t="n">
        <v>2</v>
      </c>
      <c r="I358" s="3" t="n">
        <v>135</v>
      </c>
      <c r="J358" s="3" t="s">
        <v>606</v>
      </c>
      <c r="K358" s="8" t="n">
        <v>1149800</v>
      </c>
      <c r="L358" s="8" t="n">
        <v>9000</v>
      </c>
      <c r="M358" s="8" t="n">
        <v>86910</v>
      </c>
      <c r="N358" s="8" t="n">
        <v>1245710</v>
      </c>
      <c r="O358" s="3" t="s">
        <v>132</v>
      </c>
      <c r="P358" s="3" t="s">
        <v>84</v>
      </c>
      <c r="Q358" s="3" t="s">
        <v>85</v>
      </c>
      <c r="R358" s="3" t="str">
        <f aca="false">IF(Q358="pass","No","Yes")</f>
        <v>Yes</v>
      </c>
      <c r="S358" s="3" t="s">
        <v>86</v>
      </c>
      <c r="T358" s="3" t="s">
        <v>247</v>
      </c>
      <c r="U358" s="3" t="s">
        <v>607</v>
      </c>
      <c r="V358" s="9" t="n">
        <v>34.982</v>
      </c>
    </row>
    <row r="359" customFormat="false" ht="15" hidden="false" customHeight="true" outlineLevel="0" collapsed="false">
      <c r="A359" s="3" t="n">
        <v>358</v>
      </c>
      <c r="B359" s="3" t="n">
        <v>8</v>
      </c>
      <c r="C359" s="3" t="s">
        <v>51</v>
      </c>
      <c r="D359" s="3" t="s">
        <v>52</v>
      </c>
      <c r="E359" s="3" t="s">
        <v>53</v>
      </c>
      <c r="F359" s="3" t="s">
        <v>54</v>
      </c>
      <c r="G359" s="3" t="s">
        <v>55</v>
      </c>
      <c r="H359" s="3" t="n">
        <v>1</v>
      </c>
      <c r="I359" s="3" t="n">
        <v>87</v>
      </c>
      <c r="J359" s="3" t="s">
        <v>608</v>
      </c>
      <c r="K359" s="8" t="n">
        <v>1261500</v>
      </c>
      <c r="L359" s="8" t="n">
        <v>6000</v>
      </c>
      <c r="M359" s="8" t="n">
        <v>95062.5</v>
      </c>
      <c r="N359" s="8" t="n">
        <v>1362562.5</v>
      </c>
      <c r="O359" s="3" t="s">
        <v>118</v>
      </c>
      <c r="P359" s="3" t="s">
        <v>58</v>
      </c>
      <c r="Q359" s="3" t="s">
        <v>69</v>
      </c>
      <c r="R359" s="3" t="str">
        <f aca="false">IF(Q359="pass","No","Yes")</f>
        <v>No</v>
      </c>
      <c r="S359" s="3" t="s">
        <v>60</v>
      </c>
      <c r="T359" s="3"/>
      <c r="U359" s="3"/>
      <c r="V359" s="9" t="n">
        <v>19.7</v>
      </c>
    </row>
    <row r="360" customFormat="false" ht="15" hidden="false" customHeight="true" outlineLevel="0" collapsed="false">
      <c r="A360" s="3" t="n">
        <v>359</v>
      </c>
      <c r="B360" s="3" t="n">
        <v>8</v>
      </c>
      <c r="C360" s="3" t="s">
        <v>198</v>
      </c>
      <c r="D360" s="3" t="s">
        <v>199</v>
      </c>
      <c r="E360" s="3" t="s">
        <v>200</v>
      </c>
      <c r="F360" s="3" t="s">
        <v>201</v>
      </c>
      <c r="G360" s="3" t="s">
        <v>81</v>
      </c>
      <c r="H360" s="3" t="n">
        <v>2</v>
      </c>
      <c r="I360" s="3" t="n">
        <v>11</v>
      </c>
      <c r="J360" s="3" t="s">
        <v>609</v>
      </c>
      <c r="K360" s="8" t="n">
        <v>138700</v>
      </c>
      <c r="L360" s="8" t="n">
        <v>4000</v>
      </c>
      <c r="M360" s="8" t="n">
        <v>10702.5</v>
      </c>
      <c r="N360" s="8" t="n">
        <v>153402.5</v>
      </c>
      <c r="O360" s="3" t="s">
        <v>57</v>
      </c>
      <c r="P360" s="3" t="s">
        <v>58</v>
      </c>
      <c r="Q360" s="3" t="s">
        <v>69</v>
      </c>
      <c r="R360" s="3" t="str">
        <f aca="false">IF(Q360="pass","No","Yes")</f>
        <v>No</v>
      </c>
      <c r="S360" s="3" t="s">
        <v>60</v>
      </c>
      <c r="T360" s="3"/>
      <c r="U360" s="3"/>
      <c r="V360" s="9" t="n">
        <v>30.228</v>
      </c>
    </row>
    <row r="361" customFormat="false" ht="15" hidden="false" customHeight="true" outlineLevel="0" collapsed="false">
      <c r="A361" s="3" t="n">
        <v>360</v>
      </c>
      <c r="B361" s="3" t="n">
        <v>8</v>
      </c>
      <c r="C361" s="3" t="s">
        <v>177</v>
      </c>
      <c r="D361" s="3" t="s">
        <v>178</v>
      </c>
      <c r="E361" s="3" t="s">
        <v>179</v>
      </c>
      <c r="F361" s="3" t="s">
        <v>180</v>
      </c>
      <c r="G361" s="3" t="s">
        <v>81</v>
      </c>
      <c r="H361" s="3" t="n">
        <v>1</v>
      </c>
      <c r="I361" s="3" t="n">
        <v>217</v>
      </c>
      <c r="J361" s="3" t="s">
        <v>549</v>
      </c>
      <c r="K361" s="8" t="n">
        <v>2061500</v>
      </c>
      <c r="L361" s="8" t="n">
        <v>4000</v>
      </c>
      <c r="M361" s="8" t="n">
        <v>154912.5</v>
      </c>
      <c r="N361" s="8" t="n">
        <v>2220412.5</v>
      </c>
      <c r="O361" s="3" t="s">
        <v>110</v>
      </c>
      <c r="P361" s="3" t="s">
        <v>58</v>
      </c>
      <c r="Q361" s="3" t="s">
        <v>69</v>
      </c>
      <c r="R361" s="3" t="str">
        <f aca="false">IF(Q361="pass","No","Yes")</f>
        <v>No</v>
      </c>
      <c r="S361" s="3" t="s">
        <v>60</v>
      </c>
      <c r="T361" s="3"/>
      <c r="U361" s="3"/>
      <c r="V361" s="9" t="n">
        <v>34.521</v>
      </c>
    </row>
    <row r="362" customFormat="false" ht="15" hidden="false" customHeight="true" outlineLevel="0" collapsed="false">
      <c r="A362" s="3" t="n">
        <v>361</v>
      </c>
      <c r="B362" s="3" t="n">
        <v>8</v>
      </c>
      <c r="C362" s="3" t="s">
        <v>237</v>
      </c>
      <c r="D362" s="3" t="s">
        <v>238</v>
      </c>
      <c r="E362" s="3" t="s">
        <v>239</v>
      </c>
      <c r="F362" s="3" t="s">
        <v>240</v>
      </c>
      <c r="G362" s="3" t="s">
        <v>116</v>
      </c>
      <c r="H362" s="3" t="n">
        <v>2</v>
      </c>
      <c r="I362" s="3" t="n">
        <v>107</v>
      </c>
      <c r="J362" s="3" t="s">
        <v>610</v>
      </c>
      <c r="K362" s="8" t="n">
        <v>1121800</v>
      </c>
      <c r="L362" s="8" t="n">
        <v>15000</v>
      </c>
      <c r="M362" s="8" t="n">
        <v>85260</v>
      </c>
      <c r="N362" s="8" t="n">
        <v>1222060</v>
      </c>
      <c r="O362" s="3" t="s">
        <v>57</v>
      </c>
      <c r="P362" s="3" t="s">
        <v>58</v>
      </c>
      <c r="Q362" s="3" t="s">
        <v>69</v>
      </c>
      <c r="R362" s="3" t="str">
        <f aca="false">IF(Q362="pass","No","Yes")</f>
        <v>No</v>
      </c>
      <c r="S362" s="3" t="s">
        <v>60</v>
      </c>
      <c r="T362" s="3"/>
      <c r="U362" s="3"/>
      <c r="V362" s="9" t="n">
        <v>30.649</v>
      </c>
    </row>
    <row r="363" customFormat="false" ht="15" hidden="false" customHeight="true" outlineLevel="0" collapsed="false">
      <c r="A363" s="3" t="n">
        <v>362</v>
      </c>
      <c r="B363" s="3" t="n">
        <v>8</v>
      </c>
      <c r="C363" s="3" t="s">
        <v>213</v>
      </c>
      <c r="D363" s="3" t="s">
        <v>214</v>
      </c>
      <c r="E363" s="3" t="s">
        <v>215</v>
      </c>
      <c r="F363" s="3" t="s">
        <v>216</v>
      </c>
      <c r="G363" s="3" t="s">
        <v>67</v>
      </c>
      <c r="H363" s="3" t="n">
        <v>1</v>
      </c>
      <c r="I363" s="3" t="n">
        <v>14</v>
      </c>
      <c r="J363" s="3" t="s">
        <v>281</v>
      </c>
      <c r="K363" s="8" t="n">
        <v>728000</v>
      </c>
      <c r="L363" s="8" t="n">
        <v>4500</v>
      </c>
      <c r="M363" s="8" t="n">
        <v>54937.5</v>
      </c>
      <c r="N363" s="8" t="n">
        <v>787437.5</v>
      </c>
      <c r="O363" s="3" t="s">
        <v>57</v>
      </c>
      <c r="P363" s="3" t="s">
        <v>58</v>
      </c>
      <c r="Q363" s="3" t="s">
        <v>69</v>
      </c>
      <c r="R363" s="3" t="str">
        <f aca="false">IF(Q363="pass","No","Yes")</f>
        <v>No</v>
      </c>
      <c r="S363" s="3" t="s">
        <v>60</v>
      </c>
      <c r="T363" s="3"/>
      <c r="U363" s="3"/>
      <c r="V363" s="9" t="n">
        <v>17.105</v>
      </c>
    </row>
    <row r="364" customFormat="false" ht="15" hidden="false" customHeight="true" outlineLevel="0" collapsed="false">
      <c r="A364" s="3" t="n">
        <v>363</v>
      </c>
      <c r="B364" s="3" t="n">
        <v>8</v>
      </c>
      <c r="C364" s="3" t="s">
        <v>213</v>
      </c>
      <c r="D364" s="3" t="s">
        <v>214</v>
      </c>
      <c r="E364" s="3" t="s">
        <v>215</v>
      </c>
      <c r="F364" s="3" t="s">
        <v>216</v>
      </c>
      <c r="G364" s="3" t="s">
        <v>67</v>
      </c>
      <c r="H364" s="3" t="n">
        <v>1</v>
      </c>
      <c r="I364" s="3" t="n">
        <v>14</v>
      </c>
      <c r="J364" s="3" t="s">
        <v>281</v>
      </c>
      <c r="K364" s="8" t="n">
        <v>728000</v>
      </c>
      <c r="L364" s="8" t="n">
        <v>4500</v>
      </c>
      <c r="M364" s="8" t="n">
        <v>54937.5</v>
      </c>
      <c r="N364" s="8" t="n">
        <v>787437.5</v>
      </c>
      <c r="O364" s="3" t="s">
        <v>97</v>
      </c>
      <c r="P364" s="3" t="s">
        <v>84</v>
      </c>
      <c r="Q364" s="3" t="s">
        <v>59</v>
      </c>
      <c r="R364" s="3" t="str">
        <f aca="false">IF(Q364="pass","No","Yes")</f>
        <v>Yes</v>
      </c>
      <c r="S364" s="3" t="s">
        <v>98</v>
      </c>
      <c r="T364" s="3" t="s">
        <v>97</v>
      </c>
      <c r="U364" s="3" t="s">
        <v>611</v>
      </c>
      <c r="V364" s="9" t="n">
        <v>15.581</v>
      </c>
    </row>
    <row r="365" customFormat="false" ht="15" hidden="false" customHeight="true" outlineLevel="0" collapsed="false">
      <c r="A365" s="3" t="n">
        <v>364</v>
      </c>
      <c r="B365" s="3" t="n">
        <v>8</v>
      </c>
      <c r="C365" s="3" t="s">
        <v>70</v>
      </c>
      <c r="D365" s="3" t="s">
        <v>71</v>
      </c>
      <c r="E365" s="3" t="s">
        <v>72</v>
      </c>
      <c r="F365" s="3" t="s">
        <v>73</v>
      </c>
      <c r="G365" s="3" t="s">
        <v>74</v>
      </c>
      <c r="H365" s="3" t="n">
        <v>1</v>
      </c>
      <c r="I365" s="3" t="n">
        <v>27</v>
      </c>
      <c r="J365" s="3" t="s">
        <v>612</v>
      </c>
      <c r="K365" s="8" t="n">
        <v>337500</v>
      </c>
      <c r="L365" s="8" t="n">
        <v>9000</v>
      </c>
      <c r="M365" s="8" t="n">
        <v>25987.5</v>
      </c>
      <c r="N365" s="8" t="n">
        <v>372487.5</v>
      </c>
      <c r="O365" s="3" t="s">
        <v>57</v>
      </c>
      <c r="P365" s="3" t="s">
        <v>58</v>
      </c>
      <c r="Q365" s="3" t="s">
        <v>69</v>
      </c>
      <c r="R365" s="3" t="str">
        <f aca="false">IF(Q365="pass","No","Yes")</f>
        <v>No</v>
      </c>
      <c r="S365" s="3" t="s">
        <v>60</v>
      </c>
      <c r="T365" s="3"/>
      <c r="U365" s="3"/>
      <c r="V365" s="9" t="n">
        <v>19.425</v>
      </c>
    </row>
    <row r="366" customFormat="false" ht="15" hidden="false" customHeight="true" outlineLevel="0" collapsed="false">
      <c r="A366" s="3" t="n">
        <v>365</v>
      </c>
      <c r="B366" s="3" t="n">
        <v>8</v>
      </c>
      <c r="C366" s="3" t="s">
        <v>70</v>
      </c>
      <c r="D366" s="3" t="s">
        <v>71</v>
      </c>
      <c r="E366" s="3" t="s">
        <v>72</v>
      </c>
      <c r="F366" s="3" t="s">
        <v>73</v>
      </c>
      <c r="G366" s="3" t="s">
        <v>74</v>
      </c>
      <c r="H366" s="3" t="n">
        <v>1</v>
      </c>
      <c r="I366" s="3" t="n">
        <v>27</v>
      </c>
      <c r="J366" s="3" t="s">
        <v>612</v>
      </c>
      <c r="K366" s="8" t="n">
        <v>337500</v>
      </c>
      <c r="L366" s="8" t="n">
        <v>9000</v>
      </c>
      <c r="M366" s="8" t="n">
        <v>25987.5</v>
      </c>
      <c r="N366" s="8" t="n">
        <v>372487.5</v>
      </c>
      <c r="O366" s="3" t="s">
        <v>97</v>
      </c>
      <c r="P366" s="3" t="s">
        <v>84</v>
      </c>
      <c r="Q366" s="3" t="s">
        <v>59</v>
      </c>
      <c r="R366" s="3" t="str">
        <f aca="false">IF(Q366="pass","No","Yes")</f>
        <v>Yes</v>
      </c>
      <c r="S366" s="3" t="s">
        <v>98</v>
      </c>
      <c r="T366" s="3" t="s">
        <v>97</v>
      </c>
      <c r="U366" s="3" t="s">
        <v>613</v>
      </c>
      <c r="V366" s="9" t="n">
        <v>17.048</v>
      </c>
    </row>
    <row r="367" customFormat="false" ht="15" hidden="false" customHeight="true" outlineLevel="0" collapsed="false">
      <c r="A367" s="3" t="n">
        <v>366</v>
      </c>
      <c r="B367" s="3" t="n">
        <v>8</v>
      </c>
      <c r="C367" s="3" t="s">
        <v>105</v>
      </c>
      <c r="D367" s="3" t="s">
        <v>106</v>
      </c>
      <c r="E367" s="3" t="s">
        <v>107</v>
      </c>
      <c r="F367" s="3" t="s">
        <v>108</v>
      </c>
      <c r="G367" s="3" t="s">
        <v>81</v>
      </c>
      <c r="H367" s="3" t="n">
        <v>1</v>
      </c>
      <c r="I367" s="3" t="n">
        <v>10</v>
      </c>
      <c r="J367" s="3" t="s">
        <v>421</v>
      </c>
      <c r="K367" s="8" t="n">
        <v>380000</v>
      </c>
      <c r="L367" s="8" t="n">
        <v>4000</v>
      </c>
      <c r="M367" s="8" t="n">
        <v>28800</v>
      </c>
      <c r="N367" s="8" t="n">
        <v>412800</v>
      </c>
      <c r="O367" s="3" t="s">
        <v>57</v>
      </c>
      <c r="P367" s="3" t="s">
        <v>58</v>
      </c>
      <c r="Q367" s="3" t="s">
        <v>69</v>
      </c>
      <c r="R367" s="3" t="str">
        <f aca="false">IF(Q367="pass","No","Yes")</f>
        <v>No</v>
      </c>
      <c r="S367" s="3" t="s">
        <v>60</v>
      </c>
      <c r="T367" s="3"/>
      <c r="U367" s="3"/>
      <c r="V367" s="9" t="n">
        <v>17.96</v>
      </c>
    </row>
    <row r="368" customFormat="false" ht="15" hidden="false" customHeight="true" outlineLevel="0" collapsed="false">
      <c r="A368" s="3" t="n">
        <v>367</v>
      </c>
      <c r="B368" s="3" t="n">
        <v>8</v>
      </c>
      <c r="C368" s="3" t="s">
        <v>105</v>
      </c>
      <c r="D368" s="3" t="s">
        <v>106</v>
      </c>
      <c r="E368" s="3" t="s">
        <v>107</v>
      </c>
      <c r="F368" s="3" t="s">
        <v>108</v>
      </c>
      <c r="G368" s="3" t="s">
        <v>81</v>
      </c>
      <c r="H368" s="3" t="n">
        <v>1</v>
      </c>
      <c r="I368" s="3" t="n">
        <v>2</v>
      </c>
      <c r="J368" s="3" t="s">
        <v>567</v>
      </c>
      <c r="K368" s="8" t="n">
        <v>76000</v>
      </c>
      <c r="L368" s="8" t="n">
        <v>4000</v>
      </c>
      <c r="M368" s="8" t="n">
        <v>6000</v>
      </c>
      <c r="N368" s="8" t="n">
        <v>86000</v>
      </c>
      <c r="O368" s="3" t="s">
        <v>57</v>
      </c>
      <c r="P368" s="3" t="s">
        <v>58</v>
      </c>
      <c r="Q368" s="3" t="s">
        <v>69</v>
      </c>
      <c r="R368" s="3" t="str">
        <f aca="false">IF(Q368="pass","No","Yes")</f>
        <v>No</v>
      </c>
      <c r="S368" s="3" t="s">
        <v>60</v>
      </c>
      <c r="T368" s="3"/>
      <c r="U368" s="3"/>
      <c r="V368" s="9" t="n">
        <v>25.961</v>
      </c>
    </row>
    <row r="369" customFormat="false" ht="15" hidden="false" customHeight="true" outlineLevel="0" collapsed="false">
      <c r="A369" s="3" t="n">
        <v>368</v>
      </c>
      <c r="B369" s="3" t="n">
        <v>8</v>
      </c>
      <c r="C369" s="3" t="s">
        <v>137</v>
      </c>
      <c r="D369" s="3" t="s">
        <v>138</v>
      </c>
      <c r="E369" s="3" t="s">
        <v>139</v>
      </c>
      <c r="F369" s="3" t="s">
        <v>140</v>
      </c>
      <c r="G369" s="3" t="s">
        <v>55</v>
      </c>
      <c r="H369" s="3" t="n">
        <v>1</v>
      </c>
      <c r="I369" s="3" t="n">
        <v>2</v>
      </c>
      <c r="J369" s="3" t="s">
        <v>255</v>
      </c>
      <c r="K369" s="8" t="n">
        <v>8200</v>
      </c>
      <c r="L369" s="8" t="n">
        <v>6000</v>
      </c>
      <c r="M369" s="8" t="n">
        <v>1065</v>
      </c>
      <c r="N369" s="8" t="n">
        <v>15265</v>
      </c>
      <c r="O369" s="3" t="s">
        <v>76</v>
      </c>
      <c r="P369" s="3" t="s">
        <v>58</v>
      </c>
      <c r="Q369" s="3" t="s">
        <v>69</v>
      </c>
      <c r="R369" s="3" t="str">
        <f aca="false">IF(Q369="pass","No","Yes")</f>
        <v>No</v>
      </c>
      <c r="S369" s="3" t="s">
        <v>60</v>
      </c>
      <c r="T369" s="3"/>
      <c r="U369" s="3"/>
      <c r="V369" s="9" t="n">
        <v>18.715</v>
      </c>
    </row>
    <row r="370" customFormat="false" ht="15" hidden="false" customHeight="true" outlineLevel="0" collapsed="false">
      <c r="A370" s="3" t="n">
        <v>369</v>
      </c>
      <c r="B370" s="3" t="n">
        <v>8</v>
      </c>
      <c r="C370" s="3" t="s">
        <v>51</v>
      </c>
      <c r="D370" s="3" t="s">
        <v>52</v>
      </c>
      <c r="E370" s="3" t="s">
        <v>53</v>
      </c>
      <c r="F370" s="3" t="s">
        <v>54</v>
      </c>
      <c r="G370" s="3" t="s">
        <v>55</v>
      </c>
      <c r="H370" s="3" t="n">
        <v>2</v>
      </c>
      <c r="I370" s="3" t="n">
        <v>64</v>
      </c>
      <c r="J370" s="3" t="s">
        <v>614</v>
      </c>
      <c r="K370" s="8" t="n">
        <v>724000</v>
      </c>
      <c r="L370" s="8" t="n">
        <v>6000</v>
      </c>
      <c r="M370" s="8" t="n">
        <v>54750</v>
      </c>
      <c r="N370" s="8" t="n">
        <v>784750</v>
      </c>
      <c r="O370" s="3" t="s">
        <v>57</v>
      </c>
      <c r="P370" s="3" t="s">
        <v>58</v>
      </c>
      <c r="Q370" s="3" t="s">
        <v>69</v>
      </c>
      <c r="R370" s="3" t="str">
        <f aca="false">IF(Q370="pass","No","Yes")</f>
        <v>No</v>
      </c>
      <c r="S370" s="3" t="s">
        <v>60</v>
      </c>
      <c r="T370" s="3"/>
      <c r="U370" s="3"/>
      <c r="V370" s="9" t="n">
        <v>30.101</v>
      </c>
    </row>
    <row r="371" customFormat="false" ht="15" hidden="false" customHeight="true" outlineLevel="0" collapsed="false">
      <c r="A371" s="3" t="n">
        <v>370</v>
      </c>
      <c r="B371" s="3" t="n">
        <v>8</v>
      </c>
      <c r="C371" s="3" t="s">
        <v>77</v>
      </c>
      <c r="D371" s="3" t="s">
        <v>78</v>
      </c>
      <c r="E371" s="3" t="s">
        <v>79</v>
      </c>
      <c r="F371" s="3" t="s">
        <v>80</v>
      </c>
      <c r="G371" s="3" t="s">
        <v>81</v>
      </c>
      <c r="H371" s="3" t="n">
        <v>1</v>
      </c>
      <c r="I371" s="3" t="n">
        <v>2</v>
      </c>
      <c r="J371" s="3" t="s">
        <v>255</v>
      </c>
      <c r="K371" s="8" t="n">
        <v>8200</v>
      </c>
      <c r="L371" s="8" t="n">
        <v>4000</v>
      </c>
      <c r="M371" s="8" t="n">
        <v>915</v>
      </c>
      <c r="N371" s="8" t="n">
        <v>13115</v>
      </c>
      <c r="O371" s="3" t="s">
        <v>152</v>
      </c>
      <c r="P371" s="3" t="s">
        <v>84</v>
      </c>
      <c r="Q371" s="3" t="s">
        <v>85</v>
      </c>
      <c r="R371" s="3" t="str">
        <f aca="false">IF(Q371="pass","No","Yes")</f>
        <v>Yes</v>
      </c>
      <c r="S371" s="3" t="s">
        <v>86</v>
      </c>
      <c r="T371" s="3" t="s">
        <v>87</v>
      </c>
      <c r="U371" s="3" t="s">
        <v>153</v>
      </c>
      <c r="V371" s="9" t="n">
        <v>19.402</v>
      </c>
    </row>
    <row r="372" customFormat="false" ht="15" hidden="false" customHeight="true" outlineLevel="0" collapsed="false">
      <c r="A372" s="3" t="n">
        <v>371</v>
      </c>
      <c r="B372" s="3" t="n">
        <v>8</v>
      </c>
      <c r="C372" s="3" t="s">
        <v>213</v>
      </c>
      <c r="D372" s="3" t="s">
        <v>214</v>
      </c>
      <c r="E372" s="3" t="s">
        <v>215</v>
      </c>
      <c r="F372" s="3" t="s">
        <v>216</v>
      </c>
      <c r="G372" s="3" t="s">
        <v>67</v>
      </c>
      <c r="H372" s="3" t="n">
        <v>2</v>
      </c>
      <c r="I372" s="3" t="n">
        <v>97</v>
      </c>
      <c r="J372" s="3" t="s">
        <v>615</v>
      </c>
      <c r="K372" s="8" t="n">
        <v>1235400</v>
      </c>
      <c r="L372" s="8" t="n">
        <v>4500</v>
      </c>
      <c r="M372" s="8" t="n">
        <v>92992.5</v>
      </c>
      <c r="N372" s="8" t="n">
        <v>1332892.5</v>
      </c>
      <c r="O372" s="3" t="s">
        <v>118</v>
      </c>
      <c r="P372" s="3" t="s">
        <v>58</v>
      </c>
      <c r="Q372" s="3" t="s">
        <v>69</v>
      </c>
      <c r="R372" s="3" t="str">
        <f aca="false">IF(Q372="pass","No","Yes")</f>
        <v>No</v>
      </c>
      <c r="S372" s="3" t="s">
        <v>60</v>
      </c>
      <c r="T372" s="3"/>
      <c r="U372" s="3"/>
      <c r="V372" s="9" t="n">
        <v>31.722</v>
      </c>
    </row>
    <row r="373" customFormat="false" ht="15" hidden="false" customHeight="true" outlineLevel="0" collapsed="false">
      <c r="A373" s="3" t="n">
        <v>372</v>
      </c>
      <c r="B373" s="3" t="n">
        <v>8</v>
      </c>
      <c r="C373" s="3" t="s">
        <v>70</v>
      </c>
      <c r="D373" s="3" t="s">
        <v>71</v>
      </c>
      <c r="E373" s="3" t="s">
        <v>72</v>
      </c>
      <c r="F373" s="3" t="s">
        <v>73</v>
      </c>
      <c r="G373" s="3" t="s">
        <v>74</v>
      </c>
      <c r="H373" s="3" t="n">
        <v>3</v>
      </c>
      <c r="I373" s="3" t="n">
        <v>64</v>
      </c>
      <c r="J373" s="3" t="s">
        <v>616</v>
      </c>
      <c r="K373" s="8" t="n">
        <v>1092200</v>
      </c>
      <c r="L373" s="8" t="n">
        <v>9000</v>
      </c>
      <c r="M373" s="8" t="n">
        <v>82590</v>
      </c>
      <c r="N373" s="8" t="n">
        <v>1183790</v>
      </c>
      <c r="O373" s="3" t="s">
        <v>57</v>
      </c>
      <c r="P373" s="3" t="s">
        <v>58</v>
      </c>
      <c r="Q373" s="3" t="s">
        <v>69</v>
      </c>
      <c r="R373" s="3" t="str">
        <f aca="false">IF(Q373="pass","No","Yes")</f>
        <v>No</v>
      </c>
      <c r="S373" s="3" t="s">
        <v>60</v>
      </c>
      <c r="T373" s="3"/>
      <c r="U373" s="3"/>
      <c r="V373" s="9" t="n">
        <v>43.559</v>
      </c>
    </row>
    <row r="374" customFormat="false" ht="15" hidden="false" customHeight="true" outlineLevel="0" collapsed="false">
      <c r="A374" s="3" t="n">
        <v>373</v>
      </c>
      <c r="B374" s="3" t="n">
        <v>8</v>
      </c>
      <c r="C374" s="3" t="s">
        <v>154</v>
      </c>
      <c r="D374" s="3" t="s">
        <v>155</v>
      </c>
      <c r="E374" s="3" t="s">
        <v>156</v>
      </c>
      <c r="F374" s="3" t="s">
        <v>157</v>
      </c>
      <c r="G374" s="3" t="s">
        <v>123</v>
      </c>
      <c r="H374" s="3" t="n">
        <v>2</v>
      </c>
      <c r="I374" s="3" t="n">
        <v>323</v>
      </c>
      <c r="J374" s="3" t="s">
        <v>617</v>
      </c>
      <c r="K374" s="8" t="n">
        <v>4259500</v>
      </c>
      <c r="L374" s="8" t="n">
        <v>5000</v>
      </c>
      <c r="M374" s="8" t="n">
        <v>319837.5</v>
      </c>
      <c r="N374" s="8" t="n">
        <v>4584337.5</v>
      </c>
      <c r="O374" s="3" t="s">
        <v>171</v>
      </c>
      <c r="P374" s="3" t="s">
        <v>84</v>
      </c>
      <c r="Q374" s="3" t="s">
        <v>85</v>
      </c>
      <c r="R374" s="3" t="str">
        <f aca="false">IF(Q374="pass","No","Yes")</f>
        <v>Yes</v>
      </c>
      <c r="S374" s="3" t="s">
        <v>86</v>
      </c>
      <c r="T374" s="3" t="s">
        <v>209</v>
      </c>
      <c r="U374" s="3" t="s">
        <v>618</v>
      </c>
      <c r="V374" s="9" t="n">
        <v>32.166</v>
      </c>
    </row>
    <row r="375" customFormat="false" ht="15" hidden="false" customHeight="true" outlineLevel="0" collapsed="false">
      <c r="A375" s="3" t="n">
        <v>374</v>
      </c>
      <c r="B375" s="3" t="n">
        <v>8</v>
      </c>
      <c r="C375" s="3" t="s">
        <v>137</v>
      </c>
      <c r="D375" s="3" t="s">
        <v>138</v>
      </c>
      <c r="E375" s="3" t="s">
        <v>139</v>
      </c>
      <c r="F375" s="3" t="s">
        <v>140</v>
      </c>
      <c r="G375" s="3" t="s">
        <v>55</v>
      </c>
      <c r="H375" s="3" t="n">
        <v>1</v>
      </c>
      <c r="I375" s="3" t="n">
        <v>11</v>
      </c>
      <c r="J375" s="3" t="s">
        <v>619</v>
      </c>
      <c r="K375" s="8" t="n">
        <v>418000</v>
      </c>
      <c r="L375" s="8" t="n">
        <v>6000</v>
      </c>
      <c r="M375" s="8" t="n">
        <v>31800</v>
      </c>
      <c r="N375" s="8" t="n">
        <v>455800</v>
      </c>
      <c r="O375" s="3" t="s">
        <v>57</v>
      </c>
      <c r="P375" s="3" t="s">
        <v>58</v>
      </c>
      <c r="Q375" s="3" t="s">
        <v>69</v>
      </c>
      <c r="R375" s="3" t="str">
        <f aca="false">IF(Q375="pass","No","Yes")</f>
        <v>No</v>
      </c>
      <c r="S375" s="3" t="s">
        <v>60</v>
      </c>
      <c r="T375" s="3"/>
      <c r="U375" s="3"/>
      <c r="V375" s="9" t="n">
        <v>16.602</v>
      </c>
    </row>
    <row r="376" customFormat="false" ht="15" hidden="false" customHeight="true" outlineLevel="0" collapsed="false">
      <c r="A376" s="3" t="n">
        <v>375</v>
      </c>
      <c r="B376" s="3" t="n">
        <v>8</v>
      </c>
      <c r="C376" s="3" t="s">
        <v>137</v>
      </c>
      <c r="D376" s="3" t="s">
        <v>138</v>
      </c>
      <c r="E376" s="3" t="s">
        <v>139</v>
      </c>
      <c r="F376" s="3" t="s">
        <v>140</v>
      </c>
      <c r="G376" s="3" t="s">
        <v>55</v>
      </c>
      <c r="H376" s="3" t="n">
        <v>1</v>
      </c>
      <c r="I376" s="3" t="n">
        <v>13</v>
      </c>
      <c r="J376" s="3" t="s">
        <v>620</v>
      </c>
      <c r="K376" s="8" t="n">
        <v>676000</v>
      </c>
      <c r="L376" s="8" t="n">
        <v>6000</v>
      </c>
      <c r="M376" s="8" t="n">
        <v>51150</v>
      </c>
      <c r="N376" s="8" t="n">
        <v>733150</v>
      </c>
      <c r="O376" s="3" t="s">
        <v>118</v>
      </c>
      <c r="P376" s="3" t="s">
        <v>58</v>
      </c>
      <c r="Q376" s="3" t="s">
        <v>69</v>
      </c>
      <c r="R376" s="3" t="str">
        <f aca="false">IF(Q376="pass","No","Yes")</f>
        <v>No</v>
      </c>
      <c r="S376" s="3" t="s">
        <v>60</v>
      </c>
      <c r="T376" s="3"/>
      <c r="U376" s="3"/>
      <c r="V376" s="9" t="n">
        <v>18.324</v>
      </c>
    </row>
    <row r="377" customFormat="false" ht="15" hidden="false" customHeight="true" outlineLevel="0" collapsed="false">
      <c r="A377" s="3" t="n">
        <v>376</v>
      </c>
      <c r="B377" s="3" t="n">
        <v>8</v>
      </c>
      <c r="C377" s="3" t="s">
        <v>112</v>
      </c>
      <c r="D377" s="3" t="s">
        <v>113</v>
      </c>
      <c r="E377" s="3" t="s">
        <v>114</v>
      </c>
      <c r="F377" s="3" t="s">
        <v>115</v>
      </c>
      <c r="G377" s="3" t="s">
        <v>116</v>
      </c>
      <c r="H377" s="3" t="n">
        <v>1</v>
      </c>
      <c r="I377" s="3" t="n">
        <v>29</v>
      </c>
      <c r="J377" s="3" t="s">
        <v>621</v>
      </c>
      <c r="K377" s="8" t="n">
        <v>362500</v>
      </c>
      <c r="L377" s="8" t="n">
        <v>15000</v>
      </c>
      <c r="M377" s="8" t="n">
        <v>28312.5</v>
      </c>
      <c r="N377" s="8" t="n">
        <v>405812.5</v>
      </c>
      <c r="O377" s="3" t="s">
        <v>118</v>
      </c>
      <c r="P377" s="3" t="s">
        <v>58</v>
      </c>
      <c r="Q377" s="3" t="s">
        <v>69</v>
      </c>
      <c r="R377" s="3" t="str">
        <f aca="false">IF(Q377="pass","No","Yes")</f>
        <v>No</v>
      </c>
      <c r="S377" s="3" t="s">
        <v>60</v>
      </c>
      <c r="T377" s="3"/>
      <c r="U377" s="3"/>
      <c r="V377" s="9" t="n">
        <v>21.237</v>
      </c>
    </row>
    <row r="378" customFormat="false" ht="15" hidden="false" customHeight="true" outlineLevel="0" collapsed="false">
      <c r="A378" s="3" t="n">
        <v>377</v>
      </c>
      <c r="B378" s="3" t="n">
        <v>8</v>
      </c>
      <c r="C378" s="3" t="s">
        <v>166</v>
      </c>
      <c r="D378" s="3" t="s">
        <v>167</v>
      </c>
      <c r="E378" s="3" t="s">
        <v>168</v>
      </c>
      <c r="F378" s="3" t="s">
        <v>169</v>
      </c>
      <c r="G378" s="3" t="s">
        <v>74</v>
      </c>
      <c r="H378" s="3" t="n">
        <v>2</v>
      </c>
      <c r="I378" s="3" t="n">
        <v>43</v>
      </c>
      <c r="J378" s="3" t="s">
        <v>622</v>
      </c>
      <c r="K378" s="8" t="n">
        <v>525800</v>
      </c>
      <c r="L378" s="8" t="n">
        <v>9000</v>
      </c>
      <c r="M378" s="8" t="n">
        <v>40110</v>
      </c>
      <c r="N378" s="8" t="n">
        <v>574910</v>
      </c>
      <c r="O378" s="3" t="s">
        <v>57</v>
      </c>
      <c r="P378" s="3" t="s">
        <v>58</v>
      </c>
      <c r="Q378" s="3" t="s">
        <v>69</v>
      </c>
      <c r="R378" s="3" t="str">
        <f aca="false">IF(Q378="pass","No","Yes")</f>
        <v>No</v>
      </c>
      <c r="S378" s="3" t="s">
        <v>60</v>
      </c>
      <c r="T378" s="3"/>
      <c r="U378" s="3"/>
      <c r="V378" s="9" t="n">
        <v>32.674</v>
      </c>
    </row>
    <row r="379" customFormat="false" ht="15" hidden="false" customHeight="true" outlineLevel="0" collapsed="false">
      <c r="A379" s="3" t="n">
        <v>378</v>
      </c>
      <c r="B379" s="3" t="n">
        <v>8</v>
      </c>
      <c r="C379" s="3" t="s">
        <v>142</v>
      </c>
      <c r="D379" s="3" t="s">
        <v>143</v>
      </c>
      <c r="E379" s="3" t="s">
        <v>144</v>
      </c>
      <c r="F379" s="3" t="s">
        <v>145</v>
      </c>
      <c r="G379" s="3" t="s">
        <v>74</v>
      </c>
      <c r="H379" s="3" t="n">
        <v>2</v>
      </c>
      <c r="I379" s="3" t="n">
        <v>64</v>
      </c>
      <c r="J379" s="3" t="s">
        <v>623</v>
      </c>
      <c r="K379" s="8" t="n">
        <v>1015200</v>
      </c>
      <c r="L379" s="8" t="n">
        <v>9000</v>
      </c>
      <c r="M379" s="8" t="n">
        <v>76815</v>
      </c>
      <c r="N379" s="8" t="n">
        <v>1101015</v>
      </c>
      <c r="O379" s="3" t="s">
        <v>57</v>
      </c>
      <c r="P379" s="3" t="s">
        <v>58</v>
      </c>
      <c r="Q379" s="3" t="s">
        <v>59</v>
      </c>
      <c r="R379" s="3" t="str">
        <f aca="false">IF(Q379="pass","No","Yes")</f>
        <v>Yes</v>
      </c>
      <c r="S379" s="3" t="s">
        <v>60</v>
      </c>
      <c r="T379" s="3" t="s">
        <v>61</v>
      </c>
      <c r="U379" s="3" t="s">
        <v>624</v>
      </c>
      <c r="V379" s="9" t="n">
        <v>43.476</v>
      </c>
    </row>
    <row r="380" customFormat="false" ht="15" hidden="false" customHeight="true" outlineLevel="0" collapsed="false">
      <c r="A380" s="3" t="n">
        <v>379</v>
      </c>
      <c r="B380" s="3" t="n">
        <v>8</v>
      </c>
      <c r="C380" s="3" t="s">
        <v>63</v>
      </c>
      <c r="D380" s="3" t="s">
        <v>64</v>
      </c>
      <c r="E380" s="3" t="s">
        <v>65</v>
      </c>
      <c r="F380" s="3" t="s">
        <v>66</v>
      </c>
      <c r="G380" s="3" t="s">
        <v>67</v>
      </c>
      <c r="H380" s="3" t="n">
        <v>3</v>
      </c>
      <c r="I380" s="3" t="n">
        <v>239</v>
      </c>
      <c r="J380" s="3" t="s">
        <v>625</v>
      </c>
      <c r="K380" s="8" t="n">
        <v>2478700</v>
      </c>
      <c r="L380" s="8" t="n">
        <v>4500</v>
      </c>
      <c r="M380" s="8" t="n">
        <v>186240</v>
      </c>
      <c r="N380" s="8" t="n">
        <v>2669440</v>
      </c>
      <c r="O380" s="3" t="s">
        <v>57</v>
      </c>
      <c r="P380" s="3" t="s">
        <v>58</v>
      </c>
      <c r="Q380" s="3" t="s">
        <v>69</v>
      </c>
      <c r="R380" s="3" t="str">
        <f aca="false">IF(Q380="pass","No","Yes")</f>
        <v>No</v>
      </c>
      <c r="S380" s="3" t="s">
        <v>60</v>
      </c>
      <c r="T380" s="3"/>
      <c r="U380" s="3"/>
      <c r="V380" s="9" t="n">
        <v>62.705</v>
      </c>
    </row>
    <row r="381" customFormat="false" ht="15" hidden="false" customHeight="true" outlineLevel="0" collapsed="false">
      <c r="A381" s="3" t="n">
        <v>380</v>
      </c>
      <c r="B381" s="3" t="n">
        <v>8</v>
      </c>
      <c r="C381" s="3" t="s">
        <v>119</v>
      </c>
      <c r="D381" s="3" t="s">
        <v>120</v>
      </c>
      <c r="E381" s="3" t="s">
        <v>121</v>
      </c>
      <c r="F381" s="3" t="s">
        <v>122</v>
      </c>
      <c r="G381" s="3" t="s">
        <v>123</v>
      </c>
      <c r="H381" s="3" t="n">
        <v>3</v>
      </c>
      <c r="I381" s="3" t="n">
        <v>111</v>
      </c>
      <c r="J381" s="3" t="s">
        <v>626</v>
      </c>
      <c r="K381" s="8" t="n">
        <v>813700</v>
      </c>
      <c r="L381" s="8" t="n">
        <v>5000</v>
      </c>
      <c r="M381" s="8" t="n">
        <v>61402.5</v>
      </c>
      <c r="N381" s="8" t="n">
        <v>880102.5</v>
      </c>
      <c r="O381" s="3" t="s">
        <v>83</v>
      </c>
      <c r="P381" s="3" t="s">
        <v>84</v>
      </c>
      <c r="Q381" s="3" t="s">
        <v>85</v>
      </c>
      <c r="R381" s="3" t="str">
        <f aca="false">IF(Q381="pass","No","Yes")</f>
        <v>Yes</v>
      </c>
      <c r="S381" s="3" t="s">
        <v>86</v>
      </c>
      <c r="T381" s="3" t="s">
        <v>183</v>
      </c>
      <c r="U381" s="3" t="s">
        <v>627</v>
      </c>
      <c r="V381" s="9" t="n">
        <v>76.451</v>
      </c>
    </row>
    <row r="382" customFormat="false" ht="15" hidden="false" customHeight="true" outlineLevel="0" collapsed="false">
      <c r="A382" s="3" t="n">
        <v>381</v>
      </c>
      <c r="B382" s="3" t="n">
        <v>8</v>
      </c>
      <c r="C382" s="3" t="s">
        <v>77</v>
      </c>
      <c r="D382" s="3" t="s">
        <v>78</v>
      </c>
      <c r="E382" s="3" t="s">
        <v>79</v>
      </c>
      <c r="F382" s="3" t="s">
        <v>80</v>
      </c>
      <c r="G382" s="3" t="s">
        <v>81</v>
      </c>
      <c r="H382" s="3" t="n">
        <v>1</v>
      </c>
      <c r="I382" s="3" t="n">
        <v>3</v>
      </c>
      <c r="J382" s="3" t="s">
        <v>162</v>
      </c>
      <c r="K382" s="8" t="n">
        <v>114000</v>
      </c>
      <c r="L382" s="8" t="n">
        <v>4000</v>
      </c>
      <c r="M382" s="8" t="n">
        <v>8850</v>
      </c>
      <c r="N382" s="8" t="n">
        <v>126850</v>
      </c>
      <c r="O382" s="3" t="s">
        <v>76</v>
      </c>
      <c r="P382" s="3" t="s">
        <v>58</v>
      </c>
      <c r="Q382" s="3" t="s">
        <v>69</v>
      </c>
      <c r="R382" s="3" t="str">
        <f aca="false">IF(Q382="pass","No","Yes")</f>
        <v>No</v>
      </c>
      <c r="S382" s="3" t="s">
        <v>60</v>
      </c>
      <c r="T382" s="3"/>
      <c r="U382" s="3"/>
      <c r="V382" s="9" t="n">
        <v>19.127</v>
      </c>
    </row>
    <row r="383" customFormat="false" ht="15" hidden="false" customHeight="true" outlineLevel="0" collapsed="false">
      <c r="A383" s="3" t="n">
        <v>382</v>
      </c>
      <c r="B383" s="3" t="n">
        <v>8</v>
      </c>
      <c r="C383" s="3" t="s">
        <v>142</v>
      </c>
      <c r="D383" s="3" t="s">
        <v>143</v>
      </c>
      <c r="E383" s="3" t="s">
        <v>144</v>
      </c>
      <c r="F383" s="3" t="s">
        <v>145</v>
      </c>
      <c r="G383" s="3" t="s">
        <v>74</v>
      </c>
      <c r="H383" s="3" t="n">
        <v>3</v>
      </c>
      <c r="I383" s="3" t="n">
        <v>11</v>
      </c>
      <c r="J383" s="3" t="s">
        <v>628</v>
      </c>
      <c r="K383" s="8" t="n">
        <v>558000</v>
      </c>
      <c r="L383" s="8" t="n">
        <v>9000</v>
      </c>
      <c r="M383" s="8" t="n">
        <v>42525</v>
      </c>
      <c r="N383" s="8" t="n">
        <v>609525</v>
      </c>
      <c r="O383" s="3" t="s">
        <v>272</v>
      </c>
      <c r="P383" s="3" t="s">
        <v>84</v>
      </c>
      <c r="Q383" s="3" t="s">
        <v>85</v>
      </c>
      <c r="R383" s="3" t="str">
        <f aca="false">IF(Q383="pass","No","Yes")</f>
        <v>Yes</v>
      </c>
      <c r="S383" s="3" t="s">
        <v>86</v>
      </c>
      <c r="T383" s="3" t="s">
        <v>273</v>
      </c>
      <c r="U383" s="3" t="s">
        <v>629</v>
      </c>
      <c r="V383" s="9" t="n">
        <v>38.506</v>
      </c>
    </row>
    <row r="384" customFormat="false" ht="15" hidden="false" customHeight="true" outlineLevel="0" collapsed="false">
      <c r="A384" s="3" t="n">
        <v>383</v>
      </c>
      <c r="B384" s="3" t="n">
        <v>8</v>
      </c>
      <c r="C384" s="3" t="s">
        <v>198</v>
      </c>
      <c r="D384" s="3" t="s">
        <v>199</v>
      </c>
      <c r="E384" s="3" t="s">
        <v>200</v>
      </c>
      <c r="F384" s="3" t="s">
        <v>201</v>
      </c>
      <c r="G384" s="3" t="s">
        <v>81</v>
      </c>
      <c r="H384" s="3" t="n">
        <v>3</v>
      </c>
      <c r="I384" s="3" t="n">
        <v>371</v>
      </c>
      <c r="J384" s="3" t="s">
        <v>630</v>
      </c>
      <c r="K384" s="8" t="n">
        <v>4716200</v>
      </c>
      <c r="L384" s="8" t="n">
        <v>4000</v>
      </c>
      <c r="M384" s="8" t="n">
        <v>354015</v>
      </c>
      <c r="N384" s="8" t="n">
        <v>5074215</v>
      </c>
      <c r="O384" s="3" t="s">
        <v>171</v>
      </c>
      <c r="P384" s="3" t="s">
        <v>84</v>
      </c>
      <c r="Q384" s="3" t="s">
        <v>85</v>
      </c>
      <c r="R384" s="3" t="str">
        <f aca="false">IF(Q384="pass","No","Yes")</f>
        <v>Yes</v>
      </c>
      <c r="S384" s="3" t="s">
        <v>86</v>
      </c>
      <c r="T384" s="3" t="s">
        <v>172</v>
      </c>
      <c r="U384" s="3" t="s">
        <v>631</v>
      </c>
      <c r="V384" s="9" t="n">
        <v>48.4</v>
      </c>
    </row>
    <row r="385" customFormat="false" ht="15" hidden="false" customHeight="true" outlineLevel="0" collapsed="false">
      <c r="A385" s="3" t="n">
        <v>384</v>
      </c>
      <c r="B385" s="3" t="n">
        <v>8</v>
      </c>
      <c r="C385" s="3" t="s">
        <v>237</v>
      </c>
      <c r="D385" s="3" t="s">
        <v>238</v>
      </c>
      <c r="E385" s="3" t="s">
        <v>239</v>
      </c>
      <c r="F385" s="3" t="s">
        <v>240</v>
      </c>
      <c r="G385" s="3" t="s">
        <v>116</v>
      </c>
      <c r="H385" s="3" t="n">
        <v>1</v>
      </c>
      <c r="I385" s="3" t="n">
        <v>206</v>
      </c>
      <c r="J385" s="3" t="s">
        <v>377</v>
      </c>
      <c r="K385" s="8" t="n">
        <v>1957000</v>
      </c>
      <c r="L385" s="8" t="n">
        <v>15000</v>
      </c>
      <c r="M385" s="8" t="n">
        <v>147900</v>
      </c>
      <c r="N385" s="8" t="n">
        <v>2119900</v>
      </c>
      <c r="O385" s="3" t="s">
        <v>110</v>
      </c>
      <c r="P385" s="3" t="s">
        <v>58</v>
      </c>
      <c r="Q385" s="3" t="s">
        <v>59</v>
      </c>
      <c r="R385" s="3" t="str">
        <f aca="false">IF(Q385="pass","No","Yes")</f>
        <v>Yes</v>
      </c>
      <c r="S385" s="3" t="s">
        <v>98</v>
      </c>
      <c r="T385" s="3" t="s">
        <v>97</v>
      </c>
      <c r="U385" s="3" t="s">
        <v>632</v>
      </c>
      <c r="V385" s="9" t="n">
        <v>35.089</v>
      </c>
    </row>
    <row r="386" customFormat="false" ht="15" hidden="false" customHeight="true" outlineLevel="0" collapsed="false">
      <c r="A386" s="3" t="n">
        <v>385</v>
      </c>
      <c r="B386" s="3" t="n">
        <v>8</v>
      </c>
      <c r="C386" s="3" t="s">
        <v>105</v>
      </c>
      <c r="D386" s="3" t="s">
        <v>106</v>
      </c>
      <c r="E386" s="3" t="s">
        <v>107</v>
      </c>
      <c r="F386" s="3" t="s">
        <v>108</v>
      </c>
      <c r="G386" s="3" t="s">
        <v>81</v>
      </c>
      <c r="H386" s="3" t="n">
        <v>3</v>
      </c>
      <c r="I386" s="3" t="n">
        <v>45</v>
      </c>
      <c r="J386" s="3" t="s">
        <v>633</v>
      </c>
      <c r="K386" s="8" t="n">
        <v>423400</v>
      </c>
      <c r="L386" s="8" t="n">
        <v>4000</v>
      </c>
      <c r="M386" s="8" t="n">
        <v>32055</v>
      </c>
      <c r="N386" s="8" t="n">
        <v>459455</v>
      </c>
      <c r="O386" s="3" t="s">
        <v>57</v>
      </c>
      <c r="P386" s="3" t="s">
        <v>58</v>
      </c>
      <c r="Q386" s="3" t="s">
        <v>69</v>
      </c>
      <c r="R386" s="3" t="str">
        <f aca="false">IF(Q386="pass","No","Yes")</f>
        <v>No</v>
      </c>
      <c r="S386" s="3" t="s">
        <v>60</v>
      </c>
      <c r="T386" s="3"/>
      <c r="U386" s="3"/>
      <c r="V386" s="9" t="n">
        <v>59.528</v>
      </c>
    </row>
    <row r="387" customFormat="false" ht="15" hidden="false" customHeight="true" outlineLevel="0" collapsed="false">
      <c r="A387" s="3" t="n">
        <v>386</v>
      </c>
      <c r="B387" s="3" t="n">
        <v>8</v>
      </c>
      <c r="C387" s="3" t="s">
        <v>77</v>
      </c>
      <c r="D387" s="3" t="s">
        <v>78</v>
      </c>
      <c r="E387" s="3" t="s">
        <v>79</v>
      </c>
      <c r="F387" s="3" t="s">
        <v>80</v>
      </c>
      <c r="G387" s="3" t="s">
        <v>81</v>
      </c>
      <c r="H387" s="3" t="n">
        <v>1</v>
      </c>
      <c r="I387" s="3" t="n">
        <v>206</v>
      </c>
      <c r="J387" s="3" t="s">
        <v>377</v>
      </c>
      <c r="K387" s="8" t="n">
        <v>1957000</v>
      </c>
      <c r="L387" s="8" t="n">
        <v>4000</v>
      </c>
      <c r="M387" s="8" t="n">
        <v>147075</v>
      </c>
      <c r="N387" s="8" t="n">
        <v>2108075</v>
      </c>
      <c r="O387" s="3" t="s">
        <v>110</v>
      </c>
      <c r="P387" s="3" t="s">
        <v>58</v>
      </c>
      <c r="Q387" s="3" t="s">
        <v>69</v>
      </c>
      <c r="R387" s="3" t="str">
        <f aca="false">IF(Q387="pass","No","Yes")</f>
        <v>No</v>
      </c>
      <c r="S387" s="3" t="s">
        <v>60</v>
      </c>
      <c r="T387" s="3"/>
      <c r="U387" s="3"/>
      <c r="V387" s="9" t="n">
        <v>38.167</v>
      </c>
    </row>
    <row r="388" customFormat="false" ht="15" hidden="false" customHeight="true" outlineLevel="0" collapsed="false">
      <c r="A388" s="3" t="n">
        <v>387</v>
      </c>
      <c r="B388" s="3" t="n">
        <v>8</v>
      </c>
      <c r="C388" s="3" t="s">
        <v>70</v>
      </c>
      <c r="D388" s="3" t="s">
        <v>71</v>
      </c>
      <c r="E388" s="3" t="s">
        <v>72</v>
      </c>
      <c r="F388" s="3" t="s">
        <v>73</v>
      </c>
      <c r="G388" s="3" t="s">
        <v>74</v>
      </c>
      <c r="H388" s="3" t="n">
        <v>2</v>
      </c>
      <c r="I388" s="3" t="n">
        <v>44</v>
      </c>
      <c r="J388" s="3" t="s">
        <v>634</v>
      </c>
      <c r="K388" s="8" t="n">
        <v>605500</v>
      </c>
      <c r="L388" s="8" t="n">
        <v>9000</v>
      </c>
      <c r="M388" s="8" t="n">
        <v>46087.5</v>
      </c>
      <c r="N388" s="8" t="n">
        <v>660587.5</v>
      </c>
      <c r="O388" s="3" t="s">
        <v>57</v>
      </c>
      <c r="P388" s="3" t="s">
        <v>58</v>
      </c>
      <c r="Q388" s="3" t="s">
        <v>69</v>
      </c>
      <c r="R388" s="3" t="str">
        <f aca="false">IF(Q388="pass","No","Yes")</f>
        <v>No</v>
      </c>
      <c r="S388" s="3" t="s">
        <v>60</v>
      </c>
      <c r="T388" s="3"/>
      <c r="U388" s="3"/>
      <c r="V388" s="9" t="n">
        <v>34.917</v>
      </c>
    </row>
    <row r="389" customFormat="false" ht="15" hidden="false" customHeight="true" outlineLevel="0" collapsed="false">
      <c r="A389" s="3" t="n">
        <v>388</v>
      </c>
      <c r="B389" s="3" t="n">
        <v>8</v>
      </c>
      <c r="C389" s="3" t="s">
        <v>198</v>
      </c>
      <c r="D389" s="3" t="s">
        <v>199</v>
      </c>
      <c r="E389" s="3" t="s">
        <v>200</v>
      </c>
      <c r="F389" s="3" t="s">
        <v>201</v>
      </c>
      <c r="G389" s="3" t="s">
        <v>81</v>
      </c>
      <c r="H389" s="3" t="n">
        <v>2</v>
      </c>
      <c r="I389" s="3" t="n">
        <v>65</v>
      </c>
      <c r="J389" s="3" t="s">
        <v>635</v>
      </c>
      <c r="K389" s="8" t="n">
        <v>778200</v>
      </c>
      <c r="L389" s="8" t="n">
        <v>4000</v>
      </c>
      <c r="M389" s="8" t="n">
        <v>58665</v>
      </c>
      <c r="N389" s="8" t="n">
        <v>840865</v>
      </c>
      <c r="O389" s="3" t="s">
        <v>57</v>
      </c>
      <c r="P389" s="3" t="s">
        <v>58</v>
      </c>
      <c r="Q389" s="3" t="s">
        <v>69</v>
      </c>
      <c r="R389" s="3" t="str">
        <f aca="false">IF(Q389="pass","No","Yes")</f>
        <v>No</v>
      </c>
      <c r="S389" s="3" t="s">
        <v>60</v>
      </c>
      <c r="T389" s="3"/>
      <c r="U389" s="3"/>
      <c r="V389" s="9" t="n">
        <v>36.193</v>
      </c>
    </row>
    <row r="390" customFormat="false" ht="15" hidden="false" customHeight="true" outlineLevel="0" collapsed="false">
      <c r="A390" s="3" t="n">
        <v>389</v>
      </c>
      <c r="B390" s="3" t="n">
        <v>8</v>
      </c>
      <c r="C390" s="3" t="s">
        <v>154</v>
      </c>
      <c r="D390" s="3" t="s">
        <v>155</v>
      </c>
      <c r="E390" s="3" t="s">
        <v>156</v>
      </c>
      <c r="F390" s="3" t="s">
        <v>157</v>
      </c>
      <c r="G390" s="3" t="s">
        <v>123</v>
      </c>
      <c r="H390" s="3" t="n">
        <v>2</v>
      </c>
      <c r="I390" s="3" t="n">
        <v>26</v>
      </c>
      <c r="J390" s="3" t="s">
        <v>636</v>
      </c>
      <c r="K390" s="8" t="n">
        <v>953000</v>
      </c>
      <c r="L390" s="8" t="n">
        <v>5000</v>
      </c>
      <c r="M390" s="8" t="n">
        <v>71850</v>
      </c>
      <c r="N390" s="8" t="n">
        <v>1029850</v>
      </c>
      <c r="O390" s="3" t="s">
        <v>118</v>
      </c>
      <c r="P390" s="3" t="s">
        <v>58</v>
      </c>
      <c r="Q390" s="3" t="s">
        <v>69</v>
      </c>
      <c r="R390" s="3" t="str">
        <f aca="false">IF(Q390="pass","No","Yes")</f>
        <v>No</v>
      </c>
      <c r="S390" s="3" t="s">
        <v>60</v>
      </c>
      <c r="T390" s="3"/>
      <c r="U390" s="3"/>
      <c r="V390" s="9" t="n">
        <v>30.821</v>
      </c>
    </row>
    <row r="391" customFormat="false" ht="15" hidden="false" customHeight="true" outlineLevel="0" collapsed="false">
      <c r="A391" s="3" t="n">
        <v>390</v>
      </c>
      <c r="B391" s="3" t="n">
        <v>8</v>
      </c>
      <c r="C391" s="3" t="s">
        <v>137</v>
      </c>
      <c r="D391" s="3" t="s">
        <v>138</v>
      </c>
      <c r="E391" s="3" t="s">
        <v>139</v>
      </c>
      <c r="F391" s="3" t="s">
        <v>140</v>
      </c>
      <c r="G391" s="3" t="s">
        <v>55</v>
      </c>
      <c r="H391" s="3" t="n">
        <v>3</v>
      </c>
      <c r="I391" s="3" t="n">
        <v>48</v>
      </c>
      <c r="J391" s="3" t="s">
        <v>637</v>
      </c>
      <c r="K391" s="8" t="n">
        <v>606000</v>
      </c>
      <c r="L391" s="8" t="n">
        <v>6000</v>
      </c>
      <c r="M391" s="8" t="n">
        <v>45900</v>
      </c>
      <c r="N391" s="8" t="n">
        <v>657900</v>
      </c>
      <c r="O391" s="3" t="s">
        <v>272</v>
      </c>
      <c r="P391" s="3" t="s">
        <v>84</v>
      </c>
      <c r="Q391" s="3" t="s">
        <v>85</v>
      </c>
      <c r="R391" s="3" t="str">
        <f aca="false">IF(Q391="pass","No","Yes")</f>
        <v>Yes</v>
      </c>
      <c r="S391" s="3" t="s">
        <v>86</v>
      </c>
      <c r="T391" s="3" t="s">
        <v>273</v>
      </c>
      <c r="U391" s="3" t="s">
        <v>638</v>
      </c>
      <c r="V391" s="9" t="n">
        <v>36.1</v>
      </c>
    </row>
    <row r="392" customFormat="false" ht="15" hidden="false" customHeight="true" outlineLevel="0" collapsed="false">
      <c r="A392" s="3" t="n">
        <v>391</v>
      </c>
      <c r="B392" s="3" t="n">
        <v>8</v>
      </c>
      <c r="C392" s="3" t="s">
        <v>127</v>
      </c>
      <c r="D392" s="3" t="s">
        <v>128</v>
      </c>
      <c r="E392" s="3" t="s">
        <v>129</v>
      </c>
      <c r="F392" s="3" t="s">
        <v>130</v>
      </c>
      <c r="G392" s="3" t="s">
        <v>55</v>
      </c>
      <c r="H392" s="3" t="n">
        <v>4</v>
      </c>
      <c r="I392" s="3" t="n">
        <v>180</v>
      </c>
      <c r="J392" s="3" t="s">
        <v>639</v>
      </c>
      <c r="K392" s="8" t="n">
        <v>2889500</v>
      </c>
      <c r="L392" s="8" t="n">
        <v>6000</v>
      </c>
      <c r="M392" s="8" t="n">
        <v>217162.5</v>
      </c>
      <c r="N392" s="8" t="n">
        <v>3112662.5</v>
      </c>
      <c r="O392" s="3" t="s">
        <v>272</v>
      </c>
      <c r="P392" s="3" t="s">
        <v>84</v>
      </c>
      <c r="Q392" s="3" t="s">
        <v>85</v>
      </c>
      <c r="R392" s="3" t="str">
        <f aca="false">IF(Q392="pass","No","Yes")</f>
        <v>Yes</v>
      </c>
      <c r="S392" s="3" t="s">
        <v>86</v>
      </c>
      <c r="T392" s="3" t="s">
        <v>472</v>
      </c>
      <c r="U392" s="3" t="s">
        <v>640</v>
      </c>
      <c r="V392" s="9" t="n">
        <v>60.015</v>
      </c>
    </row>
    <row r="393" customFormat="false" ht="15" hidden="false" customHeight="true" outlineLevel="0" collapsed="false">
      <c r="A393" s="3" t="n">
        <v>392</v>
      </c>
      <c r="B393" s="3" t="n">
        <v>8</v>
      </c>
      <c r="C393" s="3" t="s">
        <v>154</v>
      </c>
      <c r="D393" s="3" t="s">
        <v>155</v>
      </c>
      <c r="E393" s="3" t="s">
        <v>156</v>
      </c>
      <c r="F393" s="3" t="s">
        <v>157</v>
      </c>
      <c r="G393" s="3" t="s">
        <v>123</v>
      </c>
      <c r="H393" s="3" t="n">
        <v>3</v>
      </c>
      <c r="I393" s="3" t="n">
        <v>13</v>
      </c>
      <c r="J393" s="3" t="s">
        <v>641</v>
      </c>
      <c r="K393" s="8" t="n">
        <v>536000</v>
      </c>
      <c r="L393" s="8" t="n">
        <v>5000</v>
      </c>
      <c r="M393" s="8" t="n">
        <v>40575</v>
      </c>
      <c r="N393" s="8" t="n">
        <v>581575</v>
      </c>
      <c r="O393" s="3" t="s">
        <v>57</v>
      </c>
      <c r="P393" s="3" t="s">
        <v>58</v>
      </c>
      <c r="Q393" s="3" t="s">
        <v>69</v>
      </c>
      <c r="R393" s="3" t="str">
        <f aca="false">IF(Q393="pass","No","Yes")</f>
        <v>No</v>
      </c>
      <c r="S393" s="3" t="s">
        <v>60</v>
      </c>
      <c r="T393" s="3"/>
      <c r="U393" s="3"/>
      <c r="V393" s="9" t="n">
        <v>43.476</v>
      </c>
    </row>
    <row r="394" customFormat="false" ht="15" hidden="false" customHeight="true" outlineLevel="0" collapsed="false">
      <c r="A394" s="3" t="n">
        <v>393</v>
      </c>
      <c r="B394" s="3" t="n">
        <v>8</v>
      </c>
      <c r="C394" s="3" t="s">
        <v>177</v>
      </c>
      <c r="D394" s="3" t="s">
        <v>178</v>
      </c>
      <c r="E394" s="3" t="s">
        <v>179</v>
      </c>
      <c r="F394" s="3" t="s">
        <v>180</v>
      </c>
      <c r="G394" s="3" t="s">
        <v>81</v>
      </c>
      <c r="H394" s="3" t="n">
        <v>1</v>
      </c>
      <c r="I394" s="3" t="n">
        <v>16</v>
      </c>
      <c r="J394" s="3" t="s">
        <v>642</v>
      </c>
      <c r="K394" s="8" t="n">
        <v>608000</v>
      </c>
      <c r="L394" s="8" t="n">
        <v>4000</v>
      </c>
      <c r="M394" s="8" t="n">
        <v>45900</v>
      </c>
      <c r="N394" s="8" t="n">
        <v>657900</v>
      </c>
      <c r="O394" s="3" t="s">
        <v>57</v>
      </c>
      <c r="P394" s="3" t="s">
        <v>58</v>
      </c>
      <c r="Q394" s="3" t="s">
        <v>69</v>
      </c>
      <c r="R394" s="3" t="str">
        <f aca="false">IF(Q394="pass","No","Yes")</f>
        <v>No</v>
      </c>
      <c r="S394" s="3" t="s">
        <v>60</v>
      </c>
      <c r="T394" s="3"/>
      <c r="U394" s="3"/>
      <c r="V394" s="9" t="n">
        <v>18.109</v>
      </c>
    </row>
    <row r="395" customFormat="false" ht="15" hidden="false" customHeight="true" outlineLevel="0" collapsed="false">
      <c r="A395" s="3" t="n">
        <v>394</v>
      </c>
      <c r="B395" s="3" t="n">
        <v>8</v>
      </c>
      <c r="C395" s="3" t="s">
        <v>77</v>
      </c>
      <c r="D395" s="3" t="s">
        <v>78</v>
      </c>
      <c r="E395" s="3" t="s">
        <v>79</v>
      </c>
      <c r="F395" s="3" t="s">
        <v>80</v>
      </c>
      <c r="G395" s="3" t="s">
        <v>81</v>
      </c>
      <c r="H395" s="3" t="n">
        <v>1</v>
      </c>
      <c r="I395" s="3" t="n">
        <v>61</v>
      </c>
      <c r="J395" s="3" t="s">
        <v>643</v>
      </c>
      <c r="K395" s="8" t="n">
        <v>524600</v>
      </c>
      <c r="L395" s="8" t="n">
        <v>4000</v>
      </c>
      <c r="M395" s="8" t="n">
        <v>39645</v>
      </c>
      <c r="N395" s="8" t="n">
        <v>568245</v>
      </c>
      <c r="O395" s="3" t="s">
        <v>57</v>
      </c>
      <c r="P395" s="3" t="s">
        <v>58</v>
      </c>
      <c r="Q395" s="3" t="s">
        <v>69</v>
      </c>
      <c r="R395" s="3" t="str">
        <f aca="false">IF(Q395="pass","No","Yes")</f>
        <v>No</v>
      </c>
      <c r="S395" s="3" t="s">
        <v>60</v>
      </c>
      <c r="T395" s="3"/>
      <c r="U395" s="3"/>
      <c r="V395" s="9" t="n">
        <v>20.777</v>
      </c>
    </row>
    <row r="396" customFormat="false" ht="15" hidden="false" customHeight="true" outlineLevel="0" collapsed="false">
      <c r="A396" s="3" t="n">
        <v>395</v>
      </c>
      <c r="B396" s="3" t="n">
        <v>8</v>
      </c>
      <c r="C396" s="3" t="s">
        <v>237</v>
      </c>
      <c r="D396" s="3" t="s">
        <v>238</v>
      </c>
      <c r="E396" s="3" t="s">
        <v>239</v>
      </c>
      <c r="F396" s="3" t="s">
        <v>240</v>
      </c>
      <c r="G396" s="3" t="s">
        <v>116</v>
      </c>
      <c r="H396" s="3" t="n">
        <v>3</v>
      </c>
      <c r="I396" s="3" t="n">
        <v>66</v>
      </c>
      <c r="J396" s="3" t="s">
        <v>644</v>
      </c>
      <c r="K396" s="8" t="n">
        <v>730000</v>
      </c>
      <c r="L396" s="8" t="n">
        <v>15000</v>
      </c>
      <c r="M396" s="8" t="n">
        <v>55875</v>
      </c>
      <c r="N396" s="8" t="n">
        <v>800875</v>
      </c>
      <c r="O396" s="3" t="s">
        <v>57</v>
      </c>
      <c r="P396" s="3" t="s">
        <v>58</v>
      </c>
      <c r="Q396" s="3" t="s">
        <v>69</v>
      </c>
      <c r="R396" s="3" t="str">
        <f aca="false">IF(Q396="pass","No","Yes")</f>
        <v>No</v>
      </c>
      <c r="S396" s="3" t="s">
        <v>60</v>
      </c>
      <c r="T396" s="3"/>
      <c r="U396" s="3"/>
      <c r="V396" s="9" t="n">
        <v>57.561</v>
      </c>
    </row>
    <row r="397" customFormat="false" ht="15" hidden="false" customHeight="true" outlineLevel="0" collapsed="false">
      <c r="A397" s="3" t="n">
        <v>396</v>
      </c>
      <c r="B397" s="3" t="n">
        <v>8</v>
      </c>
      <c r="C397" s="3" t="s">
        <v>70</v>
      </c>
      <c r="D397" s="3" t="s">
        <v>71</v>
      </c>
      <c r="E397" s="3" t="s">
        <v>72</v>
      </c>
      <c r="F397" s="3" t="s">
        <v>73</v>
      </c>
      <c r="G397" s="3" t="s">
        <v>74</v>
      </c>
      <c r="H397" s="3" t="n">
        <v>2</v>
      </c>
      <c r="I397" s="3" t="n">
        <v>277</v>
      </c>
      <c r="J397" s="3" t="s">
        <v>645</v>
      </c>
      <c r="K397" s="8" t="n">
        <v>2345800</v>
      </c>
      <c r="L397" s="8" t="n">
        <v>9000</v>
      </c>
      <c r="M397" s="8" t="n">
        <v>176610</v>
      </c>
      <c r="N397" s="8" t="n">
        <v>2531410</v>
      </c>
      <c r="O397" s="3" t="s">
        <v>171</v>
      </c>
      <c r="P397" s="3" t="s">
        <v>84</v>
      </c>
      <c r="Q397" s="3" t="s">
        <v>85</v>
      </c>
      <c r="R397" s="3" t="str">
        <f aca="false">IF(Q397="pass","No","Yes")</f>
        <v>Yes</v>
      </c>
      <c r="S397" s="3" t="s">
        <v>86</v>
      </c>
      <c r="T397" s="3" t="s">
        <v>209</v>
      </c>
      <c r="U397" s="3" t="s">
        <v>210</v>
      </c>
      <c r="V397" s="9" t="n">
        <v>49.378</v>
      </c>
    </row>
    <row r="398" customFormat="false" ht="15" hidden="false" customHeight="true" outlineLevel="0" collapsed="false">
      <c r="A398" s="3" t="n">
        <v>397</v>
      </c>
      <c r="B398" s="3" t="n">
        <v>8</v>
      </c>
      <c r="C398" s="3" t="s">
        <v>119</v>
      </c>
      <c r="D398" s="3" t="s">
        <v>120</v>
      </c>
      <c r="E398" s="3" t="s">
        <v>121</v>
      </c>
      <c r="F398" s="3" t="s">
        <v>122</v>
      </c>
      <c r="G398" s="3" t="s">
        <v>123</v>
      </c>
      <c r="H398" s="3" t="n">
        <v>3</v>
      </c>
      <c r="I398" s="3" t="n">
        <v>19</v>
      </c>
      <c r="J398" s="3" t="s">
        <v>646</v>
      </c>
      <c r="K398" s="8" t="n">
        <v>598200</v>
      </c>
      <c r="L398" s="8" t="n">
        <v>5000</v>
      </c>
      <c r="M398" s="8" t="n">
        <v>45240</v>
      </c>
      <c r="N398" s="8" t="n">
        <v>648440</v>
      </c>
      <c r="O398" s="3" t="s">
        <v>57</v>
      </c>
      <c r="P398" s="3" t="s">
        <v>58</v>
      </c>
      <c r="Q398" s="3" t="s">
        <v>69</v>
      </c>
      <c r="R398" s="3" t="str">
        <f aca="false">IF(Q398="pass","No","Yes")</f>
        <v>No</v>
      </c>
      <c r="S398" s="3" t="s">
        <v>60</v>
      </c>
      <c r="T398" s="3"/>
      <c r="U398" s="3"/>
      <c r="V398" s="9" t="n">
        <v>46.609</v>
      </c>
    </row>
    <row r="399" customFormat="false" ht="15" hidden="false" customHeight="true" outlineLevel="0" collapsed="false">
      <c r="A399" s="3" t="n">
        <v>398</v>
      </c>
      <c r="B399" s="3" t="n">
        <v>8</v>
      </c>
      <c r="C399" s="3" t="s">
        <v>198</v>
      </c>
      <c r="D399" s="3" t="s">
        <v>199</v>
      </c>
      <c r="E399" s="3" t="s">
        <v>200</v>
      </c>
      <c r="F399" s="3" t="s">
        <v>201</v>
      </c>
      <c r="G399" s="3" t="s">
        <v>81</v>
      </c>
      <c r="H399" s="3" t="n">
        <v>1</v>
      </c>
      <c r="I399" s="3" t="n">
        <v>14</v>
      </c>
      <c r="J399" s="3" t="s">
        <v>382</v>
      </c>
      <c r="K399" s="8" t="n">
        <v>434000</v>
      </c>
      <c r="L399" s="8" t="n">
        <v>4000</v>
      </c>
      <c r="M399" s="8" t="n">
        <v>32850</v>
      </c>
      <c r="N399" s="8" t="n">
        <v>470850</v>
      </c>
      <c r="O399" s="3" t="s">
        <v>57</v>
      </c>
      <c r="P399" s="3" t="s">
        <v>58</v>
      </c>
      <c r="Q399" s="3" t="s">
        <v>69</v>
      </c>
      <c r="R399" s="3" t="str">
        <f aca="false">IF(Q399="pass","No","Yes")</f>
        <v>No</v>
      </c>
      <c r="S399" s="3" t="s">
        <v>60</v>
      </c>
      <c r="T399" s="3"/>
      <c r="U399" s="3"/>
      <c r="V399" s="9" t="n">
        <v>20.776</v>
      </c>
    </row>
    <row r="400" customFormat="false" ht="15" hidden="false" customHeight="true" outlineLevel="0" collapsed="false">
      <c r="A400" s="3" t="n">
        <v>399</v>
      </c>
      <c r="B400" s="3" t="n">
        <v>8</v>
      </c>
      <c r="C400" s="3" t="s">
        <v>112</v>
      </c>
      <c r="D400" s="3" t="s">
        <v>113</v>
      </c>
      <c r="E400" s="3" t="s">
        <v>114</v>
      </c>
      <c r="F400" s="3" t="s">
        <v>115</v>
      </c>
      <c r="G400" s="3" t="s">
        <v>116</v>
      </c>
      <c r="H400" s="3" t="n">
        <v>1</v>
      </c>
      <c r="I400" s="3" t="n">
        <v>203</v>
      </c>
      <c r="J400" s="3" t="s">
        <v>109</v>
      </c>
      <c r="K400" s="8" t="n">
        <v>1928500</v>
      </c>
      <c r="L400" s="8" t="n">
        <v>15000</v>
      </c>
      <c r="M400" s="8" t="n">
        <v>145762.5</v>
      </c>
      <c r="N400" s="8" t="n">
        <v>2089262.5</v>
      </c>
      <c r="O400" s="3" t="s">
        <v>110</v>
      </c>
      <c r="P400" s="3" t="s">
        <v>58</v>
      </c>
      <c r="Q400" s="3" t="s">
        <v>69</v>
      </c>
      <c r="R400" s="3" t="str">
        <f aca="false">IF(Q400="pass","No","Yes")</f>
        <v>No</v>
      </c>
      <c r="S400" s="3" t="s">
        <v>60</v>
      </c>
      <c r="T400" s="3"/>
      <c r="U400" s="3"/>
      <c r="V400" s="9" t="n">
        <v>38.409</v>
      </c>
    </row>
    <row r="401" customFormat="false" ht="15" hidden="false" customHeight="true" outlineLevel="0" collapsed="false">
      <c r="A401" s="3" t="n">
        <v>400</v>
      </c>
      <c r="B401" s="3" t="n">
        <v>8</v>
      </c>
      <c r="C401" s="3" t="s">
        <v>198</v>
      </c>
      <c r="D401" s="3" t="s">
        <v>199</v>
      </c>
      <c r="E401" s="3" t="s">
        <v>200</v>
      </c>
      <c r="F401" s="3" t="s">
        <v>201</v>
      </c>
      <c r="G401" s="3" t="s">
        <v>81</v>
      </c>
      <c r="H401" s="3" t="n">
        <v>1</v>
      </c>
      <c r="I401" s="3" t="n">
        <v>14</v>
      </c>
      <c r="J401" s="3" t="s">
        <v>382</v>
      </c>
      <c r="K401" s="8" t="n">
        <v>434000</v>
      </c>
      <c r="L401" s="8" t="n">
        <v>4000</v>
      </c>
      <c r="M401" s="8" t="n">
        <v>32850</v>
      </c>
      <c r="N401" s="8" t="n">
        <v>470850</v>
      </c>
      <c r="O401" s="3" t="s">
        <v>97</v>
      </c>
      <c r="P401" s="3" t="s">
        <v>84</v>
      </c>
      <c r="Q401" s="3" t="s">
        <v>59</v>
      </c>
      <c r="R401" s="3" t="str">
        <f aca="false">IF(Q401="pass","No","Yes")</f>
        <v>Yes</v>
      </c>
      <c r="S401" s="3" t="s">
        <v>98</v>
      </c>
      <c r="T401" s="3" t="s">
        <v>97</v>
      </c>
      <c r="U401" s="3" t="s">
        <v>647</v>
      </c>
      <c r="V401" s="9" t="n">
        <v>18.702</v>
      </c>
    </row>
    <row r="402" customFormat="false" ht="15" hidden="false" customHeight="true" outlineLevel="0" collapsed="false">
      <c r="A402" s="3" t="n">
        <v>401</v>
      </c>
      <c r="B402" s="3" t="n">
        <v>9</v>
      </c>
      <c r="C402" s="3" t="s">
        <v>119</v>
      </c>
      <c r="D402" s="3" t="s">
        <v>120</v>
      </c>
      <c r="E402" s="3" t="s">
        <v>121</v>
      </c>
      <c r="F402" s="3" t="s">
        <v>122</v>
      </c>
      <c r="G402" s="3" t="s">
        <v>123</v>
      </c>
      <c r="H402" s="3" t="n">
        <v>2</v>
      </c>
      <c r="I402" s="3" t="n">
        <v>76</v>
      </c>
      <c r="J402" s="3" t="s">
        <v>648</v>
      </c>
      <c r="K402" s="8" t="n">
        <v>1424000</v>
      </c>
      <c r="L402" s="8" t="n">
        <v>5000</v>
      </c>
      <c r="M402" s="8" t="n">
        <v>107175</v>
      </c>
      <c r="N402" s="8" t="n">
        <v>1536175</v>
      </c>
      <c r="O402" s="3" t="s">
        <v>57</v>
      </c>
      <c r="P402" s="3" t="s">
        <v>58</v>
      </c>
      <c r="Q402" s="3" t="s">
        <v>69</v>
      </c>
      <c r="R402" s="3" t="str">
        <f aca="false">IF(Q402="pass","No","Yes")</f>
        <v>No</v>
      </c>
      <c r="S402" s="3" t="s">
        <v>60</v>
      </c>
      <c r="T402" s="3"/>
      <c r="U402" s="3"/>
      <c r="V402" s="9" t="n">
        <v>35.62</v>
      </c>
    </row>
    <row r="403" customFormat="false" ht="15" hidden="false" customHeight="true" outlineLevel="0" collapsed="false">
      <c r="A403" s="3" t="n">
        <v>402</v>
      </c>
      <c r="B403" s="3" t="n">
        <v>9</v>
      </c>
      <c r="C403" s="3" t="s">
        <v>166</v>
      </c>
      <c r="D403" s="3" t="s">
        <v>167</v>
      </c>
      <c r="E403" s="3" t="s">
        <v>168</v>
      </c>
      <c r="F403" s="3" t="s">
        <v>169</v>
      </c>
      <c r="G403" s="3" t="s">
        <v>74</v>
      </c>
      <c r="H403" s="3" t="n">
        <v>2</v>
      </c>
      <c r="I403" s="3" t="n">
        <v>71</v>
      </c>
      <c r="J403" s="3" t="s">
        <v>649</v>
      </c>
      <c r="K403" s="8" t="n">
        <v>1687500</v>
      </c>
      <c r="L403" s="8" t="n">
        <v>9000</v>
      </c>
      <c r="M403" s="8" t="n">
        <v>127237.5</v>
      </c>
      <c r="N403" s="8" t="n">
        <v>1823737.5</v>
      </c>
      <c r="O403" s="3" t="s">
        <v>152</v>
      </c>
      <c r="P403" s="3" t="s">
        <v>84</v>
      </c>
      <c r="Q403" s="3" t="s">
        <v>85</v>
      </c>
      <c r="R403" s="3" t="str">
        <f aca="false">IF(Q403="pass","No","Yes")</f>
        <v>Yes</v>
      </c>
      <c r="S403" s="3" t="s">
        <v>86</v>
      </c>
      <c r="T403" s="3" t="s">
        <v>87</v>
      </c>
      <c r="U403" s="3" t="s">
        <v>153</v>
      </c>
      <c r="V403" s="9" t="n">
        <v>33.409</v>
      </c>
    </row>
    <row r="404" customFormat="false" ht="15" hidden="false" customHeight="true" outlineLevel="0" collapsed="false">
      <c r="A404" s="3" t="n">
        <v>403</v>
      </c>
      <c r="B404" s="3" t="n">
        <v>9</v>
      </c>
      <c r="C404" s="3" t="s">
        <v>100</v>
      </c>
      <c r="D404" s="3" t="s">
        <v>101</v>
      </c>
      <c r="E404" s="3" t="s">
        <v>102</v>
      </c>
      <c r="F404" s="3" t="s">
        <v>103</v>
      </c>
      <c r="G404" s="3" t="s">
        <v>67</v>
      </c>
      <c r="H404" s="3" t="n">
        <v>3</v>
      </c>
      <c r="I404" s="3" t="n">
        <v>155</v>
      </c>
      <c r="J404" s="3" t="s">
        <v>650</v>
      </c>
      <c r="K404" s="8" t="n">
        <v>1412800</v>
      </c>
      <c r="L404" s="8" t="n">
        <v>4500</v>
      </c>
      <c r="M404" s="8" t="n">
        <v>106297.5</v>
      </c>
      <c r="N404" s="8" t="n">
        <v>1523597.5</v>
      </c>
      <c r="O404" s="3" t="s">
        <v>57</v>
      </c>
      <c r="P404" s="3" t="s">
        <v>58</v>
      </c>
      <c r="Q404" s="3" t="s">
        <v>59</v>
      </c>
      <c r="R404" s="3" t="str">
        <f aca="false">IF(Q404="pass","No","Yes")</f>
        <v>Yes</v>
      </c>
      <c r="S404" s="3" t="s">
        <v>60</v>
      </c>
      <c r="T404" s="3" t="s">
        <v>61</v>
      </c>
      <c r="U404" s="3" t="s">
        <v>651</v>
      </c>
      <c r="V404" s="9" t="n">
        <v>61.323</v>
      </c>
    </row>
    <row r="405" customFormat="false" ht="15" hidden="false" customHeight="true" outlineLevel="0" collapsed="false">
      <c r="A405" s="3" t="n">
        <v>404</v>
      </c>
      <c r="B405" s="3" t="n">
        <v>9</v>
      </c>
      <c r="C405" s="3" t="s">
        <v>112</v>
      </c>
      <c r="D405" s="3" t="s">
        <v>113</v>
      </c>
      <c r="E405" s="3" t="s">
        <v>114</v>
      </c>
      <c r="F405" s="3" t="s">
        <v>115</v>
      </c>
      <c r="G405" s="3" t="s">
        <v>116</v>
      </c>
      <c r="H405" s="3" t="n">
        <v>1</v>
      </c>
      <c r="I405" s="3" t="n">
        <v>3</v>
      </c>
      <c r="J405" s="3" t="s">
        <v>652</v>
      </c>
      <c r="K405" s="8" t="n">
        <v>93000</v>
      </c>
      <c r="L405" s="8" t="n">
        <v>15000</v>
      </c>
      <c r="M405" s="8" t="n">
        <v>8100</v>
      </c>
      <c r="N405" s="8" t="n">
        <v>116100</v>
      </c>
      <c r="O405" s="3" t="s">
        <v>57</v>
      </c>
      <c r="P405" s="3" t="s">
        <v>58</v>
      </c>
      <c r="Q405" s="3" t="s">
        <v>69</v>
      </c>
      <c r="R405" s="3" t="str">
        <f aca="false">IF(Q405="pass","No","Yes")</f>
        <v>No</v>
      </c>
      <c r="S405" s="3" t="s">
        <v>60</v>
      </c>
      <c r="T405" s="3"/>
      <c r="U405" s="3"/>
      <c r="V405" s="9" t="n">
        <v>21.635</v>
      </c>
    </row>
    <row r="406" customFormat="false" ht="15" hidden="false" customHeight="true" outlineLevel="0" collapsed="false">
      <c r="A406" s="3" t="n">
        <v>405</v>
      </c>
      <c r="B406" s="3" t="n">
        <v>9</v>
      </c>
      <c r="C406" s="3" t="s">
        <v>112</v>
      </c>
      <c r="D406" s="3" t="s">
        <v>113</v>
      </c>
      <c r="E406" s="3" t="s">
        <v>114</v>
      </c>
      <c r="F406" s="3" t="s">
        <v>115</v>
      </c>
      <c r="G406" s="3" t="s">
        <v>116</v>
      </c>
      <c r="H406" s="3" t="n">
        <v>1</v>
      </c>
      <c r="I406" s="3" t="n">
        <v>3</v>
      </c>
      <c r="J406" s="3" t="s">
        <v>652</v>
      </c>
      <c r="K406" s="8" t="n">
        <v>93000</v>
      </c>
      <c r="L406" s="8" t="n">
        <v>15000</v>
      </c>
      <c r="M406" s="8" t="n">
        <v>8100</v>
      </c>
      <c r="N406" s="8" t="n">
        <v>116100</v>
      </c>
      <c r="O406" s="3" t="s">
        <v>97</v>
      </c>
      <c r="P406" s="3" t="s">
        <v>84</v>
      </c>
      <c r="Q406" s="3" t="s">
        <v>59</v>
      </c>
      <c r="R406" s="3" t="str">
        <f aca="false">IF(Q406="pass","No","Yes")</f>
        <v>Yes</v>
      </c>
      <c r="S406" s="3" t="s">
        <v>98</v>
      </c>
      <c r="T406" s="3" t="s">
        <v>97</v>
      </c>
      <c r="U406" s="3" t="s">
        <v>653</v>
      </c>
      <c r="V406" s="9" t="n">
        <v>19.266</v>
      </c>
    </row>
    <row r="407" customFormat="false" ht="15" hidden="false" customHeight="true" outlineLevel="0" collapsed="false">
      <c r="A407" s="3" t="n">
        <v>406</v>
      </c>
      <c r="B407" s="3" t="n">
        <v>9</v>
      </c>
      <c r="C407" s="3" t="s">
        <v>105</v>
      </c>
      <c r="D407" s="3" t="s">
        <v>106</v>
      </c>
      <c r="E407" s="3" t="s">
        <v>107</v>
      </c>
      <c r="F407" s="3" t="s">
        <v>108</v>
      </c>
      <c r="G407" s="3" t="s">
        <v>81</v>
      </c>
      <c r="H407" s="3" t="n">
        <v>2</v>
      </c>
      <c r="I407" s="3" t="n">
        <v>27</v>
      </c>
      <c r="J407" s="3" t="s">
        <v>654</v>
      </c>
      <c r="K407" s="8" t="n">
        <v>764000</v>
      </c>
      <c r="L407" s="8" t="n">
        <v>4000</v>
      </c>
      <c r="M407" s="8" t="n">
        <v>57600</v>
      </c>
      <c r="N407" s="8" t="n">
        <v>825600</v>
      </c>
      <c r="O407" s="3" t="s">
        <v>57</v>
      </c>
      <c r="P407" s="3" t="s">
        <v>58</v>
      </c>
      <c r="Q407" s="3" t="s">
        <v>69</v>
      </c>
      <c r="R407" s="3" t="str">
        <f aca="false">IF(Q407="pass","No","Yes")</f>
        <v>No</v>
      </c>
      <c r="S407" s="3" t="s">
        <v>60</v>
      </c>
      <c r="T407" s="3"/>
      <c r="U407" s="3"/>
      <c r="V407" s="9" t="n">
        <v>34.65</v>
      </c>
    </row>
    <row r="408" customFormat="false" ht="15" hidden="false" customHeight="true" outlineLevel="0" collapsed="false">
      <c r="A408" s="3" t="n">
        <v>407</v>
      </c>
      <c r="B408" s="3" t="n">
        <v>9</v>
      </c>
      <c r="C408" s="3" t="s">
        <v>105</v>
      </c>
      <c r="D408" s="3" t="s">
        <v>106</v>
      </c>
      <c r="E408" s="3" t="s">
        <v>107</v>
      </c>
      <c r="F408" s="3" t="s">
        <v>108</v>
      </c>
      <c r="G408" s="3" t="s">
        <v>81</v>
      </c>
      <c r="H408" s="3" t="n">
        <v>3</v>
      </c>
      <c r="I408" s="3" t="n">
        <v>59</v>
      </c>
      <c r="J408" s="3" t="s">
        <v>655</v>
      </c>
      <c r="K408" s="8" t="n">
        <v>645900</v>
      </c>
      <c r="L408" s="8" t="n">
        <v>4000</v>
      </c>
      <c r="M408" s="8" t="n">
        <v>48742.5</v>
      </c>
      <c r="N408" s="8" t="n">
        <v>698642.5</v>
      </c>
      <c r="O408" s="3" t="s">
        <v>152</v>
      </c>
      <c r="P408" s="3" t="s">
        <v>84</v>
      </c>
      <c r="Q408" s="3" t="s">
        <v>85</v>
      </c>
      <c r="R408" s="3" t="str">
        <f aca="false">IF(Q408="pass","No","Yes")</f>
        <v>Yes</v>
      </c>
      <c r="S408" s="3" t="s">
        <v>86</v>
      </c>
      <c r="T408" s="3" t="s">
        <v>87</v>
      </c>
      <c r="U408" s="3" t="s">
        <v>153</v>
      </c>
      <c r="V408" s="9" t="n">
        <v>49.939</v>
      </c>
    </row>
    <row r="409" customFormat="false" ht="15" hidden="false" customHeight="true" outlineLevel="0" collapsed="false">
      <c r="A409" s="3" t="n">
        <v>408</v>
      </c>
      <c r="B409" s="3" t="n">
        <v>9</v>
      </c>
      <c r="C409" s="3" t="s">
        <v>63</v>
      </c>
      <c r="D409" s="3" t="s">
        <v>64</v>
      </c>
      <c r="E409" s="3" t="s">
        <v>65</v>
      </c>
      <c r="F409" s="3" t="s">
        <v>66</v>
      </c>
      <c r="G409" s="3" t="s">
        <v>67</v>
      </c>
      <c r="H409" s="3" t="n">
        <v>1</v>
      </c>
      <c r="I409" s="3" t="n">
        <v>100</v>
      </c>
      <c r="J409" s="3" t="s">
        <v>656</v>
      </c>
      <c r="K409" s="8" t="n">
        <v>720000</v>
      </c>
      <c r="L409" s="8" t="n">
        <v>4500</v>
      </c>
      <c r="M409" s="8" t="n">
        <v>54337.5</v>
      </c>
      <c r="N409" s="8" t="n">
        <v>778837.5</v>
      </c>
      <c r="O409" s="3" t="s">
        <v>57</v>
      </c>
      <c r="P409" s="3" t="s">
        <v>58</v>
      </c>
      <c r="Q409" s="3" t="s">
        <v>59</v>
      </c>
      <c r="R409" s="3" t="str">
        <f aca="false">IF(Q409="pass","No","Yes")</f>
        <v>Yes</v>
      </c>
      <c r="S409" s="3" t="s">
        <v>60</v>
      </c>
      <c r="T409" s="3" t="s">
        <v>61</v>
      </c>
      <c r="U409" s="3" t="s">
        <v>657</v>
      </c>
      <c r="V409" s="9" t="n">
        <v>36.339</v>
      </c>
    </row>
    <row r="410" customFormat="false" ht="15" hidden="false" customHeight="true" outlineLevel="0" collapsed="false">
      <c r="A410" s="3" t="n">
        <v>409</v>
      </c>
      <c r="B410" s="3" t="n">
        <v>9</v>
      </c>
      <c r="C410" s="3" t="s">
        <v>137</v>
      </c>
      <c r="D410" s="3" t="s">
        <v>138</v>
      </c>
      <c r="E410" s="3" t="s">
        <v>139</v>
      </c>
      <c r="F410" s="3" t="s">
        <v>140</v>
      </c>
      <c r="G410" s="3" t="s">
        <v>55</v>
      </c>
      <c r="H410" s="3" t="n">
        <v>1</v>
      </c>
      <c r="I410" s="3" t="n">
        <v>15</v>
      </c>
      <c r="J410" s="3" t="s">
        <v>658</v>
      </c>
      <c r="K410" s="8" t="n">
        <v>780000</v>
      </c>
      <c r="L410" s="8" t="n">
        <v>6000</v>
      </c>
      <c r="M410" s="8" t="n">
        <v>58950</v>
      </c>
      <c r="N410" s="8" t="n">
        <v>844950</v>
      </c>
      <c r="O410" s="3" t="s">
        <v>57</v>
      </c>
      <c r="P410" s="3" t="s">
        <v>58</v>
      </c>
      <c r="Q410" s="3" t="s">
        <v>69</v>
      </c>
      <c r="R410" s="3" t="str">
        <f aca="false">IF(Q410="pass","No","Yes")</f>
        <v>No</v>
      </c>
      <c r="S410" s="3" t="s">
        <v>60</v>
      </c>
      <c r="T410" s="3"/>
      <c r="U410" s="3"/>
      <c r="V410" s="9" t="n">
        <v>29.417</v>
      </c>
    </row>
    <row r="411" customFormat="false" ht="15" hidden="false" customHeight="true" outlineLevel="0" collapsed="false">
      <c r="A411" s="3" t="n">
        <v>410</v>
      </c>
      <c r="B411" s="3" t="n">
        <v>9</v>
      </c>
      <c r="C411" s="3" t="s">
        <v>177</v>
      </c>
      <c r="D411" s="3" t="s">
        <v>178</v>
      </c>
      <c r="E411" s="3" t="s">
        <v>179</v>
      </c>
      <c r="F411" s="3" t="s">
        <v>180</v>
      </c>
      <c r="G411" s="3" t="s">
        <v>81</v>
      </c>
      <c r="H411" s="3" t="n">
        <v>1</v>
      </c>
      <c r="I411" s="3" t="n">
        <v>5</v>
      </c>
      <c r="J411" s="3" t="s">
        <v>659</v>
      </c>
      <c r="K411" s="8" t="n">
        <v>43000</v>
      </c>
      <c r="L411" s="8" t="n">
        <v>4000</v>
      </c>
      <c r="M411" s="8" t="n">
        <v>3525</v>
      </c>
      <c r="N411" s="8" t="n">
        <v>50525</v>
      </c>
      <c r="O411" s="3" t="s">
        <v>76</v>
      </c>
      <c r="P411" s="3" t="s">
        <v>58</v>
      </c>
      <c r="Q411" s="3" t="s">
        <v>69</v>
      </c>
      <c r="R411" s="3" t="str">
        <f aca="false">IF(Q411="pass","No","Yes")</f>
        <v>No</v>
      </c>
      <c r="S411" s="3" t="s">
        <v>60</v>
      </c>
      <c r="T411" s="3"/>
      <c r="U411" s="3"/>
      <c r="V411" s="9" t="n">
        <v>21.881</v>
      </c>
    </row>
    <row r="412" customFormat="false" ht="15" hidden="false" customHeight="true" outlineLevel="0" collapsed="false">
      <c r="A412" s="3" t="n">
        <v>411</v>
      </c>
      <c r="B412" s="3" t="n">
        <v>9</v>
      </c>
      <c r="C412" s="3" t="s">
        <v>142</v>
      </c>
      <c r="D412" s="3" t="s">
        <v>143</v>
      </c>
      <c r="E412" s="3" t="s">
        <v>144</v>
      </c>
      <c r="F412" s="3" t="s">
        <v>145</v>
      </c>
      <c r="G412" s="3" t="s">
        <v>74</v>
      </c>
      <c r="H412" s="3" t="n">
        <v>2</v>
      </c>
      <c r="I412" s="3" t="n">
        <v>44</v>
      </c>
      <c r="J412" s="3" t="s">
        <v>660</v>
      </c>
      <c r="K412" s="8" t="n">
        <v>677500</v>
      </c>
      <c r="L412" s="8" t="n">
        <v>9000</v>
      </c>
      <c r="M412" s="8" t="n">
        <v>51487.5</v>
      </c>
      <c r="N412" s="8" t="n">
        <v>737987.5</v>
      </c>
      <c r="O412" s="3" t="s">
        <v>152</v>
      </c>
      <c r="P412" s="3" t="s">
        <v>84</v>
      </c>
      <c r="Q412" s="3" t="s">
        <v>85</v>
      </c>
      <c r="R412" s="3" t="str">
        <f aca="false">IF(Q412="pass","No","Yes")</f>
        <v>Yes</v>
      </c>
      <c r="S412" s="3" t="s">
        <v>86</v>
      </c>
      <c r="T412" s="3" t="s">
        <v>87</v>
      </c>
      <c r="U412" s="3" t="s">
        <v>264</v>
      </c>
      <c r="V412" s="9" t="n">
        <v>37.057</v>
      </c>
    </row>
    <row r="413" customFormat="false" ht="15" hidden="false" customHeight="true" outlineLevel="0" collapsed="false">
      <c r="A413" s="3" t="n">
        <v>412</v>
      </c>
      <c r="B413" s="3" t="n">
        <v>9</v>
      </c>
      <c r="C413" s="3" t="s">
        <v>177</v>
      </c>
      <c r="D413" s="3" t="s">
        <v>178</v>
      </c>
      <c r="E413" s="3" t="s">
        <v>179</v>
      </c>
      <c r="F413" s="3" t="s">
        <v>180</v>
      </c>
      <c r="G413" s="3" t="s">
        <v>81</v>
      </c>
      <c r="H413" s="3" t="n">
        <v>4</v>
      </c>
      <c r="I413" s="3" t="n">
        <v>78</v>
      </c>
      <c r="J413" s="3" t="s">
        <v>661</v>
      </c>
      <c r="K413" s="8" t="n">
        <v>1276500</v>
      </c>
      <c r="L413" s="8" t="n">
        <v>4000</v>
      </c>
      <c r="M413" s="8" t="n">
        <v>96037.5</v>
      </c>
      <c r="N413" s="8" t="n">
        <v>1376537.5</v>
      </c>
      <c r="O413" s="3" t="s">
        <v>272</v>
      </c>
      <c r="P413" s="3" t="s">
        <v>84</v>
      </c>
      <c r="Q413" s="3" t="s">
        <v>85</v>
      </c>
      <c r="R413" s="3" t="str">
        <f aca="false">IF(Q413="pass","No","Yes")</f>
        <v>Yes</v>
      </c>
      <c r="S413" s="3" t="s">
        <v>86</v>
      </c>
      <c r="T413" s="3" t="s">
        <v>273</v>
      </c>
      <c r="U413" s="3" t="s">
        <v>662</v>
      </c>
      <c r="V413" s="9" t="n">
        <v>48.599</v>
      </c>
    </row>
    <row r="414" customFormat="false" ht="15" hidden="false" customHeight="true" outlineLevel="0" collapsed="false">
      <c r="A414" s="3" t="n">
        <v>413</v>
      </c>
      <c r="B414" s="3" t="n">
        <v>9</v>
      </c>
      <c r="C414" s="3" t="s">
        <v>89</v>
      </c>
      <c r="D414" s="3" t="s">
        <v>90</v>
      </c>
      <c r="E414" s="3" t="s">
        <v>91</v>
      </c>
      <c r="F414" s="3" t="s">
        <v>92</v>
      </c>
      <c r="G414" s="3" t="s">
        <v>67</v>
      </c>
      <c r="H414" s="3" t="n">
        <v>1</v>
      </c>
      <c r="I414" s="3" t="n">
        <v>209</v>
      </c>
      <c r="J414" s="3" t="s">
        <v>323</v>
      </c>
      <c r="K414" s="8" t="n">
        <v>1985500</v>
      </c>
      <c r="L414" s="8" t="n">
        <v>4500</v>
      </c>
      <c r="M414" s="8" t="n">
        <v>149250</v>
      </c>
      <c r="N414" s="8" t="n">
        <v>2139250</v>
      </c>
      <c r="O414" s="3" t="s">
        <v>110</v>
      </c>
      <c r="P414" s="3" t="s">
        <v>58</v>
      </c>
      <c r="Q414" s="3" t="s">
        <v>69</v>
      </c>
      <c r="R414" s="3" t="str">
        <f aca="false">IF(Q414="pass","No","Yes")</f>
        <v>No</v>
      </c>
      <c r="S414" s="3" t="s">
        <v>60</v>
      </c>
      <c r="T414" s="3"/>
      <c r="U414" s="3"/>
      <c r="V414" s="9" t="n">
        <v>40.268</v>
      </c>
    </row>
    <row r="415" customFormat="false" ht="15" hidden="false" customHeight="true" outlineLevel="0" collapsed="false">
      <c r="A415" s="3" t="n">
        <v>414</v>
      </c>
      <c r="B415" s="3" t="n">
        <v>9</v>
      </c>
      <c r="C415" s="3" t="s">
        <v>105</v>
      </c>
      <c r="D415" s="3" t="s">
        <v>106</v>
      </c>
      <c r="E415" s="3" t="s">
        <v>107</v>
      </c>
      <c r="F415" s="3" t="s">
        <v>108</v>
      </c>
      <c r="G415" s="3" t="s">
        <v>81</v>
      </c>
      <c r="H415" s="3" t="n">
        <v>4</v>
      </c>
      <c r="I415" s="3" t="n">
        <v>17</v>
      </c>
      <c r="J415" s="3" t="s">
        <v>663</v>
      </c>
      <c r="K415" s="8" t="n">
        <v>471800</v>
      </c>
      <c r="L415" s="8" t="n">
        <v>4000</v>
      </c>
      <c r="M415" s="8" t="n">
        <v>35685</v>
      </c>
      <c r="N415" s="8" t="n">
        <v>511485</v>
      </c>
      <c r="O415" s="3" t="s">
        <v>83</v>
      </c>
      <c r="P415" s="3" t="s">
        <v>84</v>
      </c>
      <c r="Q415" s="3" t="s">
        <v>85</v>
      </c>
      <c r="R415" s="3" t="str">
        <f aca="false">IF(Q415="pass","No","Yes")</f>
        <v>Yes</v>
      </c>
      <c r="S415" s="3" t="s">
        <v>86</v>
      </c>
      <c r="T415" s="3" t="s">
        <v>87</v>
      </c>
      <c r="U415" s="3" t="s">
        <v>304</v>
      </c>
      <c r="V415" s="9" t="n">
        <v>64.9</v>
      </c>
    </row>
    <row r="416" customFormat="false" ht="15" hidden="false" customHeight="true" outlineLevel="0" collapsed="false">
      <c r="A416" s="3" t="n">
        <v>415</v>
      </c>
      <c r="B416" s="3" t="n">
        <v>9</v>
      </c>
      <c r="C416" s="3" t="s">
        <v>142</v>
      </c>
      <c r="D416" s="3" t="s">
        <v>143</v>
      </c>
      <c r="E416" s="3" t="s">
        <v>144</v>
      </c>
      <c r="F416" s="3" t="s">
        <v>145</v>
      </c>
      <c r="G416" s="3" t="s">
        <v>74</v>
      </c>
      <c r="H416" s="3" t="n">
        <v>1</v>
      </c>
      <c r="I416" s="3" t="n">
        <v>218</v>
      </c>
      <c r="J416" s="3" t="s">
        <v>664</v>
      </c>
      <c r="K416" s="8" t="n">
        <v>2071000</v>
      </c>
      <c r="L416" s="8" t="n">
        <v>9000</v>
      </c>
      <c r="M416" s="8" t="n">
        <v>156000</v>
      </c>
      <c r="N416" s="8" t="n">
        <v>2236000</v>
      </c>
      <c r="O416" s="3" t="s">
        <v>110</v>
      </c>
      <c r="P416" s="3" t="s">
        <v>58</v>
      </c>
      <c r="Q416" s="3" t="s">
        <v>59</v>
      </c>
      <c r="R416" s="3" t="str">
        <f aca="false">IF(Q416="pass","No","Yes")</f>
        <v>Yes</v>
      </c>
      <c r="S416" s="3" t="s">
        <v>60</v>
      </c>
      <c r="T416" s="3" t="s">
        <v>61</v>
      </c>
      <c r="U416" s="3" t="s">
        <v>665</v>
      </c>
      <c r="V416" s="9" t="n">
        <v>41.885</v>
      </c>
    </row>
    <row r="417" customFormat="false" ht="15" hidden="false" customHeight="true" outlineLevel="0" collapsed="false">
      <c r="A417" s="3" t="n">
        <v>416</v>
      </c>
      <c r="B417" s="3" t="n">
        <v>9</v>
      </c>
      <c r="C417" s="3" t="s">
        <v>112</v>
      </c>
      <c r="D417" s="3" t="s">
        <v>113</v>
      </c>
      <c r="E417" s="3" t="s">
        <v>114</v>
      </c>
      <c r="F417" s="3" t="s">
        <v>115</v>
      </c>
      <c r="G417" s="3" t="s">
        <v>116</v>
      </c>
      <c r="H417" s="3" t="n">
        <v>1</v>
      </c>
      <c r="I417" s="3" t="n">
        <v>2</v>
      </c>
      <c r="J417" s="3" t="s">
        <v>263</v>
      </c>
      <c r="K417" s="8" t="n">
        <v>76000</v>
      </c>
      <c r="L417" s="8" t="n">
        <v>15000</v>
      </c>
      <c r="M417" s="8" t="n">
        <v>6825</v>
      </c>
      <c r="N417" s="8" t="n">
        <v>97825</v>
      </c>
      <c r="O417" s="3" t="s">
        <v>57</v>
      </c>
      <c r="P417" s="3" t="s">
        <v>58</v>
      </c>
      <c r="Q417" s="3" t="s">
        <v>69</v>
      </c>
      <c r="R417" s="3" t="str">
        <f aca="false">IF(Q417="pass","No","Yes")</f>
        <v>No</v>
      </c>
      <c r="S417" s="3" t="s">
        <v>60</v>
      </c>
      <c r="T417" s="3"/>
      <c r="U417" s="3"/>
      <c r="V417" s="9" t="n">
        <v>20.065</v>
      </c>
    </row>
    <row r="418" customFormat="false" ht="15" hidden="false" customHeight="true" outlineLevel="0" collapsed="false">
      <c r="A418" s="3" t="n">
        <v>417</v>
      </c>
      <c r="B418" s="3" t="n">
        <v>9</v>
      </c>
      <c r="C418" s="3" t="s">
        <v>186</v>
      </c>
      <c r="D418" s="3" t="s">
        <v>187</v>
      </c>
      <c r="E418" s="3" t="s">
        <v>188</v>
      </c>
      <c r="F418" s="3" t="s">
        <v>189</v>
      </c>
      <c r="G418" s="3" t="s">
        <v>123</v>
      </c>
      <c r="H418" s="3" t="n">
        <v>4</v>
      </c>
      <c r="I418" s="3" t="n">
        <v>34</v>
      </c>
      <c r="J418" s="3" t="s">
        <v>666</v>
      </c>
      <c r="K418" s="8" t="n">
        <v>851500</v>
      </c>
      <c r="L418" s="8" t="n">
        <v>5000</v>
      </c>
      <c r="M418" s="8" t="n">
        <v>64237.5</v>
      </c>
      <c r="N418" s="8" t="n">
        <v>920737.5</v>
      </c>
      <c r="O418" s="3" t="s">
        <v>132</v>
      </c>
      <c r="P418" s="3" t="s">
        <v>84</v>
      </c>
      <c r="Q418" s="3" t="s">
        <v>85</v>
      </c>
      <c r="R418" s="3" t="str">
        <f aca="false">IF(Q418="pass","No","Yes")</f>
        <v>Yes</v>
      </c>
      <c r="S418" s="3" t="s">
        <v>86</v>
      </c>
      <c r="T418" s="3" t="s">
        <v>133</v>
      </c>
      <c r="U418" s="3" t="s">
        <v>134</v>
      </c>
      <c r="V418" s="9" t="n">
        <v>53.906</v>
      </c>
    </row>
    <row r="419" customFormat="false" ht="15" hidden="false" customHeight="true" outlineLevel="0" collapsed="false">
      <c r="A419" s="3" t="n">
        <v>418</v>
      </c>
      <c r="B419" s="3" t="n">
        <v>9</v>
      </c>
      <c r="C419" s="3" t="s">
        <v>237</v>
      </c>
      <c r="D419" s="3" t="s">
        <v>238</v>
      </c>
      <c r="E419" s="3" t="s">
        <v>239</v>
      </c>
      <c r="F419" s="3" t="s">
        <v>240</v>
      </c>
      <c r="G419" s="3" t="s">
        <v>116</v>
      </c>
      <c r="H419" s="3" t="n">
        <v>2</v>
      </c>
      <c r="I419" s="3" t="n">
        <v>10</v>
      </c>
      <c r="J419" s="3" t="s">
        <v>667</v>
      </c>
      <c r="K419" s="8" t="n">
        <v>653000</v>
      </c>
      <c r="L419" s="8" t="n">
        <v>15000</v>
      </c>
      <c r="M419" s="8" t="n">
        <v>50100</v>
      </c>
      <c r="N419" s="8" t="n">
        <v>718100</v>
      </c>
      <c r="O419" s="3" t="s">
        <v>132</v>
      </c>
      <c r="P419" s="3" t="s">
        <v>84</v>
      </c>
      <c r="Q419" s="3" t="s">
        <v>85</v>
      </c>
      <c r="R419" s="3" t="str">
        <f aca="false">IF(Q419="pass","No","Yes")</f>
        <v>Yes</v>
      </c>
      <c r="S419" s="3" t="s">
        <v>86</v>
      </c>
      <c r="T419" s="3" t="s">
        <v>133</v>
      </c>
      <c r="U419" s="3" t="s">
        <v>134</v>
      </c>
      <c r="V419" s="9" t="n">
        <v>23.592</v>
      </c>
    </row>
    <row r="420" customFormat="false" ht="15" hidden="false" customHeight="true" outlineLevel="0" collapsed="false">
      <c r="A420" s="3" t="n">
        <v>419</v>
      </c>
      <c r="B420" s="3" t="n">
        <v>9</v>
      </c>
      <c r="C420" s="3" t="s">
        <v>127</v>
      </c>
      <c r="D420" s="3" t="s">
        <v>128</v>
      </c>
      <c r="E420" s="3" t="s">
        <v>129</v>
      </c>
      <c r="F420" s="3" t="s">
        <v>130</v>
      </c>
      <c r="G420" s="3" t="s">
        <v>55</v>
      </c>
      <c r="H420" s="3" t="n">
        <v>4</v>
      </c>
      <c r="I420" s="3" t="n">
        <v>1589</v>
      </c>
      <c r="J420" s="3" t="s">
        <v>668</v>
      </c>
      <c r="K420" s="8" t="n">
        <v>11782400</v>
      </c>
      <c r="L420" s="8" t="n">
        <v>6000</v>
      </c>
      <c r="M420" s="8" t="n">
        <v>884130</v>
      </c>
      <c r="N420" s="8" t="n">
        <v>12672530</v>
      </c>
      <c r="O420" s="3" t="s">
        <v>159</v>
      </c>
      <c r="P420" s="3" t="s">
        <v>84</v>
      </c>
      <c r="Q420" s="3" t="s">
        <v>85</v>
      </c>
      <c r="R420" s="3" t="str">
        <f aca="false">IF(Q420="pass","No","Yes")</f>
        <v>Yes</v>
      </c>
      <c r="S420" s="3" t="s">
        <v>86</v>
      </c>
      <c r="T420" s="3" t="s">
        <v>229</v>
      </c>
      <c r="U420" s="3" t="s">
        <v>669</v>
      </c>
      <c r="V420" s="9" t="n">
        <v>82.874</v>
      </c>
    </row>
    <row r="421" customFormat="false" ht="15" hidden="false" customHeight="true" outlineLevel="0" collapsed="false">
      <c r="A421" s="3" t="n">
        <v>420</v>
      </c>
      <c r="B421" s="3" t="n">
        <v>9</v>
      </c>
      <c r="C421" s="3" t="s">
        <v>100</v>
      </c>
      <c r="D421" s="3" t="s">
        <v>101</v>
      </c>
      <c r="E421" s="3" t="s">
        <v>102</v>
      </c>
      <c r="F421" s="3" t="s">
        <v>103</v>
      </c>
      <c r="G421" s="3" t="s">
        <v>67</v>
      </c>
      <c r="H421" s="3" t="n">
        <v>3</v>
      </c>
      <c r="I421" s="3" t="n">
        <v>78</v>
      </c>
      <c r="J421" s="3" t="s">
        <v>670</v>
      </c>
      <c r="K421" s="8" t="n">
        <v>1221200</v>
      </c>
      <c r="L421" s="8" t="n">
        <v>4500</v>
      </c>
      <c r="M421" s="8" t="n">
        <v>91927.5</v>
      </c>
      <c r="N421" s="8" t="n">
        <v>1317627.5</v>
      </c>
      <c r="O421" s="3" t="s">
        <v>152</v>
      </c>
      <c r="P421" s="3" t="s">
        <v>84</v>
      </c>
      <c r="Q421" s="3" t="s">
        <v>85</v>
      </c>
      <c r="R421" s="3" t="str">
        <f aca="false">IF(Q421="pass","No","Yes")</f>
        <v>Yes</v>
      </c>
      <c r="S421" s="3" t="s">
        <v>86</v>
      </c>
      <c r="T421" s="3" t="s">
        <v>87</v>
      </c>
      <c r="U421" s="3" t="s">
        <v>336</v>
      </c>
      <c r="V421" s="9" t="n">
        <v>51.063</v>
      </c>
    </row>
    <row r="422" customFormat="false" ht="15" hidden="false" customHeight="true" outlineLevel="0" collapsed="false">
      <c r="A422" s="3" t="n">
        <v>421</v>
      </c>
      <c r="B422" s="3" t="n">
        <v>9</v>
      </c>
      <c r="C422" s="3" t="s">
        <v>237</v>
      </c>
      <c r="D422" s="3" t="s">
        <v>238</v>
      </c>
      <c r="E422" s="3" t="s">
        <v>239</v>
      </c>
      <c r="F422" s="3" t="s">
        <v>240</v>
      </c>
      <c r="G422" s="3" t="s">
        <v>116</v>
      </c>
      <c r="H422" s="3" t="n">
        <v>1</v>
      </c>
      <c r="I422" s="3" t="n">
        <v>61</v>
      </c>
      <c r="J422" s="3" t="s">
        <v>671</v>
      </c>
      <c r="K422" s="8" t="n">
        <v>439200</v>
      </c>
      <c r="L422" s="8" t="n">
        <v>15000</v>
      </c>
      <c r="M422" s="8" t="n">
        <v>34065</v>
      </c>
      <c r="N422" s="8" t="n">
        <v>488265</v>
      </c>
      <c r="O422" s="3" t="s">
        <v>57</v>
      </c>
      <c r="P422" s="3" t="s">
        <v>58</v>
      </c>
      <c r="Q422" s="3" t="s">
        <v>59</v>
      </c>
      <c r="R422" s="3" t="str">
        <f aca="false">IF(Q422="pass","No","Yes")</f>
        <v>Yes</v>
      </c>
      <c r="S422" s="3" t="s">
        <v>60</v>
      </c>
      <c r="T422" s="3" t="s">
        <v>61</v>
      </c>
      <c r="U422" s="3" t="s">
        <v>672</v>
      </c>
      <c r="V422" s="9" t="n">
        <v>48.502</v>
      </c>
    </row>
    <row r="423" customFormat="false" ht="15" hidden="false" customHeight="true" outlineLevel="0" collapsed="false">
      <c r="A423" s="3" t="n">
        <v>422</v>
      </c>
      <c r="B423" s="3" t="n">
        <v>9</v>
      </c>
      <c r="C423" s="3" t="s">
        <v>77</v>
      </c>
      <c r="D423" s="3" t="s">
        <v>78</v>
      </c>
      <c r="E423" s="3" t="s">
        <v>79</v>
      </c>
      <c r="F423" s="3" t="s">
        <v>80</v>
      </c>
      <c r="G423" s="3" t="s">
        <v>81</v>
      </c>
      <c r="H423" s="3" t="n">
        <v>0</v>
      </c>
      <c r="I423" s="3" t="n">
        <v>0</v>
      </c>
      <c r="J423" s="3"/>
      <c r="K423" s="8" t="n">
        <v>0</v>
      </c>
      <c r="L423" s="8" t="n">
        <v>4000</v>
      </c>
      <c r="M423" s="8" t="n">
        <v>300</v>
      </c>
      <c r="N423" s="8" t="n">
        <v>4300</v>
      </c>
      <c r="O423" s="3" t="s">
        <v>76</v>
      </c>
      <c r="P423" s="3" t="s">
        <v>58</v>
      </c>
      <c r="Q423" s="3" t="s">
        <v>85</v>
      </c>
      <c r="R423" s="3" t="str">
        <f aca="false">IF(Q423="pass","No","Yes")</f>
        <v>Yes</v>
      </c>
      <c r="S423" s="3" t="s">
        <v>86</v>
      </c>
      <c r="T423" s="3" t="s">
        <v>87</v>
      </c>
      <c r="U423" s="3" t="s">
        <v>205</v>
      </c>
      <c r="V423" s="9" t="n">
        <v>7.589</v>
      </c>
    </row>
    <row r="424" customFormat="false" ht="15" hidden="false" customHeight="true" outlineLevel="0" collapsed="false">
      <c r="A424" s="3" t="n">
        <v>423</v>
      </c>
      <c r="B424" s="3" t="n">
        <v>9</v>
      </c>
      <c r="C424" s="3" t="s">
        <v>89</v>
      </c>
      <c r="D424" s="3" t="s">
        <v>90</v>
      </c>
      <c r="E424" s="3" t="s">
        <v>91</v>
      </c>
      <c r="F424" s="3" t="s">
        <v>92</v>
      </c>
      <c r="G424" s="3" t="s">
        <v>67</v>
      </c>
      <c r="H424" s="3" t="n">
        <v>3</v>
      </c>
      <c r="I424" s="3" t="n">
        <v>144</v>
      </c>
      <c r="J424" s="3" t="s">
        <v>673</v>
      </c>
      <c r="K424" s="8" t="n">
        <v>1237300</v>
      </c>
      <c r="L424" s="8" t="n">
        <v>4500</v>
      </c>
      <c r="M424" s="8" t="n">
        <v>93135</v>
      </c>
      <c r="N424" s="8" t="n">
        <v>1334935</v>
      </c>
      <c r="O424" s="3" t="s">
        <v>224</v>
      </c>
      <c r="P424" s="3" t="s">
        <v>84</v>
      </c>
      <c r="Q424" s="3" t="s">
        <v>85</v>
      </c>
      <c r="R424" s="3" t="str">
        <f aca="false">IF(Q424="pass","No","Yes")</f>
        <v>Yes</v>
      </c>
      <c r="S424" s="3" t="s">
        <v>86</v>
      </c>
      <c r="T424" s="3" t="s">
        <v>374</v>
      </c>
      <c r="U424" s="3" t="s">
        <v>674</v>
      </c>
      <c r="V424" s="9" t="n">
        <v>71.043</v>
      </c>
    </row>
    <row r="425" customFormat="false" ht="15" hidden="false" customHeight="true" outlineLevel="0" collapsed="false">
      <c r="A425" s="3" t="n">
        <v>424</v>
      </c>
      <c r="B425" s="3" t="n">
        <v>9</v>
      </c>
      <c r="C425" s="3" t="s">
        <v>137</v>
      </c>
      <c r="D425" s="3" t="s">
        <v>138</v>
      </c>
      <c r="E425" s="3" t="s">
        <v>139</v>
      </c>
      <c r="F425" s="3" t="s">
        <v>140</v>
      </c>
      <c r="G425" s="3" t="s">
        <v>55</v>
      </c>
      <c r="H425" s="3" t="n">
        <v>2</v>
      </c>
      <c r="I425" s="3" t="n">
        <v>12</v>
      </c>
      <c r="J425" s="3" t="s">
        <v>675</v>
      </c>
      <c r="K425" s="8" t="n">
        <v>279600</v>
      </c>
      <c r="L425" s="8" t="n">
        <v>6000</v>
      </c>
      <c r="M425" s="8" t="n">
        <v>21420</v>
      </c>
      <c r="N425" s="8" t="n">
        <v>307020</v>
      </c>
      <c r="O425" s="3" t="s">
        <v>132</v>
      </c>
      <c r="P425" s="3" t="s">
        <v>84</v>
      </c>
      <c r="Q425" s="3" t="s">
        <v>85</v>
      </c>
      <c r="R425" s="3" t="str">
        <f aca="false">IF(Q425="pass","No","Yes")</f>
        <v>Yes</v>
      </c>
      <c r="S425" s="3" t="s">
        <v>86</v>
      </c>
      <c r="T425" s="3" t="s">
        <v>133</v>
      </c>
      <c r="U425" s="3" t="s">
        <v>134</v>
      </c>
      <c r="V425" s="9" t="n">
        <v>26.961</v>
      </c>
    </row>
    <row r="426" customFormat="false" ht="15" hidden="false" customHeight="true" outlineLevel="0" collapsed="false">
      <c r="A426" s="3" t="n">
        <v>425</v>
      </c>
      <c r="B426" s="3" t="n">
        <v>9</v>
      </c>
      <c r="C426" s="3" t="s">
        <v>142</v>
      </c>
      <c r="D426" s="3" t="s">
        <v>143</v>
      </c>
      <c r="E426" s="3" t="s">
        <v>144</v>
      </c>
      <c r="F426" s="3" t="s">
        <v>145</v>
      </c>
      <c r="G426" s="3" t="s">
        <v>74</v>
      </c>
      <c r="H426" s="3" t="n">
        <v>1</v>
      </c>
      <c r="I426" s="3" t="n">
        <v>38</v>
      </c>
      <c r="J426" s="3" t="s">
        <v>676</v>
      </c>
      <c r="K426" s="8" t="n">
        <v>273600</v>
      </c>
      <c r="L426" s="8" t="n">
        <v>9000</v>
      </c>
      <c r="M426" s="8" t="n">
        <v>21195</v>
      </c>
      <c r="N426" s="8" t="n">
        <v>303795</v>
      </c>
      <c r="O426" s="3" t="s">
        <v>94</v>
      </c>
      <c r="P426" s="3" t="s">
        <v>84</v>
      </c>
      <c r="Q426" s="3" t="s">
        <v>85</v>
      </c>
      <c r="R426" s="3" t="str">
        <f aca="false">IF(Q426="pass","No","Yes")</f>
        <v>Yes</v>
      </c>
      <c r="S426" s="3" t="s">
        <v>86</v>
      </c>
      <c r="T426" s="3" t="s">
        <v>253</v>
      </c>
      <c r="U426" s="3" t="s">
        <v>254</v>
      </c>
      <c r="V426" s="9" t="n">
        <v>38.045</v>
      </c>
    </row>
    <row r="427" customFormat="false" ht="15" hidden="false" customHeight="true" outlineLevel="0" collapsed="false">
      <c r="A427" s="3" t="n">
        <v>426</v>
      </c>
      <c r="B427" s="3" t="n">
        <v>9</v>
      </c>
      <c r="C427" s="3" t="s">
        <v>112</v>
      </c>
      <c r="D427" s="3" t="s">
        <v>113</v>
      </c>
      <c r="E427" s="3" t="s">
        <v>114</v>
      </c>
      <c r="F427" s="3" t="s">
        <v>115</v>
      </c>
      <c r="G427" s="3" t="s">
        <v>116</v>
      </c>
      <c r="H427" s="3" t="n">
        <v>3</v>
      </c>
      <c r="I427" s="3" t="n">
        <v>70</v>
      </c>
      <c r="J427" s="3" t="s">
        <v>677</v>
      </c>
      <c r="K427" s="8" t="n">
        <v>1278600</v>
      </c>
      <c r="L427" s="8" t="n">
        <v>15000</v>
      </c>
      <c r="M427" s="8" t="n">
        <v>97020</v>
      </c>
      <c r="N427" s="8" t="n">
        <v>1390620</v>
      </c>
      <c r="O427" s="3" t="s">
        <v>152</v>
      </c>
      <c r="P427" s="3" t="s">
        <v>84</v>
      </c>
      <c r="Q427" s="3" t="s">
        <v>85</v>
      </c>
      <c r="R427" s="3" t="str">
        <f aca="false">IF(Q427="pass","No","Yes")</f>
        <v>Yes</v>
      </c>
      <c r="S427" s="3" t="s">
        <v>86</v>
      </c>
      <c r="T427" s="3" t="s">
        <v>87</v>
      </c>
      <c r="U427" s="3" t="s">
        <v>264</v>
      </c>
      <c r="V427" s="9" t="n">
        <v>52.057</v>
      </c>
    </row>
    <row r="428" customFormat="false" ht="15" hidden="false" customHeight="true" outlineLevel="0" collapsed="false">
      <c r="A428" s="3" t="n">
        <v>427</v>
      </c>
      <c r="B428" s="3" t="n">
        <v>9</v>
      </c>
      <c r="C428" s="3" t="s">
        <v>112</v>
      </c>
      <c r="D428" s="3" t="s">
        <v>113</v>
      </c>
      <c r="E428" s="3" t="s">
        <v>114</v>
      </c>
      <c r="F428" s="3" t="s">
        <v>115</v>
      </c>
      <c r="G428" s="3" t="s">
        <v>116</v>
      </c>
      <c r="H428" s="3" t="n">
        <v>1</v>
      </c>
      <c r="I428" s="3" t="n">
        <v>2</v>
      </c>
      <c r="J428" s="3" t="s">
        <v>263</v>
      </c>
      <c r="K428" s="8" t="n">
        <v>76000</v>
      </c>
      <c r="L428" s="8" t="n">
        <v>15000</v>
      </c>
      <c r="M428" s="8" t="n">
        <v>6825</v>
      </c>
      <c r="N428" s="8" t="n">
        <v>97825</v>
      </c>
      <c r="O428" s="3" t="s">
        <v>97</v>
      </c>
      <c r="P428" s="3" t="s">
        <v>84</v>
      </c>
      <c r="Q428" s="3" t="s">
        <v>59</v>
      </c>
      <c r="R428" s="3" t="str">
        <f aca="false">IF(Q428="pass","No","Yes")</f>
        <v>Yes</v>
      </c>
      <c r="S428" s="3" t="s">
        <v>98</v>
      </c>
      <c r="T428" s="3" t="s">
        <v>97</v>
      </c>
      <c r="U428" s="3" t="s">
        <v>678</v>
      </c>
      <c r="V428" s="9" t="n">
        <v>18.36</v>
      </c>
    </row>
    <row r="429" customFormat="false" ht="15" hidden="false" customHeight="true" outlineLevel="0" collapsed="false">
      <c r="A429" s="3" t="n">
        <v>428</v>
      </c>
      <c r="B429" s="3" t="n">
        <v>9</v>
      </c>
      <c r="C429" s="3" t="s">
        <v>213</v>
      </c>
      <c r="D429" s="3" t="s">
        <v>214</v>
      </c>
      <c r="E429" s="3" t="s">
        <v>215</v>
      </c>
      <c r="F429" s="3" t="s">
        <v>216</v>
      </c>
      <c r="G429" s="3" t="s">
        <v>67</v>
      </c>
      <c r="H429" s="3" t="n">
        <v>3</v>
      </c>
      <c r="I429" s="3" t="n">
        <v>43</v>
      </c>
      <c r="J429" s="3" t="s">
        <v>679</v>
      </c>
      <c r="K429" s="8" t="n">
        <v>987200</v>
      </c>
      <c r="L429" s="8" t="n">
        <v>4500</v>
      </c>
      <c r="M429" s="8" t="n">
        <v>74377.5</v>
      </c>
      <c r="N429" s="8" t="n">
        <v>1066077.5</v>
      </c>
      <c r="O429" s="3" t="s">
        <v>272</v>
      </c>
      <c r="P429" s="3" t="s">
        <v>84</v>
      </c>
      <c r="Q429" s="3" t="s">
        <v>85</v>
      </c>
      <c r="R429" s="3" t="str">
        <f aca="false">IF(Q429="pass","No","Yes")</f>
        <v>Yes</v>
      </c>
      <c r="S429" s="3" t="s">
        <v>86</v>
      </c>
      <c r="T429" s="3" t="s">
        <v>273</v>
      </c>
      <c r="U429" s="3" t="s">
        <v>680</v>
      </c>
      <c r="V429" s="9" t="n">
        <v>36.491</v>
      </c>
    </row>
    <row r="430" customFormat="false" ht="15" hidden="false" customHeight="true" outlineLevel="0" collapsed="false">
      <c r="A430" s="3" t="n">
        <v>429</v>
      </c>
      <c r="B430" s="3" t="n">
        <v>9</v>
      </c>
      <c r="C430" s="3" t="s">
        <v>137</v>
      </c>
      <c r="D430" s="3" t="s">
        <v>138</v>
      </c>
      <c r="E430" s="3" t="s">
        <v>139</v>
      </c>
      <c r="F430" s="3" t="s">
        <v>140</v>
      </c>
      <c r="G430" s="3" t="s">
        <v>55</v>
      </c>
      <c r="H430" s="3" t="n">
        <v>2</v>
      </c>
      <c r="I430" s="3" t="n">
        <v>90</v>
      </c>
      <c r="J430" s="3" t="s">
        <v>681</v>
      </c>
      <c r="K430" s="8" t="n">
        <v>1087900</v>
      </c>
      <c r="L430" s="8" t="n">
        <v>6000</v>
      </c>
      <c r="M430" s="8" t="n">
        <v>82042.5</v>
      </c>
      <c r="N430" s="8" t="n">
        <v>1175942.5</v>
      </c>
      <c r="O430" s="3" t="s">
        <v>57</v>
      </c>
      <c r="P430" s="3" t="s">
        <v>58</v>
      </c>
      <c r="Q430" s="3" t="s">
        <v>69</v>
      </c>
      <c r="R430" s="3" t="str">
        <f aca="false">IF(Q430="pass","No","Yes")</f>
        <v>No</v>
      </c>
      <c r="S430" s="3" t="s">
        <v>60</v>
      </c>
      <c r="T430" s="3"/>
      <c r="U430" s="3"/>
      <c r="V430" s="9" t="n">
        <v>41.09</v>
      </c>
    </row>
    <row r="431" customFormat="false" ht="15" hidden="false" customHeight="true" outlineLevel="0" collapsed="false">
      <c r="A431" s="3" t="n">
        <v>430</v>
      </c>
      <c r="B431" s="3" t="n">
        <v>9</v>
      </c>
      <c r="C431" s="3" t="s">
        <v>137</v>
      </c>
      <c r="D431" s="3" t="s">
        <v>138</v>
      </c>
      <c r="E431" s="3" t="s">
        <v>139</v>
      </c>
      <c r="F431" s="3" t="s">
        <v>140</v>
      </c>
      <c r="G431" s="3" t="s">
        <v>55</v>
      </c>
      <c r="H431" s="3" t="n">
        <v>1</v>
      </c>
      <c r="I431" s="3" t="n">
        <v>27</v>
      </c>
      <c r="J431" s="3" t="s">
        <v>682</v>
      </c>
      <c r="K431" s="8" t="n">
        <v>1026000</v>
      </c>
      <c r="L431" s="8" t="n">
        <v>6000</v>
      </c>
      <c r="M431" s="8" t="n">
        <v>77400</v>
      </c>
      <c r="N431" s="8" t="n">
        <v>1109400</v>
      </c>
      <c r="O431" s="3" t="s">
        <v>57</v>
      </c>
      <c r="P431" s="3" t="s">
        <v>58</v>
      </c>
      <c r="Q431" s="3" t="s">
        <v>69</v>
      </c>
      <c r="R431" s="3" t="str">
        <f aca="false">IF(Q431="pass","No","Yes")</f>
        <v>No</v>
      </c>
      <c r="S431" s="3" t="s">
        <v>60</v>
      </c>
      <c r="T431" s="3"/>
      <c r="U431" s="3"/>
      <c r="V431" s="9" t="n">
        <v>21.688</v>
      </c>
    </row>
    <row r="432" customFormat="false" ht="15" hidden="false" customHeight="true" outlineLevel="0" collapsed="false">
      <c r="A432" s="3" t="n">
        <v>431</v>
      </c>
      <c r="B432" s="3" t="n">
        <v>9</v>
      </c>
      <c r="C432" s="3" t="s">
        <v>177</v>
      </c>
      <c r="D432" s="3" t="s">
        <v>178</v>
      </c>
      <c r="E432" s="3" t="s">
        <v>179</v>
      </c>
      <c r="F432" s="3" t="s">
        <v>180</v>
      </c>
      <c r="G432" s="3" t="s">
        <v>81</v>
      </c>
      <c r="H432" s="3" t="n">
        <v>1</v>
      </c>
      <c r="I432" s="3" t="n">
        <v>1</v>
      </c>
      <c r="J432" s="3" t="s">
        <v>683</v>
      </c>
      <c r="K432" s="8" t="n">
        <v>31000</v>
      </c>
      <c r="L432" s="8" t="n">
        <v>4000</v>
      </c>
      <c r="M432" s="8" t="n">
        <v>2625</v>
      </c>
      <c r="N432" s="8" t="n">
        <v>37625</v>
      </c>
      <c r="O432" s="3" t="s">
        <v>57</v>
      </c>
      <c r="P432" s="3" t="s">
        <v>58</v>
      </c>
      <c r="Q432" s="3" t="s">
        <v>69</v>
      </c>
      <c r="R432" s="3" t="str">
        <f aca="false">IF(Q432="pass","No","Yes")</f>
        <v>No</v>
      </c>
      <c r="S432" s="3" t="s">
        <v>60</v>
      </c>
      <c r="T432" s="3"/>
      <c r="U432" s="3"/>
      <c r="V432" s="9" t="n">
        <v>23.795</v>
      </c>
    </row>
    <row r="433" customFormat="false" ht="15" hidden="false" customHeight="true" outlineLevel="0" collapsed="false">
      <c r="A433" s="3" t="n">
        <v>432</v>
      </c>
      <c r="B433" s="3" t="n">
        <v>9</v>
      </c>
      <c r="C433" s="3" t="s">
        <v>100</v>
      </c>
      <c r="D433" s="3" t="s">
        <v>101</v>
      </c>
      <c r="E433" s="3" t="s">
        <v>102</v>
      </c>
      <c r="F433" s="3" t="s">
        <v>103</v>
      </c>
      <c r="G433" s="3" t="s">
        <v>67</v>
      </c>
      <c r="H433" s="3" t="n">
        <v>2</v>
      </c>
      <c r="I433" s="3" t="n">
        <v>66</v>
      </c>
      <c r="J433" s="3" t="s">
        <v>684</v>
      </c>
      <c r="K433" s="8" t="n">
        <v>904000</v>
      </c>
      <c r="L433" s="8" t="n">
        <v>4500</v>
      </c>
      <c r="M433" s="8" t="n">
        <v>68137.5</v>
      </c>
      <c r="N433" s="8" t="n">
        <v>976637.5</v>
      </c>
      <c r="O433" s="3" t="s">
        <v>57</v>
      </c>
      <c r="P433" s="3" t="s">
        <v>58</v>
      </c>
      <c r="Q433" s="3" t="s">
        <v>69</v>
      </c>
      <c r="R433" s="3" t="str">
        <f aca="false">IF(Q433="pass","No","Yes")</f>
        <v>No</v>
      </c>
      <c r="S433" s="3" t="s">
        <v>60</v>
      </c>
      <c r="T433" s="3"/>
      <c r="U433" s="3"/>
      <c r="V433" s="9" t="n">
        <v>39.232</v>
      </c>
    </row>
    <row r="434" customFormat="false" ht="15" hidden="false" customHeight="true" outlineLevel="0" collapsed="false">
      <c r="A434" s="3" t="n">
        <v>433</v>
      </c>
      <c r="B434" s="3" t="n">
        <v>9</v>
      </c>
      <c r="C434" s="3" t="s">
        <v>237</v>
      </c>
      <c r="D434" s="3" t="s">
        <v>238</v>
      </c>
      <c r="E434" s="3" t="s">
        <v>239</v>
      </c>
      <c r="F434" s="3" t="s">
        <v>240</v>
      </c>
      <c r="G434" s="3" t="s">
        <v>116</v>
      </c>
      <c r="H434" s="3" t="n">
        <v>2</v>
      </c>
      <c r="I434" s="3" t="n">
        <v>18</v>
      </c>
      <c r="J434" s="3" t="s">
        <v>685</v>
      </c>
      <c r="K434" s="8" t="n">
        <v>385600</v>
      </c>
      <c r="L434" s="8" t="n">
        <v>15000</v>
      </c>
      <c r="M434" s="8" t="n">
        <v>30045</v>
      </c>
      <c r="N434" s="8" t="n">
        <v>430645</v>
      </c>
      <c r="O434" s="3" t="s">
        <v>132</v>
      </c>
      <c r="P434" s="3" t="s">
        <v>84</v>
      </c>
      <c r="Q434" s="3" t="s">
        <v>85</v>
      </c>
      <c r="R434" s="3" t="str">
        <f aca="false">IF(Q434="pass","No","Yes")</f>
        <v>Yes</v>
      </c>
      <c r="S434" s="3" t="s">
        <v>86</v>
      </c>
      <c r="T434" s="3" t="s">
        <v>133</v>
      </c>
      <c r="U434" s="3" t="s">
        <v>134</v>
      </c>
      <c r="V434" s="9" t="n">
        <v>27.633</v>
      </c>
    </row>
    <row r="435" customFormat="false" ht="15" hidden="false" customHeight="true" outlineLevel="0" collapsed="false">
      <c r="A435" s="3" t="n">
        <v>434</v>
      </c>
      <c r="B435" s="3" t="n">
        <v>9</v>
      </c>
      <c r="C435" s="3" t="s">
        <v>63</v>
      </c>
      <c r="D435" s="3" t="s">
        <v>64</v>
      </c>
      <c r="E435" s="3" t="s">
        <v>65</v>
      </c>
      <c r="F435" s="3" t="s">
        <v>66</v>
      </c>
      <c r="G435" s="3" t="s">
        <v>67</v>
      </c>
      <c r="H435" s="3" t="n">
        <v>4</v>
      </c>
      <c r="I435" s="3" t="n">
        <v>563</v>
      </c>
      <c r="J435" s="3" t="s">
        <v>686</v>
      </c>
      <c r="K435" s="8" t="n">
        <v>4985400</v>
      </c>
      <c r="L435" s="8" t="n">
        <v>4500</v>
      </c>
      <c r="M435" s="8" t="n">
        <v>374242.5</v>
      </c>
      <c r="N435" s="8" t="n">
        <v>5364142.5</v>
      </c>
      <c r="O435" s="3" t="s">
        <v>159</v>
      </c>
      <c r="P435" s="3" t="s">
        <v>84</v>
      </c>
      <c r="Q435" s="3" t="s">
        <v>85</v>
      </c>
      <c r="R435" s="3" t="str">
        <f aca="false">IF(Q435="pass","No","Yes")</f>
        <v>Yes</v>
      </c>
      <c r="S435" s="3" t="s">
        <v>86</v>
      </c>
      <c r="T435" s="3" t="s">
        <v>160</v>
      </c>
      <c r="U435" s="3" t="s">
        <v>524</v>
      </c>
      <c r="V435" s="9" t="n">
        <v>78.851</v>
      </c>
    </row>
    <row r="436" customFormat="false" ht="15" hidden="false" customHeight="true" outlineLevel="0" collapsed="false">
      <c r="A436" s="3" t="n">
        <v>435</v>
      </c>
      <c r="B436" s="3" t="n">
        <v>9</v>
      </c>
      <c r="C436" s="3" t="s">
        <v>51</v>
      </c>
      <c r="D436" s="3" t="s">
        <v>52</v>
      </c>
      <c r="E436" s="3" t="s">
        <v>53</v>
      </c>
      <c r="F436" s="3" t="s">
        <v>54</v>
      </c>
      <c r="G436" s="3" t="s">
        <v>55</v>
      </c>
      <c r="H436" s="3" t="n">
        <v>3</v>
      </c>
      <c r="I436" s="3" t="n">
        <v>193</v>
      </c>
      <c r="J436" s="3" t="s">
        <v>687</v>
      </c>
      <c r="K436" s="8" t="n">
        <v>2990000</v>
      </c>
      <c r="L436" s="8" t="n">
        <v>6000</v>
      </c>
      <c r="M436" s="8" t="n">
        <v>224700</v>
      </c>
      <c r="N436" s="8" t="n">
        <v>3220700</v>
      </c>
      <c r="O436" s="3" t="s">
        <v>57</v>
      </c>
      <c r="P436" s="3" t="s">
        <v>58</v>
      </c>
      <c r="Q436" s="3" t="s">
        <v>69</v>
      </c>
      <c r="R436" s="3" t="str">
        <f aca="false">IF(Q436="pass","No","Yes")</f>
        <v>No</v>
      </c>
      <c r="S436" s="3" t="s">
        <v>60</v>
      </c>
      <c r="T436" s="3"/>
      <c r="U436" s="3"/>
      <c r="V436" s="9" t="n">
        <v>73.367</v>
      </c>
    </row>
    <row r="437" customFormat="false" ht="15" hidden="false" customHeight="true" outlineLevel="0" collapsed="false">
      <c r="A437" s="3" t="n">
        <v>436</v>
      </c>
      <c r="B437" s="3" t="n">
        <v>9</v>
      </c>
      <c r="C437" s="3" t="s">
        <v>213</v>
      </c>
      <c r="D437" s="3" t="s">
        <v>214</v>
      </c>
      <c r="E437" s="3" t="s">
        <v>215</v>
      </c>
      <c r="F437" s="3" t="s">
        <v>216</v>
      </c>
      <c r="G437" s="3" t="s">
        <v>67</v>
      </c>
      <c r="H437" s="3" t="n">
        <v>4</v>
      </c>
      <c r="I437" s="3" t="n">
        <v>19</v>
      </c>
      <c r="J437" s="3" t="s">
        <v>688</v>
      </c>
      <c r="K437" s="8" t="n">
        <v>701200</v>
      </c>
      <c r="L437" s="8" t="n">
        <v>4500</v>
      </c>
      <c r="M437" s="8" t="n">
        <v>52927.5</v>
      </c>
      <c r="N437" s="8" t="n">
        <v>758627.5</v>
      </c>
      <c r="O437" s="3" t="s">
        <v>83</v>
      </c>
      <c r="P437" s="3" t="s">
        <v>84</v>
      </c>
      <c r="Q437" s="3" t="s">
        <v>85</v>
      </c>
      <c r="R437" s="3" t="str">
        <f aca="false">IF(Q437="pass","No","Yes")</f>
        <v>Yes</v>
      </c>
      <c r="S437" s="3" t="s">
        <v>86</v>
      </c>
      <c r="T437" s="3" t="s">
        <v>87</v>
      </c>
      <c r="U437" s="3" t="s">
        <v>290</v>
      </c>
      <c r="V437" s="9" t="n">
        <v>69.647</v>
      </c>
    </row>
    <row r="438" customFormat="false" ht="15" hidden="false" customHeight="true" outlineLevel="0" collapsed="false">
      <c r="A438" s="3" t="n">
        <v>437</v>
      </c>
      <c r="B438" s="3" t="n">
        <v>9</v>
      </c>
      <c r="C438" s="3" t="s">
        <v>105</v>
      </c>
      <c r="D438" s="3" t="s">
        <v>106</v>
      </c>
      <c r="E438" s="3" t="s">
        <v>107</v>
      </c>
      <c r="F438" s="3" t="s">
        <v>108</v>
      </c>
      <c r="G438" s="3" t="s">
        <v>81</v>
      </c>
      <c r="H438" s="3" t="n">
        <v>1</v>
      </c>
      <c r="I438" s="3" t="n">
        <v>27</v>
      </c>
      <c r="J438" s="3" t="s">
        <v>612</v>
      </c>
      <c r="K438" s="8" t="n">
        <v>337500</v>
      </c>
      <c r="L438" s="8" t="n">
        <v>4000</v>
      </c>
      <c r="M438" s="8" t="n">
        <v>25612.5</v>
      </c>
      <c r="N438" s="8" t="n">
        <v>367112.5</v>
      </c>
      <c r="O438" s="3" t="s">
        <v>57</v>
      </c>
      <c r="P438" s="3" t="s">
        <v>58</v>
      </c>
      <c r="Q438" s="3" t="s">
        <v>69</v>
      </c>
      <c r="R438" s="3" t="str">
        <f aca="false">IF(Q438="pass","No","Yes")</f>
        <v>No</v>
      </c>
      <c r="S438" s="3" t="s">
        <v>60</v>
      </c>
      <c r="T438" s="3"/>
      <c r="U438" s="3"/>
      <c r="V438" s="9" t="n">
        <v>25.983</v>
      </c>
    </row>
    <row r="439" customFormat="false" ht="15" hidden="false" customHeight="true" outlineLevel="0" collapsed="false">
      <c r="A439" s="3" t="n">
        <v>438</v>
      </c>
      <c r="B439" s="3" t="n">
        <v>9</v>
      </c>
      <c r="C439" s="3" t="s">
        <v>112</v>
      </c>
      <c r="D439" s="3" t="s">
        <v>113</v>
      </c>
      <c r="E439" s="3" t="s">
        <v>114</v>
      </c>
      <c r="F439" s="3" t="s">
        <v>115</v>
      </c>
      <c r="G439" s="3" t="s">
        <v>116</v>
      </c>
      <c r="H439" s="3" t="n">
        <v>3</v>
      </c>
      <c r="I439" s="3" t="n">
        <v>9</v>
      </c>
      <c r="J439" s="3" t="s">
        <v>689</v>
      </c>
      <c r="K439" s="8" t="n">
        <v>244800</v>
      </c>
      <c r="L439" s="8" t="n">
        <v>15000</v>
      </c>
      <c r="M439" s="8" t="n">
        <v>19485</v>
      </c>
      <c r="N439" s="8" t="n">
        <v>279285</v>
      </c>
      <c r="O439" s="3" t="s">
        <v>132</v>
      </c>
      <c r="P439" s="3" t="s">
        <v>84</v>
      </c>
      <c r="Q439" s="3" t="s">
        <v>85</v>
      </c>
      <c r="R439" s="3" t="str">
        <f aca="false">IF(Q439="pass","No","Yes")</f>
        <v>Yes</v>
      </c>
      <c r="S439" s="3" t="s">
        <v>86</v>
      </c>
      <c r="T439" s="3" t="s">
        <v>133</v>
      </c>
      <c r="U439" s="3" t="s">
        <v>134</v>
      </c>
      <c r="V439" s="9" t="n">
        <v>43.975</v>
      </c>
    </row>
    <row r="440" customFormat="false" ht="15" hidden="false" customHeight="true" outlineLevel="0" collapsed="false">
      <c r="A440" s="3" t="n">
        <v>439</v>
      </c>
      <c r="B440" s="3" t="n">
        <v>9</v>
      </c>
      <c r="C440" s="3" t="s">
        <v>166</v>
      </c>
      <c r="D440" s="3" t="s">
        <v>167</v>
      </c>
      <c r="E440" s="3" t="s">
        <v>168</v>
      </c>
      <c r="F440" s="3" t="s">
        <v>169</v>
      </c>
      <c r="G440" s="3" t="s">
        <v>74</v>
      </c>
      <c r="H440" s="3" t="n">
        <v>3</v>
      </c>
      <c r="I440" s="3" t="n">
        <v>228</v>
      </c>
      <c r="J440" s="3" t="s">
        <v>690</v>
      </c>
      <c r="K440" s="8" t="n">
        <v>2630700</v>
      </c>
      <c r="L440" s="8" t="n">
        <v>9000</v>
      </c>
      <c r="M440" s="8" t="n">
        <v>197977.5</v>
      </c>
      <c r="N440" s="8" t="n">
        <v>2837677.5</v>
      </c>
      <c r="O440" s="3" t="s">
        <v>57</v>
      </c>
      <c r="P440" s="3" t="s">
        <v>58</v>
      </c>
      <c r="Q440" s="3" t="s">
        <v>59</v>
      </c>
      <c r="R440" s="3" t="str">
        <f aca="false">IF(Q440="pass","No","Yes")</f>
        <v>Yes</v>
      </c>
      <c r="S440" s="3" t="s">
        <v>60</v>
      </c>
      <c r="T440" s="3" t="s">
        <v>61</v>
      </c>
      <c r="U440" s="3" t="s">
        <v>691</v>
      </c>
      <c r="V440" s="9" t="n">
        <v>75.469</v>
      </c>
    </row>
    <row r="441" customFormat="false" ht="15" hidden="false" customHeight="true" outlineLevel="0" collapsed="false">
      <c r="A441" s="3" t="n">
        <v>440</v>
      </c>
      <c r="B441" s="3" t="n">
        <v>9</v>
      </c>
      <c r="C441" s="3" t="s">
        <v>177</v>
      </c>
      <c r="D441" s="3" t="s">
        <v>178</v>
      </c>
      <c r="E441" s="3" t="s">
        <v>179</v>
      </c>
      <c r="F441" s="3" t="s">
        <v>180</v>
      </c>
      <c r="G441" s="3" t="s">
        <v>81</v>
      </c>
      <c r="H441" s="3" t="n">
        <v>4</v>
      </c>
      <c r="I441" s="3" t="n">
        <v>604</v>
      </c>
      <c r="J441" s="3" t="s">
        <v>692</v>
      </c>
      <c r="K441" s="8" t="n">
        <v>7789800</v>
      </c>
      <c r="L441" s="8" t="n">
        <v>4000</v>
      </c>
      <c r="M441" s="8" t="n">
        <v>584535</v>
      </c>
      <c r="N441" s="8" t="n">
        <v>8378335</v>
      </c>
      <c r="O441" s="3" t="s">
        <v>171</v>
      </c>
      <c r="P441" s="3" t="s">
        <v>84</v>
      </c>
      <c r="Q441" s="3" t="s">
        <v>85</v>
      </c>
      <c r="R441" s="3" t="str">
        <f aca="false">IF(Q441="pass","No","Yes")</f>
        <v>Yes</v>
      </c>
      <c r="S441" s="3" t="s">
        <v>86</v>
      </c>
      <c r="T441" s="3" t="s">
        <v>172</v>
      </c>
      <c r="U441" s="3" t="s">
        <v>693</v>
      </c>
      <c r="V441" s="9" t="n">
        <v>95.242</v>
      </c>
    </row>
    <row r="442" customFormat="false" ht="15" hidden="false" customHeight="true" outlineLevel="0" collapsed="false">
      <c r="A442" s="3" t="n">
        <v>441</v>
      </c>
      <c r="B442" s="3" t="n">
        <v>9</v>
      </c>
      <c r="C442" s="3" t="s">
        <v>63</v>
      </c>
      <c r="D442" s="3" t="s">
        <v>64</v>
      </c>
      <c r="E442" s="3" t="s">
        <v>65</v>
      </c>
      <c r="F442" s="3" t="s">
        <v>66</v>
      </c>
      <c r="G442" s="3" t="s">
        <v>67</v>
      </c>
      <c r="H442" s="3" t="n">
        <v>3</v>
      </c>
      <c r="I442" s="3" t="n">
        <v>78</v>
      </c>
      <c r="J442" s="3" t="s">
        <v>694</v>
      </c>
      <c r="K442" s="8" t="n">
        <v>1356800</v>
      </c>
      <c r="L442" s="8" t="n">
        <v>4500</v>
      </c>
      <c r="M442" s="8" t="n">
        <v>102097.5</v>
      </c>
      <c r="N442" s="8" t="n">
        <v>1463397.5</v>
      </c>
      <c r="O442" s="3" t="s">
        <v>57</v>
      </c>
      <c r="P442" s="3" t="s">
        <v>58</v>
      </c>
      <c r="Q442" s="3" t="s">
        <v>69</v>
      </c>
      <c r="R442" s="3" t="str">
        <f aca="false">IF(Q442="pass","No","Yes")</f>
        <v>No</v>
      </c>
      <c r="S442" s="3" t="s">
        <v>60</v>
      </c>
      <c r="T442" s="3"/>
      <c r="U442" s="3"/>
      <c r="V442" s="9" t="n">
        <v>75.715</v>
      </c>
    </row>
    <row r="443" customFormat="false" ht="15" hidden="false" customHeight="true" outlineLevel="0" collapsed="false">
      <c r="A443" s="3" t="n">
        <v>442</v>
      </c>
      <c r="B443" s="3" t="n">
        <v>9</v>
      </c>
      <c r="C443" s="3" t="s">
        <v>186</v>
      </c>
      <c r="D443" s="3" t="s">
        <v>187</v>
      </c>
      <c r="E443" s="3" t="s">
        <v>188</v>
      </c>
      <c r="F443" s="3" t="s">
        <v>189</v>
      </c>
      <c r="G443" s="3" t="s">
        <v>123</v>
      </c>
      <c r="H443" s="3" t="n">
        <v>1</v>
      </c>
      <c r="I443" s="3" t="n">
        <v>211</v>
      </c>
      <c r="J443" s="3" t="s">
        <v>256</v>
      </c>
      <c r="K443" s="8" t="n">
        <v>2004500</v>
      </c>
      <c r="L443" s="8" t="n">
        <v>5000</v>
      </c>
      <c r="M443" s="8" t="n">
        <v>150712.5</v>
      </c>
      <c r="N443" s="8" t="n">
        <v>2160212.5</v>
      </c>
      <c r="O443" s="3" t="s">
        <v>110</v>
      </c>
      <c r="P443" s="3" t="s">
        <v>58</v>
      </c>
      <c r="Q443" s="3" t="s">
        <v>69</v>
      </c>
      <c r="R443" s="3" t="str">
        <f aca="false">IF(Q443="pass","No","Yes")</f>
        <v>No</v>
      </c>
      <c r="S443" s="3" t="s">
        <v>60</v>
      </c>
      <c r="T443" s="3"/>
      <c r="U443" s="3"/>
      <c r="V443" s="9" t="n">
        <v>44.878</v>
      </c>
    </row>
    <row r="444" customFormat="false" ht="15" hidden="false" customHeight="true" outlineLevel="0" collapsed="false">
      <c r="A444" s="3" t="n">
        <v>443</v>
      </c>
      <c r="B444" s="3" t="n">
        <v>9</v>
      </c>
      <c r="C444" s="3" t="s">
        <v>177</v>
      </c>
      <c r="D444" s="3" t="s">
        <v>178</v>
      </c>
      <c r="E444" s="3" t="s">
        <v>179</v>
      </c>
      <c r="F444" s="3" t="s">
        <v>180</v>
      </c>
      <c r="G444" s="3" t="s">
        <v>81</v>
      </c>
      <c r="H444" s="3" t="n">
        <v>3</v>
      </c>
      <c r="I444" s="3" t="n">
        <v>117</v>
      </c>
      <c r="J444" s="3" t="s">
        <v>695</v>
      </c>
      <c r="K444" s="8" t="n">
        <v>1381500</v>
      </c>
      <c r="L444" s="8" t="n">
        <v>4000</v>
      </c>
      <c r="M444" s="8" t="n">
        <v>103912.5</v>
      </c>
      <c r="N444" s="8" t="n">
        <v>1489412.5</v>
      </c>
      <c r="O444" s="3" t="s">
        <v>57</v>
      </c>
      <c r="P444" s="3" t="s">
        <v>58</v>
      </c>
      <c r="Q444" s="3" t="s">
        <v>59</v>
      </c>
      <c r="R444" s="3" t="str">
        <f aca="false">IF(Q444="pass","No","Yes")</f>
        <v>Yes</v>
      </c>
      <c r="S444" s="3" t="s">
        <v>60</v>
      </c>
      <c r="T444" s="3" t="s">
        <v>61</v>
      </c>
      <c r="U444" s="3" t="s">
        <v>696</v>
      </c>
      <c r="V444" s="9" t="n">
        <v>76.554</v>
      </c>
    </row>
    <row r="445" customFormat="false" ht="15" hidden="false" customHeight="true" outlineLevel="0" collapsed="false">
      <c r="A445" s="3" t="n">
        <v>444</v>
      </c>
      <c r="B445" s="3" t="n">
        <v>9</v>
      </c>
      <c r="C445" s="3" t="s">
        <v>213</v>
      </c>
      <c r="D445" s="3" t="s">
        <v>214</v>
      </c>
      <c r="E445" s="3" t="s">
        <v>215</v>
      </c>
      <c r="F445" s="3" t="s">
        <v>216</v>
      </c>
      <c r="G445" s="3" t="s">
        <v>67</v>
      </c>
      <c r="H445" s="3" t="n">
        <v>2</v>
      </c>
      <c r="I445" s="3" t="n">
        <v>60</v>
      </c>
      <c r="J445" s="3" t="s">
        <v>697</v>
      </c>
      <c r="K445" s="8" t="n">
        <v>636000</v>
      </c>
      <c r="L445" s="8" t="n">
        <v>4500</v>
      </c>
      <c r="M445" s="8" t="n">
        <v>48037.5</v>
      </c>
      <c r="N445" s="8" t="n">
        <v>688537.5</v>
      </c>
      <c r="O445" s="3" t="s">
        <v>57</v>
      </c>
      <c r="P445" s="3" t="s">
        <v>58</v>
      </c>
      <c r="Q445" s="3" t="s">
        <v>69</v>
      </c>
      <c r="R445" s="3" t="str">
        <f aca="false">IF(Q445="pass","No","Yes")</f>
        <v>No</v>
      </c>
      <c r="S445" s="3" t="s">
        <v>60</v>
      </c>
      <c r="T445" s="3"/>
      <c r="U445" s="3"/>
      <c r="V445" s="9" t="n">
        <v>64.288</v>
      </c>
    </row>
    <row r="446" customFormat="false" ht="15" hidden="false" customHeight="true" outlineLevel="0" collapsed="false">
      <c r="A446" s="3" t="n">
        <v>445</v>
      </c>
      <c r="B446" s="3" t="n">
        <v>9</v>
      </c>
      <c r="C446" s="3" t="s">
        <v>105</v>
      </c>
      <c r="D446" s="3" t="s">
        <v>106</v>
      </c>
      <c r="E446" s="3" t="s">
        <v>107</v>
      </c>
      <c r="F446" s="3" t="s">
        <v>108</v>
      </c>
      <c r="G446" s="3" t="s">
        <v>81</v>
      </c>
      <c r="H446" s="3" t="n">
        <v>1</v>
      </c>
      <c r="I446" s="3" t="n">
        <v>155</v>
      </c>
      <c r="J446" s="3" t="s">
        <v>698</v>
      </c>
      <c r="K446" s="8" t="n">
        <v>1472500</v>
      </c>
      <c r="L446" s="8" t="n">
        <v>4000</v>
      </c>
      <c r="M446" s="8" t="n">
        <v>110737.5</v>
      </c>
      <c r="N446" s="8" t="n">
        <v>1587237.5</v>
      </c>
      <c r="O446" s="3" t="s">
        <v>57</v>
      </c>
      <c r="P446" s="3" t="s">
        <v>58</v>
      </c>
      <c r="Q446" s="3" t="s">
        <v>69</v>
      </c>
      <c r="R446" s="3" t="str">
        <f aca="false">IF(Q446="pass","No","Yes")</f>
        <v>No</v>
      </c>
      <c r="S446" s="3" t="s">
        <v>60</v>
      </c>
      <c r="T446" s="3"/>
      <c r="U446" s="3"/>
      <c r="V446" s="9" t="n">
        <v>45.095</v>
      </c>
    </row>
    <row r="447" customFormat="false" ht="15" hidden="false" customHeight="true" outlineLevel="0" collapsed="false">
      <c r="A447" s="3" t="n">
        <v>446</v>
      </c>
      <c r="B447" s="3" t="n">
        <v>9</v>
      </c>
      <c r="C447" s="3" t="s">
        <v>142</v>
      </c>
      <c r="D447" s="3" t="s">
        <v>143</v>
      </c>
      <c r="E447" s="3" t="s">
        <v>144</v>
      </c>
      <c r="F447" s="3" t="s">
        <v>145</v>
      </c>
      <c r="G447" s="3" t="s">
        <v>74</v>
      </c>
      <c r="H447" s="3" t="n">
        <v>3</v>
      </c>
      <c r="I447" s="3" t="n">
        <v>22</v>
      </c>
      <c r="J447" s="3" t="s">
        <v>699</v>
      </c>
      <c r="K447" s="8" t="n">
        <v>766000</v>
      </c>
      <c r="L447" s="8" t="n">
        <v>9000</v>
      </c>
      <c r="M447" s="8" t="n">
        <v>58125</v>
      </c>
      <c r="N447" s="8" t="n">
        <v>833125</v>
      </c>
      <c r="O447" s="3" t="s">
        <v>57</v>
      </c>
      <c r="P447" s="3" t="s">
        <v>58</v>
      </c>
      <c r="Q447" s="3" t="s">
        <v>69</v>
      </c>
      <c r="R447" s="3" t="str">
        <f aca="false">IF(Q447="pass","No","Yes")</f>
        <v>No</v>
      </c>
      <c r="S447" s="3" t="s">
        <v>60</v>
      </c>
      <c r="T447" s="3"/>
      <c r="U447" s="3"/>
      <c r="V447" s="9" t="n">
        <v>55.872</v>
      </c>
    </row>
    <row r="448" customFormat="false" ht="15" hidden="false" customHeight="true" outlineLevel="0" collapsed="false">
      <c r="A448" s="3" t="n">
        <v>447</v>
      </c>
      <c r="B448" s="3" t="n">
        <v>9</v>
      </c>
      <c r="C448" s="3" t="s">
        <v>100</v>
      </c>
      <c r="D448" s="3" t="s">
        <v>101</v>
      </c>
      <c r="E448" s="3" t="s">
        <v>102</v>
      </c>
      <c r="F448" s="3" t="s">
        <v>103</v>
      </c>
      <c r="G448" s="3" t="s">
        <v>67</v>
      </c>
      <c r="H448" s="3" t="n">
        <v>1</v>
      </c>
      <c r="I448" s="3" t="n">
        <v>5</v>
      </c>
      <c r="J448" s="3" t="s">
        <v>700</v>
      </c>
      <c r="K448" s="8" t="n">
        <v>36000</v>
      </c>
      <c r="L448" s="8" t="n">
        <v>4500</v>
      </c>
      <c r="M448" s="8" t="n">
        <v>3037.5</v>
      </c>
      <c r="N448" s="8" t="n">
        <v>43537.5</v>
      </c>
      <c r="O448" s="3" t="s">
        <v>76</v>
      </c>
      <c r="P448" s="3" t="s">
        <v>58</v>
      </c>
      <c r="Q448" s="3" t="s">
        <v>69</v>
      </c>
      <c r="R448" s="3" t="str">
        <f aca="false">IF(Q448="pass","No","Yes")</f>
        <v>No</v>
      </c>
      <c r="S448" s="3" t="s">
        <v>60</v>
      </c>
      <c r="T448" s="3"/>
      <c r="U448" s="3"/>
      <c r="V448" s="9" t="n">
        <v>41.048</v>
      </c>
    </row>
    <row r="449" customFormat="false" ht="15" hidden="false" customHeight="true" outlineLevel="0" collapsed="false">
      <c r="A449" s="3" t="n">
        <v>448</v>
      </c>
      <c r="B449" s="3" t="n">
        <v>9</v>
      </c>
      <c r="C449" s="3" t="s">
        <v>142</v>
      </c>
      <c r="D449" s="3" t="s">
        <v>143</v>
      </c>
      <c r="E449" s="3" t="s">
        <v>144</v>
      </c>
      <c r="F449" s="3" t="s">
        <v>145</v>
      </c>
      <c r="G449" s="3" t="s">
        <v>74</v>
      </c>
      <c r="H449" s="3" t="n">
        <v>3</v>
      </c>
      <c r="I449" s="3" t="n">
        <v>22</v>
      </c>
      <c r="J449" s="3" t="s">
        <v>699</v>
      </c>
      <c r="K449" s="8" t="n">
        <v>766000</v>
      </c>
      <c r="L449" s="8" t="n">
        <v>9000</v>
      </c>
      <c r="M449" s="8" t="n">
        <v>58125</v>
      </c>
      <c r="N449" s="8" t="n">
        <v>833125</v>
      </c>
      <c r="O449" s="3" t="s">
        <v>97</v>
      </c>
      <c r="P449" s="3" t="s">
        <v>84</v>
      </c>
      <c r="Q449" s="3" t="s">
        <v>59</v>
      </c>
      <c r="R449" s="3" t="str">
        <f aca="false">IF(Q449="pass","No","Yes")</f>
        <v>Yes</v>
      </c>
      <c r="S449" s="3" t="s">
        <v>98</v>
      </c>
      <c r="T449" s="3" t="s">
        <v>97</v>
      </c>
      <c r="U449" s="3" t="s">
        <v>701</v>
      </c>
      <c r="V449" s="9" t="n">
        <v>53.799</v>
      </c>
    </row>
    <row r="450" customFormat="false" ht="15" hidden="false" customHeight="true" outlineLevel="0" collapsed="false">
      <c r="A450" s="3" t="n">
        <v>449</v>
      </c>
      <c r="B450" s="3" t="n">
        <v>9</v>
      </c>
      <c r="C450" s="3" t="s">
        <v>70</v>
      </c>
      <c r="D450" s="3" t="s">
        <v>71</v>
      </c>
      <c r="E450" s="3" t="s">
        <v>72</v>
      </c>
      <c r="F450" s="3" t="s">
        <v>73</v>
      </c>
      <c r="G450" s="3" t="s">
        <v>74</v>
      </c>
      <c r="H450" s="3" t="n">
        <v>3</v>
      </c>
      <c r="I450" s="3" t="n">
        <v>24</v>
      </c>
      <c r="J450" s="3" t="s">
        <v>702</v>
      </c>
      <c r="K450" s="8" t="n">
        <v>888500</v>
      </c>
      <c r="L450" s="8" t="n">
        <v>9000</v>
      </c>
      <c r="M450" s="8" t="n">
        <v>67312.5</v>
      </c>
      <c r="N450" s="8" t="n">
        <v>964812.5</v>
      </c>
      <c r="O450" s="3" t="s">
        <v>83</v>
      </c>
      <c r="P450" s="3" t="s">
        <v>84</v>
      </c>
      <c r="Q450" s="3" t="s">
        <v>85</v>
      </c>
      <c r="R450" s="3" t="str">
        <f aca="false">IF(Q450="pass","No","Yes")</f>
        <v>Yes</v>
      </c>
      <c r="S450" s="3" t="s">
        <v>86</v>
      </c>
      <c r="T450" s="3" t="s">
        <v>87</v>
      </c>
      <c r="U450" s="3" t="s">
        <v>517</v>
      </c>
      <c r="V450" s="9" t="n">
        <v>56.013</v>
      </c>
    </row>
    <row r="451" customFormat="false" ht="15" hidden="false" customHeight="true" outlineLevel="0" collapsed="false">
      <c r="A451" s="3" t="n">
        <v>450</v>
      </c>
      <c r="B451" s="3" t="n">
        <v>9</v>
      </c>
      <c r="C451" s="3" t="s">
        <v>177</v>
      </c>
      <c r="D451" s="3" t="s">
        <v>178</v>
      </c>
      <c r="E451" s="3" t="s">
        <v>179</v>
      </c>
      <c r="F451" s="3" t="s">
        <v>180</v>
      </c>
      <c r="G451" s="3" t="s">
        <v>81</v>
      </c>
      <c r="H451" s="3" t="n">
        <v>1</v>
      </c>
      <c r="I451" s="3" t="n">
        <v>204</v>
      </c>
      <c r="J451" s="3" t="s">
        <v>580</v>
      </c>
      <c r="K451" s="8" t="n">
        <v>1938000</v>
      </c>
      <c r="L451" s="8" t="n">
        <v>4000</v>
      </c>
      <c r="M451" s="8" t="n">
        <v>145650</v>
      </c>
      <c r="N451" s="8" t="n">
        <v>2087650</v>
      </c>
      <c r="O451" s="3" t="s">
        <v>110</v>
      </c>
      <c r="P451" s="3" t="s">
        <v>58</v>
      </c>
      <c r="Q451" s="3" t="s">
        <v>69</v>
      </c>
      <c r="R451" s="3" t="str">
        <f aca="false">IF(Q451="pass","No","Yes")</f>
        <v>No</v>
      </c>
      <c r="S451" s="3" t="s">
        <v>60</v>
      </c>
      <c r="T451" s="3"/>
      <c r="U451" s="3"/>
      <c r="V451" s="9" t="n">
        <v>44.951</v>
      </c>
    </row>
    <row r="452" customFormat="false" ht="15" hidden="false" customHeight="true" outlineLevel="0" collapsed="false">
      <c r="A452" s="3" t="n">
        <v>451</v>
      </c>
      <c r="B452" s="3" t="n">
        <v>10</v>
      </c>
      <c r="C452" s="3" t="s">
        <v>127</v>
      </c>
      <c r="D452" s="3" t="s">
        <v>128</v>
      </c>
      <c r="E452" s="3" t="s">
        <v>129</v>
      </c>
      <c r="F452" s="3" t="s">
        <v>130</v>
      </c>
      <c r="G452" s="3" t="s">
        <v>55</v>
      </c>
      <c r="H452" s="3" t="n">
        <v>4</v>
      </c>
      <c r="I452" s="3" t="n">
        <v>607</v>
      </c>
      <c r="J452" s="3" t="s">
        <v>703</v>
      </c>
      <c r="K452" s="8" t="n">
        <v>4949400</v>
      </c>
      <c r="L452" s="8" t="n">
        <v>6000</v>
      </c>
      <c r="M452" s="8" t="n">
        <v>371655</v>
      </c>
      <c r="N452" s="8" t="n">
        <v>5327055</v>
      </c>
      <c r="O452" s="3" t="s">
        <v>171</v>
      </c>
      <c r="P452" s="3" t="s">
        <v>84</v>
      </c>
      <c r="Q452" s="3" t="s">
        <v>85</v>
      </c>
      <c r="R452" s="3" t="str">
        <f aca="false">IF(Q452="pass","No","Yes")</f>
        <v>Yes</v>
      </c>
      <c r="S452" s="3" t="s">
        <v>86</v>
      </c>
      <c r="T452" s="3" t="s">
        <v>172</v>
      </c>
      <c r="U452" s="3" t="s">
        <v>704</v>
      </c>
      <c r="V452" s="9" t="n">
        <v>89.514</v>
      </c>
    </row>
    <row r="453" customFormat="false" ht="15" hidden="false" customHeight="true" outlineLevel="0" collapsed="false">
      <c r="A453" s="3" t="n">
        <v>452</v>
      </c>
      <c r="B453" s="3" t="n">
        <v>10</v>
      </c>
      <c r="C453" s="3" t="s">
        <v>186</v>
      </c>
      <c r="D453" s="3" t="s">
        <v>187</v>
      </c>
      <c r="E453" s="3" t="s">
        <v>188</v>
      </c>
      <c r="F453" s="3" t="s">
        <v>189</v>
      </c>
      <c r="G453" s="3" t="s">
        <v>123</v>
      </c>
      <c r="H453" s="3" t="n">
        <v>2</v>
      </c>
      <c r="I453" s="3" t="n">
        <v>12</v>
      </c>
      <c r="J453" s="3" t="s">
        <v>705</v>
      </c>
      <c r="K453" s="8" t="n">
        <v>603000</v>
      </c>
      <c r="L453" s="8" t="n">
        <v>5000</v>
      </c>
      <c r="M453" s="8" t="n">
        <v>45600</v>
      </c>
      <c r="N453" s="8" t="n">
        <v>653600</v>
      </c>
      <c r="O453" s="3" t="s">
        <v>132</v>
      </c>
      <c r="P453" s="3" t="s">
        <v>84</v>
      </c>
      <c r="Q453" s="3" t="s">
        <v>85</v>
      </c>
      <c r="R453" s="3" t="str">
        <f aca="false">IF(Q453="pass","No","Yes")</f>
        <v>Yes</v>
      </c>
      <c r="S453" s="3" t="s">
        <v>86</v>
      </c>
      <c r="T453" s="3" t="s">
        <v>133</v>
      </c>
      <c r="U453" s="3" t="s">
        <v>134</v>
      </c>
      <c r="V453" s="9" t="n">
        <v>39.207</v>
      </c>
    </row>
    <row r="454" customFormat="false" ht="15" hidden="false" customHeight="true" outlineLevel="0" collapsed="false">
      <c r="A454" s="3" t="n">
        <v>453</v>
      </c>
      <c r="B454" s="3" t="n">
        <v>10</v>
      </c>
      <c r="C454" s="3" t="s">
        <v>112</v>
      </c>
      <c r="D454" s="3" t="s">
        <v>113</v>
      </c>
      <c r="E454" s="3" t="s">
        <v>114</v>
      </c>
      <c r="F454" s="3" t="s">
        <v>115</v>
      </c>
      <c r="G454" s="3" t="s">
        <v>146</v>
      </c>
      <c r="H454" s="3" t="n">
        <v>3</v>
      </c>
      <c r="I454" s="3" t="n">
        <v>28</v>
      </c>
      <c r="J454" s="3" t="s">
        <v>706</v>
      </c>
      <c r="K454" s="8" t="n">
        <v>757200</v>
      </c>
      <c r="L454" s="8" t="n">
        <v>0</v>
      </c>
      <c r="M454" s="8" t="n">
        <v>56790</v>
      </c>
      <c r="N454" s="8" t="n">
        <v>813990</v>
      </c>
      <c r="O454" s="3" t="s">
        <v>148</v>
      </c>
      <c r="P454" s="3" t="s">
        <v>84</v>
      </c>
      <c r="Q454" s="3" t="s">
        <v>85</v>
      </c>
      <c r="R454" s="3" t="str">
        <f aca="false">IF(Q454="pass","No","Yes")</f>
        <v>Yes</v>
      </c>
      <c r="S454" s="3" t="s">
        <v>86</v>
      </c>
      <c r="T454" s="3" t="s">
        <v>149</v>
      </c>
      <c r="U454" s="3" t="s">
        <v>150</v>
      </c>
      <c r="V454" s="9" t="n">
        <v>58.862</v>
      </c>
    </row>
    <row r="455" customFormat="false" ht="15" hidden="false" customHeight="true" outlineLevel="0" collapsed="false">
      <c r="A455" s="3" t="n">
        <v>454</v>
      </c>
      <c r="B455" s="3" t="n">
        <v>10</v>
      </c>
      <c r="C455" s="3" t="s">
        <v>237</v>
      </c>
      <c r="D455" s="3" t="s">
        <v>238</v>
      </c>
      <c r="E455" s="3" t="s">
        <v>239</v>
      </c>
      <c r="F455" s="3" t="s">
        <v>240</v>
      </c>
      <c r="G455" s="3" t="s">
        <v>116</v>
      </c>
      <c r="H455" s="3" t="n">
        <v>2</v>
      </c>
      <c r="I455" s="3" t="n">
        <v>55</v>
      </c>
      <c r="J455" s="3" t="s">
        <v>707</v>
      </c>
      <c r="K455" s="8" t="n">
        <v>687500</v>
      </c>
      <c r="L455" s="8" t="n">
        <v>15000</v>
      </c>
      <c r="M455" s="8" t="n">
        <v>52687.5</v>
      </c>
      <c r="N455" s="8" t="n">
        <v>755187.5</v>
      </c>
      <c r="O455" s="3" t="s">
        <v>272</v>
      </c>
      <c r="P455" s="3" t="s">
        <v>84</v>
      </c>
      <c r="Q455" s="3" t="s">
        <v>85</v>
      </c>
      <c r="R455" s="3" t="str">
        <f aca="false">IF(Q455="pass","No","Yes")</f>
        <v>Yes</v>
      </c>
      <c r="S455" s="3" t="s">
        <v>86</v>
      </c>
      <c r="T455" s="3" t="s">
        <v>273</v>
      </c>
      <c r="U455" s="3" t="s">
        <v>708</v>
      </c>
      <c r="V455" s="9" t="n">
        <v>27.496</v>
      </c>
    </row>
    <row r="456" customFormat="false" ht="15" hidden="false" customHeight="true" outlineLevel="0" collapsed="false">
      <c r="A456" s="3" t="n">
        <v>455</v>
      </c>
      <c r="B456" s="3" t="n">
        <v>10</v>
      </c>
      <c r="C456" s="3" t="s">
        <v>105</v>
      </c>
      <c r="D456" s="3" t="s">
        <v>106</v>
      </c>
      <c r="E456" s="3" t="s">
        <v>107</v>
      </c>
      <c r="F456" s="3" t="s">
        <v>108</v>
      </c>
      <c r="G456" s="3" t="s">
        <v>81</v>
      </c>
      <c r="H456" s="3" t="n">
        <v>3</v>
      </c>
      <c r="I456" s="3" t="n">
        <v>45</v>
      </c>
      <c r="J456" s="3" t="s">
        <v>709</v>
      </c>
      <c r="K456" s="8" t="n">
        <v>1292600</v>
      </c>
      <c r="L456" s="8" t="n">
        <v>4000</v>
      </c>
      <c r="M456" s="8" t="n">
        <v>97245</v>
      </c>
      <c r="N456" s="8" t="n">
        <v>1393845</v>
      </c>
      <c r="O456" s="3" t="s">
        <v>118</v>
      </c>
      <c r="P456" s="3" t="s">
        <v>58</v>
      </c>
      <c r="Q456" s="3" t="s">
        <v>69</v>
      </c>
      <c r="R456" s="3" t="str">
        <f aca="false">IF(Q456="pass","No","Yes")</f>
        <v>No</v>
      </c>
      <c r="S456" s="3" t="s">
        <v>60</v>
      </c>
      <c r="T456" s="3"/>
      <c r="U456" s="3"/>
      <c r="V456" s="9" t="n">
        <v>60.235</v>
      </c>
    </row>
    <row r="457" customFormat="false" ht="15" hidden="false" customHeight="true" outlineLevel="0" collapsed="false">
      <c r="A457" s="3" t="n">
        <v>456</v>
      </c>
      <c r="B457" s="3" t="n">
        <v>10</v>
      </c>
      <c r="C457" s="3" t="s">
        <v>89</v>
      </c>
      <c r="D457" s="3" t="s">
        <v>90</v>
      </c>
      <c r="E457" s="3" t="s">
        <v>91</v>
      </c>
      <c r="F457" s="3" t="s">
        <v>92</v>
      </c>
      <c r="G457" s="3" t="s">
        <v>67</v>
      </c>
      <c r="H457" s="3" t="n">
        <v>2</v>
      </c>
      <c r="I457" s="3" t="n">
        <v>165</v>
      </c>
      <c r="J457" s="3" t="s">
        <v>710</v>
      </c>
      <c r="K457" s="8" t="n">
        <v>1230000</v>
      </c>
      <c r="L457" s="8" t="n">
        <v>4500</v>
      </c>
      <c r="M457" s="8" t="n">
        <v>92587.5</v>
      </c>
      <c r="N457" s="8" t="n">
        <v>1327087.5</v>
      </c>
      <c r="O457" s="3" t="s">
        <v>57</v>
      </c>
      <c r="P457" s="3" t="s">
        <v>58</v>
      </c>
      <c r="Q457" s="3" t="s">
        <v>59</v>
      </c>
      <c r="R457" s="3" t="str">
        <f aca="false">IF(Q457="pass","No","Yes")</f>
        <v>Yes</v>
      </c>
      <c r="S457" s="3" t="s">
        <v>60</v>
      </c>
      <c r="T457" s="3" t="s">
        <v>61</v>
      </c>
      <c r="U457" s="3" t="s">
        <v>711</v>
      </c>
      <c r="V457" s="9" t="n">
        <v>61.165</v>
      </c>
    </row>
    <row r="458" customFormat="false" ht="15" hidden="false" customHeight="true" outlineLevel="0" collapsed="false">
      <c r="A458" s="3" t="n">
        <v>457</v>
      </c>
      <c r="B458" s="3" t="n">
        <v>10</v>
      </c>
      <c r="C458" s="3" t="s">
        <v>237</v>
      </c>
      <c r="D458" s="3" t="s">
        <v>238</v>
      </c>
      <c r="E458" s="3" t="s">
        <v>239</v>
      </c>
      <c r="F458" s="3" t="s">
        <v>240</v>
      </c>
      <c r="G458" s="3" t="s">
        <v>116</v>
      </c>
      <c r="H458" s="3" t="n">
        <v>1</v>
      </c>
      <c r="I458" s="3" t="n">
        <v>8</v>
      </c>
      <c r="J458" s="3" t="s">
        <v>566</v>
      </c>
      <c r="K458" s="8" t="n">
        <v>248000</v>
      </c>
      <c r="L458" s="8" t="n">
        <v>15000</v>
      </c>
      <c r="M458" s="8" t="n">
        <v>19725</v>
      </c>
      <c r="N458" s="8" t="n">
        <v>282725</v>
      </c>
      <c r="O458" s="3" t="s">
        <v>224</v>
      </c>
      <c r="P458" s="3" t="s">
        <v>84</v>
      </c>
      <c r="Q458" s="3" t="s">
        <v>85</v>
      </c>
      <c r="R458" s="3" t="str">
        <f aca="false">IF(Q458="pass","No","Yes")</f>
        <v>Yes</v>
      </c>
      <c r="S458" s="3" t="s">
        <v>86</v>
      </c>
      <c r="T458" s="3" t="s">
        <v>149</v>
      </c>
      <c r="U458" s="3" t="s">
        <v>225</v>
      </c>
      <c r="V458" s="9" t="n">
        <v>24.65</v>
      </c>
    </row>
    <row r="459" customFormat="false" ht="15" hidden="false" customHeight="true" outlineLevel="0" collapsed="false">
      <c r="A459" s="3" t="n">
        <v>458</v>
      </c>
      <c r="B459" s="3" t="n">
        <v>10</v>
      </c>
      <c r="C459" s="3" t="s">
        <v>77</v>
      </c>
      <c r="D459" s="3" t="s">
        <v>78</v>
      </c>
      <c r="E459" s="3" t="s">
        <v>79</v>
      </c>
      <c r="F459" s="3" t="s">
        <v>80</v>
      </c>
      <c r="G459" s="3" t="s">
        <v>81</v>
      </c>
      <c r="H459" s="3" t="n">
        <v>1</v>
      </c>
      <c r="I459" s="3" t="n">
        <v>20</v>
      </c>
      <c r="J459" s="3" t="s">
        <v>712</v>
      </c>
      <c r="K459" s="8" t="n">
        <v>760000</v>
      </c>
      <c r="L459" s="8" t="n">
        <v>4000</v>
      </c>
      <c r="M459" s="8" t="n">
        <v>57300</v>
      </c>
      <c r="N459" s="8" t="n">
        <v>821300</v>
      </c>
      <c r="O459" s="3" t="s">
        <v>76</v>
      </c>
      <c r="P459" s="3" t="s">
        <v>58</v>
      </c>
      <c r="Q459" s="3" t="s">
        <v>69</v>
      </c>
      <c r="R459" s="3" t="str">
        <f aca="false">IF(Q459="pass","No","Yes")</f>
        <v>No</v>
      </c>
      <c r="S459" s="3" t="s">
        <v>60</v>
      </c>
      <c r="T459" s="3"/>
      <c r="U459" s="3"/>
      <c r="V459" s="9" t="n">
        <v>25.968</v>
      </c>
    </row>
    <row r="460" customFormat="false" ht="15" hidden="false" customHeight="true" outlineLevel="0" collapsed="false">
      <c r="A460" s="3" t="n">
        <v>459</v>
      </c>
      <c r="B460" s="3" t="n">
        <v>10</v>
      </c>
      <c r="C460" s="3" t="s">
        <v>127</v>
      </c>
      <c r="D460" s="3" t="s">
        <v>128</v>
      </c>
      <c r="E460" s="3" t="s">
        <v>129</v>
      </c>
      <c r="F460" s="3" t="s">
        <v>130</v>
      </c>
      <c r="G460" s="3" t="s">
        <v>55</v>
      </c>
      <c r="H460" s="3" t="n">
        <v>1</v>
      </c>
      <c r="I460" s="3" t="n">
        <v>13</v>
      </c>
      <c r="J460" s="3" t="s">
        <v>713</v>
      </c>
      <c r="K460" s="8" t="n">
        <v>93600</v>
      </c>
      <c r="L460" s="8" t="n">
        <v>6000</v>
      </c>
      <c r="M460" s="8" t="n">
        <v>7470</v>
      </c>
      <c r="N460" s="8" t="n">
        <v>107070</v>
      </c>
      <c r="O460" s="3" t="s">
        <v>76</v>
      </c>
      <c r="P460" s="3" t="s">
        <v>58</v>
      </c>
      <c r="Q460" s="3" t="s">
        <v>69</v>
      </c>
      <c r="R460" s="3" t="str">
        <f aca="false">IF(Q460="pass","No","Yes")</f>
        <v>No</v>
      </c>
      <c r="S460" s="3" t="s">
        <v>60</v>
      </c>
      <c r="T460" s="3"/>
      <c r="U460" s="3"/>
      <c r="V460" s="9" t="n">
        <v>42.337</v>
      </c>
    </row>
    <row r="461" customFormat="false" ht="15" hidden="false" customHeight="true" outlineLevel="0" collapsed="false">
      <c r="A461" s="3" t="n">
        <v>460</v>
      </c>
      <c r="B461" s="3" t="n">
        <v>10</v>
      </c>
      <c r="C461" s="3" t="s">
        <v>119</v>
      </c>
      <c r="D461" s="3" t="s">
        <v>120</v>
      </c>
      <c r="E461" s="3" t="s">
        <v>121</v>
      </c>
      <c r="F461" s="3" t="s">
        <v>122</v>
      </c>
      <c r="G461" s="3" t="s">
        <v>123</v>
      </c>
      <c r="H461" s="3" t="n">
        <v>2</v>
      </c>
      <c r="I461" s="3" t="n">
        <v>18</v>
      </c>
      <c r="J461" s="3" t="s">
        <v>714</v>
      </c>
      <c r="K461" s="8" t="n">
        <v>355000</v>
      </c>
      <c r="L461" s="8" t="n">
        <v>5000</v>
      </c>
      <c r="M461" s="8" t="n">
        <v>27000</v>
      </c>
      <c r="N461" s="8" t="n">
        <v>387000</v>
      </c>
      <c r="O461" s="3" t="s">
        <v>57</v>
      </c>
      <c r="P461" s="3" t="s">
        <v>58</v>
      </c>
      <c r="Q461" s="3" t="s">
        <v>69</v>
      </c>
      <c r="R461" s="3" t="str">
        <f aca="false">IF(Q461="pass","No","Yes")</f>
        <v>No</v>
      </c>
      <c r="S461" s="3" t="s">
        <v>60</v>
      </c>
      <c r="T461" s="3"/>
      <c r="U461" s="3"/>
      <c r="V461" s="9" t="n">
        <v>42.923</v>
      </c>
    </row>
    <row r="462" customFormat="false" ht="15" hidden="false" customHeight="true" outlineLevel="0" collapsed="false">
      <c r="A462" s="3" t="n">
        <v>461</v>
      </c>
      <c r="B462" s="3" t="n">
        <v>10</v>
      </c>
      <c r="C462" s="3" t="s">
        <v>237</v>
      </c>
      <c r="D462" s="3" t="s">
        <v>238</v>
      </c>
      <c r="E462" s="3" t="s">
        <v>239</v>
      </c>
      <c r="F462" s="3" t="s">
        <v>240</v>
      </c>
      <c r="G462" s="3" t="s">
        <v>116</v>
      </c>
      <c r="H462" s="3" t="n">
        <v>1</v>
      </c>
      <c r="I462" s="3" t="n">
        <v>10</v>
      </c>
      <c r="J462" s="3" t="s">
        <v>347</v>
      </c>
      <c r="K462" s="8" t="n">
        <v>310000</v>
      </c>
      <c r="L462" s="8" t="n">
        <v>15000</v>
      </c>
      <c r="M462" s="8" t="n">
        <v>24375</v>
      </c>
      <c r="N462" s="8" t="n">
        <v>349375</v>
      </c>
      <c r="O462" s="3" t="s">
        <v>224</v>
      </c>
      <c r="P462" s="3" t="s">
        <v>84</v>
      </c>
      <c r="Q462" s="3" t="s">
        <v>85</v>
      </c>
      <c r="R462" s="3" t="str">
        <f aca="false">IF(Q462="pass","No","Yes")</f>
        <v>Yes</v>
      </c>
      <c r="S462" s="3" t="s">
        <v>86</v>
      </c>
      <c r="T462" s="3" t="s">
        <v>149</v>
      </c>
      <c r="U462" s="3" t="s">
        <v>225</v>
      </c>
      <c r="V462" s="9" t="n">
        <v>24.98</v>
      </c>
    </row>
    <row r="463" customFormat="false" ht="15" hidden="false" customHeight="true" outlineLevel="0" collapsed="false">
      <c r="A463" s="3" t="n">
        <v>462</v>
      </c>
      <c r="B463" s="3" t="n">
        <v>10</v>
      </c>
      <c r="C463" s="3" t="s">
        <v>89</v>
      </c>
      <c r="D463" s="3" t="s">
        <v>90</v>
      </c>
      <c r="E463" s="3" t="s">
        <v>91</v>
      </c>
      <c r="F463" s="3" t="s">
        <v>92</v>
      </c>
      <c r="G463" s="3" t="s">
        <v>67</v>
      </c>
      <c r="H463" s="3" t="n">
        <v>3</v>
      </c>
      <c r="I463" s="3" t="n">
        <v>64</v>
      </c>
      <c r="J463" s="3" t="s">
        <v>715</v>
      </c>
      <c r="K463" s="8" t="n">
        <v>1119500</v>
      </c>
      <c r="L463" s="8" t="n">
        <v>4500</v>
      </c>
      <c r="M463" s="8" t="n">
        <v>84300</v>
      </c>
      <c r="N463" s="8" t="n">
        <v>1208300</v>
      </c>
      <c r="O463" s="3" t="s">
        <v>57</v>
      </c>
      <c r="P463" s="3" t="s">
        <v>58</v>
      </c>
      <c r="Q463" s="3" t="s">
        <v>69</v>
      </c>
      <c r="R463" s="3" t="str">
        <f aca="false">IF(Q463="pass","No","Yes")</f>
        <v>No</v>
      </c>
      <c r="S463" s="3" t="s">
        <v>60</v>
      </c>
      <c r="T463" s="3"/>
      <c r="U463" s="3"/>
      <c r="V463" s="9" t="n">
        <v>63.959</v>
      </c>
    </row>
    <row r="464" customFormat="false" ht="15" hidden="false" customHeight="true" outlineLevel="0" collapsed="false">
      <c r="A464" s="3" t="n">
        <v>463</v>
      </c>
      <c r="B464" s="3" t="n">
        <v>10</v>
      </c>
      <c r="C464" s="3" t="s">
        <v>77</v>
      </c>
      <c r="D464" s="3" t="s">
        <v>78</v>
      </c>
      <c r="E464" s="3" t="s">
        <v>79</v>
      </c>
      <c r="F464" s="3" t="s">
        <v>80</v>
      </c>
      <c r="G464" s="3" t="s">
        <v>81</v>
      </c>
      <c r="H464" s="3" t="n">
        <v>1</v>
      </c>
      <c r="I464" s="3" t="n">
        <v>210</v>
      </c>
      <c r="J464" s="3" t="s">
        <v>467</v>
      </c>
      <c r="K464" s="8" t="n">
        <v>1995000</v>
      </c>
      <c r="L464" s="8" t="n">
        <v>4000</v>
      </c>
      <c r="M464" s="8" t="n">
        <v>149925</v>
      </c>
      <c r="N464" s="8" t="n">
        <v>2148925</v>
      </c>
      <c r="O464" s="3" t="s">
        <v>110</v>
      </c>
      <c r="P464" s="3" t="s">
        <v>58</v>
      </c>
      <c r="Q464" s="3" t="s">
        <v>69</v>
      </c>
      <c r="R464" s="3" t="str">
        <f aca="false">IF(Q464="pass","No","Yes")</f>
        <v>No</v>
      </c>
      <c r="S464" s="3" t="s">
        <v>60</v>
      </c>
      <c r="T464" s="3"/>
      <c r="U464" s="3"/>
      <c r="V464" s="9" t="n">
        <v>46.822</v>
      </c>
    </row>
    <row r="465" customFormat="false" ht="15" hidden="false" customHeight="true" outlineLevel="0" collapsed="false">
      <c r="A465" s="3" t="n">
        <v>464</v>
      </c>
      <c r="B465" s="3" t="n">
        <v>10</v>
      </c>
      <c r="C465" s="3" t="s">
        <v>105</v>
      </c>
      <c r="D465" s="3" t="s">
        <v>106</v>
      </c>
      <c r="E465" s="3" t="s">
        <v>107</v>
      </c>
      <c r="F465" s="3" t="s">
        <v>108</v>
      </c>
      <c r="G465" s="3" t="s">
        <v>81</v>
      </c>
      <c r="H465" s="3" t="n">
        <v>3</v>
      </c>
      <c r="I465" s="3" t="n">
        <v>107</v>
      </c>
      <c r="J465" s="3" t="s">
        <v>716</v>
      </c>
      <c r="K465" s="8" t="n">
        <v>1853600</v>
      </c>
      <c r="L465" s="8" t="n">
        <v>4000</v>
      </c>
      <c r="M465" s="8" t="n">
        <v>139320</v>
      </c>
      <c r="N465" s="8" t="n">
        <v>1996920</v>
      </c>
      <c r="O465" s="3" t="s">
        <v>57</v>
      </c>
      <c r="P465" s="3" t="s">
        <v>58</v>
      </c>
      <c r="Q465" s="3" t="s">
        <v>69</v>
      </c>
      <c r="R465" s="3" t="str">
        <f aca="false">IF(Q465="pass","No","Yes")</f>
        <v>No</v>
      </c>
      <c r="S465" s="3" t="s">
        <v>60</v>
      </c>
      <c r="T465" s="3"/>
      <c r="U465" s="3"/>
      <c r="V465" s="9" t="n">
        <v>73.362</v>
      </c>
    </row>
    <row r="466" customFormat="false" ht="15" hidden="false" customHeight="true" outlineLevel="0" collapsed="false">
      <c r="A466" s="3" t="n">
        <v>465</v>
      </c>
      <c r="B466" s="3" t="n">
        <v>10</v>
      </c>
      <c r="C466" s="3" t="s">
        <v>198</v>
      </c>
      <c r="D466" s="3" t="s">
        <v>199</v>
      </c>
      <c r="E466" s="3" t="s">
        <v>200</v>
      </c>
      <c r="F466" s="3" t="s">
        <v>201</v>
      </c>
      <c r="G466" s="3" t="s">
        <v>81</v>
      </c>
      <c r="H466" s="3" t="n">
        <v>2</v>
      </c>
      <c r="I466" s="3" t="n">
        <v>10</v>
      </c>
      <c r="J466" s="3" t="s">
        <v>717</v>
      </c>
      <c r="K466" s="8" t="n">
        <v>424200</v>
      </c>
      <c r="L466" s="8" t="n">
        <v>4000</v>
      </c>
      <c r="M466" s="8" t="n">
        <v>32115</v>
      </c>
      <c r="N466" s="8" t="n">
        <v>460315</v>
      </c>
      <c r="O466" s="3" t="s">
        <v>57</v>
      </c>
      <c r="P466" s="3" t="s">
        <v>58</v>
      </c>
      <c r="Q466" s="3" t="s">
        <v>69</v>
      </c>
      <c r="R466" s="3" t="str">
        <f aca="false">IF(Q466="pass","No","Yes")</f>
        <v>No</v>
      </c>
      <c r="S466" s="3" t="s">
        <v>60</v>
      </c>
      <c r="T466" s="3"/>
      <c r="U466" s="3"/>
      <c r="V466" s="9" t="n">
        <v>43.388</v>
      </c>
    </row>
    <row r="467" customFormat="false" ht="15" hidden="false" customHeight="true" outlineLevel="0" collapsed="false">
      <c r="A467" s="3" t="n">
        <v>466</v>
      </c>
      <c r="B467" s="3" t="n">
        <v>10</v>
      </c>
      <c r="C467" s="3" t="s">
        <v>154</v>
      </c>
      <c r="D467" s="3" t="s">
        <v>155</v>
      </c>
      <c r="E467" s="3" t="s">
        <v>156</v>
      </c>
      <c r="F467" s="3" t="s">
        <v>157</v>
      </c>
      <c r="G467" s="3" t="s">
        <v>123</v>
      </c>
      <c r="H467" s="3" t="n">
        <v>2</v>
      </c>
      <c r="I467" s="3" t="n">
        <v>102</v>
      </c>
      <c r="J467" s="3" t="s">
        <v>718</v>
      </c>
      <c r="K467" s="8" t="n">
        <v>1317000</v>
      </c>
      <c r="L467" s="8" t="n">
        <v>5000</v>
      </c>
      <c r="M467" s="8" t="n">
        <v>99150</v>
      </c>
      <c r="N467" s="8" t="n">
        <v>1421150</v>
      </c>
      <c r="O467" s="3" t="s">
        <v>94</v>
      </c>
      <c r="P467" s="3" t="s">
        <v>84</v>
      </c>
      <c r="Q467" s="3" t="s">
        <v>85</v>
      </c>
      <c r="R467" s="3" t="str">
        <f aca="false">IF(Q467="pass","No","Yes")</f>
        <v>Yes</v>
      </c>
      <c r="S467" s="3" t="s">
        <v>86</v>
      </c>
      <c r="T467" s="3" t="s">
        <v>95</v>
      </c>
      <c r="U467" s="3" t="s">
        <v>719</v>
      </c>
      <c r="V467" s="9" t="n">
        <v>44.328</v>
      </c>
    </row>
    <row r="468" customFormat="false" ht="15" hidden="false" customHeight="true" outlineLevel="0" collapsed="false">
      <c r="A468" s="3" t="n">
        <v>467</v>
      </c>
      <c r="B468" s="3" t="n">
        <v>10</v>
      </c>
      <c r="C468" s="3" t="s">
        <v>166</v>
      </c>
      <c r="D468" s="3" t="s">
        <v>167</v>
      </c>
      <c r="E468" s="3" t="s">
        <v>168</v>
      </c>
      <c r="F468" s="3" t="s">
        <v>169</v>
      </c>
      <c r="G468" s="3" t="s">
        <v>74</v>
      </c>
      <c r="H468" s="3" t="n">
        <v>2</v>
      </c>
      <c r="I468" s="3" t="n">
        <v>53</v>
      </c>
      <c r="J468" s="3" t="s">
        <v>720</v>
      </c>
      <c r="K468" s="8" t="n">
        <v>1279000</v>
      </c>
      <c r="L468" s="8" t="n">
        <v>9000</v>
      </c>
      <c r="M468" s="8" t="n">
        <v>96600</v>
      </c>
      <c r="N468" s="8" t="n">
        <v>1384600</v>
      </c>
      <c r="O468" s="3" t="s">
        <v>57</v>
      </c>
      <c r="P468" s="3" t="s">
        <v>58</v>
      </c>
      <c r="Q468" s="3" t="s">
        <v>69</v>
      </c>
      <c r="R468" s="3" t="str">
        <f aca="false">IF(Q468="pass","No","Yes")</f>
        <v>No</v>
      </c>
      <c r="S468" s="3" t="s">
        <v>60</v>
      </c>
      <c r="T468" s="3"/>
      <c r="U468" s="3"/>
      <c r="V468" s="9" t="n">
        <v>43.987</v>
      </c>
    </row>
    <row r="469" customFormat="false" ht="15" hidden="false" customHeight="true" outlineLevel="0" collapsed="false">
      <c r="A469" s="3" t="n">
        <v>468</v>
      </c>
      <c r="B469" s="3" t="n">
        <v>10</v>
      </c>
      <c r="C469" s="3" t="s">
        <v>191</v>
      </c>
      <c r="D469" s="3" t="s">
        <v>192</v>
      </c>
      <c r="E469" s="3" t="s">
        <v>193</v>
      </c>
      <c r="F469" s="3" t="s">
        <v>194</v>
      </c>
      <c r="G469" s="3" t="s">
        <v>116</v>
      </c>
      <c r="H469" s="3" t="n">
        <v>2</v>
      </c>
      <c r="I469" s="3" t="n">
        <v>7</v>
      </c>
      <c r="J469" s="3" t="s">
        <v>721</v>
      </c>
      <c r="K469" s="8" t="n">
        <v>198200</v>
      </c>
      <c r="L469" s="8" t="n">
        <v>15000</v>
      </c>
      <c r="M469" s="8" t="n">
        <v>15990</v>
      </c>
      <c r="N469" s="8" t="n">
        <v>229190</v>
      </c>
      <c r="O469" s="3" t="s">
        <v>57</v>
      </c>
      <c r="P469" s="3" t="s">
        <v>58</v>
      </c>
      <c r="Q469" s="3" t="s">
        <v>69</v>
      </c>
      <c r="R469" s="3" t="str">
        <f aca="false">IF(Q469="pass","No","Yes")</f>
        <v>No</v>
      </c>
      <c r="S469" s="3" t="s">
        <v>60</v>
      </c>
      <c r="T469" s="3"/>
      <c r="U469" s="3"/>
      <c r="V469" s="9" t="n">
        <v>41.859</v>
      </c>
    </row>
    <row r="470" customFormat="false" ht="15" hidden="false" customHeight="true" outlineLevel="0" collapsed="false">
      <c r="A470" s="3" t="n">
        <v>469</v>
      </c>
      <c r="B470" s="3" t="n">
        <v>10</v>
      </c>
      <c r="C470" s="3" t="s">
        <v>237</v>
      </c>
      <c r="D470" s="3" t="s">
        <v>238</v>
      </c>
      <c r="E470" s="3" t="s">
        <v>239</v>
      </c>
      <c r="F470" s="3" t="s">
        <v>240</v>
      </c>
      <c r="G470" s="3" t="s">
        <v>116</v>
      </c>
      <c r="H470" s="3" t="n">
        <v>3</v>
      </c>
      <c r="I470" s="3" t="n">
        <v>288</v>
      </c>
      <c r="J470" s="3" t="s">
        <v>722</v>
      </c>
      <c r="K470" s="8" t="n">
        <v>2510600</v>
      </c>
      <c r="L470" s="8" t="n">
        <v>15000</v>
      </c>
      <c r="M470" s="8" t="n">
        <v>189420</v>
      </c>
      <c r="N470" s="8" t="n">
        <v>2715020</v>
      </c>
      <c r="O470" s="3" t="s">
        <v>57</v>
      </c>
      <c r="P470" s="3" t="s">
        <v>58</v>
      </c>
      <c r="Q470" s="3" t="s">
        <v>59</v>
      </c>
      <c r="R470" s="3" t="str">
        <f aca="false">IF(Q470="pass","No","Yes")</f>
        <v>Yes</v>
      </c>
      <c r="S470" s="3" t="s">
        <v>60</v>
      </c>
      <c r="T470" s="3" t="s">
        <v>61</v>
      </c>
      <c r="U470" s="3" t="s">
        <v>723</v>
      </c>
      <c r="V470" s="9" t="n">
        <v>100.981</v>
      </c>
    </row>
    <row r="471" customFormat="false" ht="15" hidden="false" customHeight="true" outlineLevel="0" collapsed="false">
      <c r="A471" s="3" t="n">
        <v>470</v>
      </c>
      <c r="B471" s="3" t="n">
        <v>10</v>
      </c>
      <c r="C471" s="3" t="s">
        <v>154</v>
      </c>
      <c r="D471" s="3" t="s">
        <v>155</v>
      </c>
      <c r="E471" s="3" t="s">
        <v>156</v>
      </c>
      <c r="F471" s="3" t="s">
        <v>157</v>
      </c>
      <c r="G471" s="3" t="s">
        <v>123</v>
      </c>
      <c r="H471" s="3" t="n">
        <v>3</v>
      </c>
      <c r="I471" s="3" t="n">
        <v>42</v>
      </c>
      <c r="J471" s="3" t="s">
        <v>724</v>
      </c>
      <c r="K471" s="8" t="n">
        <v>877500</v>
      </c>
      <c r="L471" s="8" t="n">
        <v>5000</v>
      </c>
      <c r="M471" s="8" t="n">
        <v>66187.5</v>
      </c>
      <c r="N471" s="8" t="n">
        <v>948687.5</v>
      </c>
      <c r="O471" s="3" t="s">
        <v>57</v>
      </c>
      <c r="P471" s="3" t="s">
        <v>58</v>
      </c>
      <c r="Q471" s="3" t="s">
        <v>69</v>
      </c>
      <c r="R471" s="3" t="str">
        <f aca="false">IF(Q471="pass","No","Yes")</f>
        <v>No</v>
      </c>
      <c r="S471" s="3" t="s">
        <v>60</v>
      </c>
      <c r="T471" s="3"/>
      <c r="U471" s="3"/>
      <c r="V471" s="9" t="n">
        <v>83.272</v>
      </c>
    </row>
    <row r="472" customFormat="false" ht="15" hidden="false" customHeight="true" outlineLevel="0" collapsed="false">
      <c r="A472" s="3" t="n">
        <v>471</v>
      </c>
      <c r="B472" s="3" t="n">
        <v>10</v>
      </c>
      <c r="C472" s="3" t="s">
        <v>119</v>
      </c>
      <c r="D472" s="3" t="s">
        <v>120</v>
      </c>
      <c r="E472" s="3" t="s">
        <v>121</v>
      </c>
      <c r="F472" s="3" t="s">
        <v>122</v>
      </c>
      <c r="G472" s="3" t="s">
        <v>123</v>
      </c>
      <c r="H472" s="3" t="n">
        <v>1</v>
      </c>
      <c r="I472" s="3" t="n">
        <v>52</v>
      </c>
      <c r="J472" s="3" t="s">
        <v>725</v>
      </c>
      <c r="K472" s="8" t="n">
        <v>613600</v>
      </c>
      <c r="L472" s="8" t="n">
        <v>5000</v>
      </c>
      <c r="M472" s="8" t="n">
        <v>46395</v>
      </c>
      <c r="N472" s="8" t="n">
        <v>664995</v>
      </c>
      <c r="O472" s="3" t="s">
        <v>57</v>
      </c>
      <c r="P472" s="3" t="s">
        <v>58</v>
      </c>
      <c r="Q472" s="3" t="s">
        <v>69</v>
      </c>
      <c r="R472" s="3" t="str">
        <f aca="false">IF(Q472="pass","No","Yes")</f>
        <v>No</v>
      </c>
      <c r="S472" s="3" t="s">
        <v>60</v>
      </c>
      <c r="T472" s="3"/>
      <c r="U472" s="3"/>
      <c r="V472" s="9" t="n">
        <v>27.981</v>
      </c>
    </row>
    <row r="473" customFormat="false" ht="15" hidden="false" customHeight="true" outlineLevel="0" collapsed="false">
      <c r="A473" s="3" t="n">
        <v>472</v>
      </c>
      <c r="B473" s="3" t="n">
        <v>10</v>
      </c>
      <c r="C473" s="3" t="s">
        <v>51</v>
      </c>
      <c r="D473" s="3" t="s">
        <v>52</v>
      </c>
      <c r="E473" s="3" t="s">
        <v>53</v>
      </c>
      <c r="F473" s="3" t="s">
        <v>54</v>
      </c>
      <c r="G473" s="3" t="s">
        <v>55</v>
      </c>
      <c r="H473" s="3" t="n">
        <v>1</v>
      </c>
      <c r="I473" s="3" t="n">
        <v>33</v>
      </c>
      <c r="J473" s="3" t="s">
        <v>726</v>
      </c>
      <c r="K473" s="8" t="n">
        <v>237600</v>
      </c>
      <c r="L473" s="8" t="n">
        <v>6000</v>
      </c>
      <c r="M473" s="8" t="n">
        <v>18270</v>
      </c>
      <c r="N473" s="8" t="n">
        <v>261870</v>
      </c>
      <c r="O473" s="3" t="s">
        <v>152</v>
      </c>
      <c r="P473" s="3" t="s">
        <v>84</v>
      </c>
      <c r="Q473" s="3" t="s">
        <v>85</v>
      </c>
      <c r="R473" s="3" t="str">
        <f aca="false">IF(Q473="pass","No","Yes")</f>
        <v>Yes</v>
      </c>
      <c r="S473" s="3" t="s">
        <v>86</v>
      </c>
      <c r="T473" s="3" t="s">
        <v>87</v>
      </c>
      <c r="U473" s="3" t="s">
        <v>262</v>
      </c>
      <c r="V473" s="9" t="n">
        <v>43.735</v>
      </c>
    </row>
    <row r="474" customFormat="false" ht="15" hidden="false" customHeight="true" outlineLevel="0" collapsed="false">
      <c r="A474" s="3" t="n">
        <v>473</v>
      </c>
      <c r="B474" s="3" t="n">
        <v>10</v>
      </c>
      <c r="C474" s="3" t="s">
        <v>77</v>
      </c>
      <c r="D474" s="3" t="s">
        <v>78</v>
      </c>
      <c r="E474" s="3" t="s">
        <v>79</v>
      </c>
      <c r="F474" s="3" t="s">
        <v>80</v>
      </c>
      <c r="G474" s="3" t="s">
        <v>81</v>
      </c>
      <c r="H474" s="3" t="n">
        <v>2</v>
      </c>
      <c r="I474" s="3" t="n">
        <v>126</v>
      </c>
      <c r="J474" s="3" t="s">
        <v>727</v>
      </c>
      <c r="K474" s="8" t="n">
        <v>1166900</v>
      </c>
      <c r="L474" s="8" t="n">
        <v>4000</v>
      </c>
      <c r="M474" s="8" t="n">
        <v>87817.5</v>
      </c>
      <c r="N474" s="8" t="n">
        <v>1258717.5</v>
      </c>
      <c r="O474" s="3" t="s">
        <v>152</v>
      </c>
      <c r="P474" s="3" t="s">
        <v>84</v>
      </c>
      <c r="Q474" s="3" t="s">
        <v>85</v>
      </c>
      <c r="R474" s="3" t="str">
        <f aca="false">IF(Q474="pass","No","Yes")</f>
        <v>Yes</v>
      </c>
      <c r="S474" s="3" t="s">
        <v>86</v>
      </c>
      <c r="T474" s="3" t="s">
        <v>183</v>
      </c>
      <c r="U474" s="3" t="s">
        <v>728</v>
      </c>
      <c r="V474" s="9" t="n">
        <v>76.515</v>
      </c>
    </row>
    <row r="475" customFormat="false" ht="15" hidden="false" customHeight="true" outlineLevel="0" collapsed="false">
      <c r="A475" s="3" t="n">
        <v>474</v>
      </c>
      <c r="B475" s="3" t="n">
        <v>10</v>
      </c>
      <c r="C475" s="3" t="s">
        <v>100</v>
      </c>
      <c r="D475" s="3" t="s">
        <v>101</v>
      </c>
      <c r="E475" s="3" t="s">
        <v>102</v>
      </c>
      <c r="F475" s="3" t="s">
        <v>103</v>
      </c>
      <c r="G475" s="3" t="s">
        <v>67</v>
      </c>
      <c r="H475" s="3" t="n">
        <v>2</v>
      </c>
      <c r="I475" s="3" t="n">
        <v>64</v>
      </c>
      <c r="J475" s="3" t="s">
        <v>729</v>
      </c>
      <c r="K475" s="8" t="n">
        <v>774400</v>
      </c>
      <c r="L475" s="8" t="n">
        <v>4500</v>
      </c>
      <c r="M475" s="8" t="n">
        <v>58417.5</v>
      </c>
      <c r="N475" s="8" t="n">
        <v>837317.5</v>
      </c>
      <c r="O475" s="3" t="s">
        <v>57</v>
      </c>
      <c r="P475" s="3" t="s">
        <v>58</v>
      </c>
      <c r="Q475" s="3" t="s">
        <v>69</v>
      </c>
      <c r="R475" s="3" t="str">
        <f aca="false">IF(Q475="pass","No","Yes")</f>
        <v>No</v>
      </c>
      <c r="S475" s="3" t="s">
        <v>60</v>
      </c>
      <c r="T475" s="3"/>
      <c r="U475" s="3"/>
      <c r="V475" s="9" t="n">
        <v>48.061</v>
      </c>
    </row>
    <row r="476" customFormat="false" ht="15" hidden="false" customHeight="true" outlineLevel="0" collapsed="false">
      <c r="A476" s="3" t="n">
        <v>475</v>
      </c>
      <c r="B476" s="3" t="n">
        <v>10</v>
      </c>
      <c r="C476" s="3" t="s">
        <v>119</v>
      </c>
      <c r="D476" s="3" t="s">
        <v>120</v>
      </c>
      <c r="E476" s="3" t="s">
        <v>121</v>
      </c>
      <c r="F476" s="3" t="s">
        <v>122</v>
      </c>
      <c r="G476" s="3" t="s">
        <v>123</v>
      </c>
      <c r="H476" s="3" t="n">
        <v>3</v>
      </c>
      <c r="I476" s="3" t="n">
        <v>198</v>
      </c>
      <c r="J476" s="3" t="s">
        <v>730</v>
      </c>
      <c r="K476" s="8" t="n">
        <v>1936900</v>
      </c>
      <c r="L476" s="8" t="n">
        <v>5000</v>
      </c>
      <c r="M476" s="8" t="n">
        <v>145642.5</v>
      </c>
      <c r="N476" s="8" t="n">
        <v>2087542.5</v>
      </c>
      <c r="O476" s="3" t="s">
        <v>118</v>
      </c>
      <c r="P476" s="3" t="s">
        <v>58</v>
      </c>
      <c r="Q476" s="3" t="s">
        <v>69</v>
      </c>
      <c r="R476" s="3" t="str">
        <f aca="false">IF(Q476="pass","No","Yes")</f>
        <v>No</v>
      </c>
      <c r="S476" s="3" t="s">
        <v>60</v>
      </c>
      <c r="T476" s="3"/>
      <c r="U476" s="3"/>
      <c r="V476" s="9" t="n">
        <v>84.954</v>
      </c>
    </row>
    <row r="477" customFormat="false" ht="15" hidden="false" customHeight="true" outlineLevel="0" collapsed="false">
      <c r="A477" s="3" t="n">
        <v>476</v>
      </c>
      <c r="B477" s="3" t="n">
        <v>10</v>
      </c>
      <c r="C477" s="3" t="s">
        <v>137</v>
      </c>
      <c r="D477" s="3" t="s">
        <v>138</v>
      </c>
      <c r="E477" s="3" t="s">
        <v>139</v>
      </c>
      <c r="F477" s="3" t="s">
        <v>140</v>
      </c>
      <c r="G477" s="3" t="s">
        <v>55</v>
      </c>
      <c r="H477" s="3" t="n">
        <v>3</v>
      </c>
      <c r="I477" s="3" t="n">
        <v>38</v>
      </c>
      <c r="J477" s="3" t="s">
        <v>731</v>
      </c>
      <c r="K477" s="8" t="n">
        <v>596200</v>
      </c>
      <c r="L477" s="8" t="n">
        <v>6000</v>
      </c>
      <c r="M477" s="8" t="n">
        <v>45165</v>
      </c>
      <c r="N477" s="8" t="n">
        <v>647365</v>
      </c>
      <c r="O477" s="3" t="s">
        <v>57</v>
      </c>
      <c r="P477" s="3" t="s">
        <v>58</v>
      </c>
      <c r="Q477" s="3" t="s">
        <v>69</v>
      </c>
      <c r="R477" s="3" t="str">
        <f aca="false">IF(Q477="pass","No","Yes")</f>
        <v>No</v>
      </c>
      <c r="S477" s="3" t="s">
        <v>60</v>
      </c>
      <c r="T477" s="3"/>
      <c r="U477" s="3"/>
      <c r="V477" s="9" t="n">
        <v>64.866</v>
      </c>
    </row>
    <row r="478" customFormat="false" ht="15" hidden="false" customHeight="true" outlineLevel="0" collapsed="false">
      <c r="A478" s="3" t="n">
        <v>477</v>
      </c>
      <c r="B478" s="3" t="n">
        <v>10</v>
      </c>
      <c r="C478" s="3" t="s">
        <v>237</v>
      </c>
      <c r="D478" s="3" t="s">
        <v>238</v>
      </c>
      <c r="E478" s="3" t="s">
        <v>239</v>
      </c>
      <c r="F478" s="3" t="s">
        <v>240</v>
      </c>
      <c r="G478" s="3" t="s">
        <v>116</v>
      </c>
      <c r="H478" s="3" t="n">
        <v>4</v>
      </c>
      <c r="I478" s="3" t="n">
        <v>53</v>
      </c>
      <c r="J478" s="3" t="s">
        <v>732</v>
      </c>
      <c r="K478" s="8" t="n">
        <v>1619500</v>
      </c>
      <c r="L478" s="8" t="n">
        <v>15000</v>
      </c>
      <c r="M478" s="8" t="n">
        <v>122587.5</v>
      </c>
      <c r="N478" s="8" t="n">
        <v>1757087.5</v>
      </c>
      <c r="O478" s="3" t="s">
        <v>132</v>
      </c>
      <c r="P478" s="3" t="s">
        <v>84</v>
      </c>
      <c r="Q478" s="3" t="s">
        <v>85</v>
      </c>
      <c r="R478" s="3" t="str">
        <f aca="false">IF(Q478="pass","No","Yes")</f>
        <v>Yes</v>
      </c>
      <c r="S478" s="3" t="s">
        <v>86</v>
      </c>
      <c r="T478" s="3" t="s">
        <v>133</v>
      </c>
      <c r="U478" s="3" t="s">
        <v>134</v>
      </c>
      <c r="V478" s="9" t="n">
        <v>68.788</v>
      </c>
    </row>
    <row r="479" customFormat="false" ht="15" hidden="false" customHeight="true" outlineLevel="0" collapsed="false">
      <c r="A479" s="3" t="n">
        <v>478</v>
      </c>
      <c r="B479" s="3" t="n">
        <v>10</v>
      </c>
      <c r="C479" s="3" t="s">
        <v>177</v>
      </c>
      <c r="D479" s="3" t="s">
        <v>178</v>
      </c>
      <c r="E479" s="3" t="s">
        <v>179</v>
      </c>
      <c r="F479" s="3" t="s">
        <v>180</v>
      </c>
      <c r="G479" s="3" t="s">
        <v>81</v>
      </c>
      <c r="H479" s="3" t="n">
        <v>2</v>
      </c>
      <c r="I479" s="3" t="n">
        <v>58</v>
      </c>
      <c r="J479" s="3" t="s">
        <v>733</v>
      </c>
      <c r="K479" s="8" t="n">
        <v>792800</v>
      </c>
      <c r="L479" s="8" t="n">
        <v>4000</v>
      </c>
      <c r="M479" s="8" t="n">
        <v>59760</v>
      </c>
      <c r="N479" s="8" t="n">
        <v>856560</v>
      </c>
      <c r="O479" s="3" t="s">
        <v>57</v>
      </c>
      <c r="P479" s="3" t="s">
        <v>58</v>
      </c>
      <c r="Q479" s="3" t="s">
        <v>69</v>
      </c>
      <c r="R479" s="3" t="str">
        <f aca="false">IF(Q479="pass","No","Yes")</f>
        <v>No</v>
      </c>
      <c r="S479" s="3" t="s">
        <v>60</v>
      </c>
      <c r="T479" s="3"/>
      <c r="U479" s="3"/>
      <c r="V479" s="9" t="n">
        <v>45.162</v>
      </c>
    </row>
    <row r="480" customFormat="false" ht="15" hidden="false" customHeight="true" outlineLevel="0" collapsed="false">
      <c r="A480" s="3" t="n">
        <v>479</v>
      </c>
      <c r="B480" s="3" t="n">
        <v>10</v>
      </c>
      <c r="C480" s="3" t="s">
        <v>198</v>
      </c>
      <c r="D480" s="3" t="s">
        <v>199</v>
      </c>
      <c r="E480" s="3" t="s">
        <v>200</v>
      </c>
      <c r="F480" s="3" t="s">
        <v>201</v>
      </c>
      <c r="G480" s="3" t="s">
        <v>81</v>
      </c>
      <c r="H480" s="3" t="n">
        <v>1</v>
      </c>
      <c r="I480" s="3" t="n">
        <v>12</v>
      </c>
      <c r="J480" s="3" t="s">
        <v>734</v>
      </c>
      <c r="K480" s="8" t="n">
        <v>103200</v>
      </c>
      <c r="L480" s="8" t="n">
        <v>4000</v>
      </c>
      <c r="M480" s="8" t="n">
        <v>8040</v>
      </c>
      <c r="N480" s="8" t="n">
        <v>115240</v>
      </c>
      <c r="O480" s="3" t="s">
        <v>76</v>
      </c>
      <c r="P480" s="3" t="s">
        <v>58</v>
      </c>
      <c r="Q480" s="3" t="s">
        <v>69</v>
      </c>
      <c r="R480" s="3" t="str">
        <f aca="false">IF(Q480="pass","No","Yes")</f>
        <v>No</v>
      </c>
      <c r="S480" s="3" t="s">
        <v>60</v>
      </c>
      <c r="T480" s="3"/>
      <c r="U480" s="3"/>
      <c r="V480" s="9" t="n">
        <v>28.023</v>
      </c>
    </row>
    <row r="481" customFormat="false" ht="15" hidden="false" customHeight="true" outlineLevel="0" collapsed="false">
      <c r="A481" s="3" t="n">
        <v>480</v>
      </c>
      <c r="B481" s="3" t="n">
        <v>10</v>
      </c>
      <c r="C481" s="3" t="s">
        <v>191</v>
      </c>
      <c r="D481" s="3" t="s">
        <v>192</v>
      </c>
      <c r="E481" s="3" t="s">
        <v>193</v>
      </c>
      <c r="F481" s="3" t="s">
        <v>194</v>
      </c>
      <c r="G481" s="3" t="s">
        <v>116</v>
      </c>
      <c r="H481" s="3" t="n">
        <v>1</v>
      </c>
      <c r="I481" s="3" t="n">
        <v>58</v>
      </c>
      <c r="J481" s="3" t="s">
        <v>735</v>
      </c>
      <c r="K481" s="8" t="n">
        <v>498800</v>
      </c>
      <c r="L481" s="8" t="n">
        <v>15000</v>
      </c>
      <c r="M481" s="8" t="n">
        <v>38535</v>
      </c>
      <c r="N481" s="8" t="n">
        <v>552335</v>
      </c>
      <c r="O481" s="3" t="s">
        <v>57</v>
      </c>
      <c r="P481" s="3" t="s">
        <v>58</v>
      </c>
      <c r="Q481" s="3" t="s">
        <v>69</v>
      </c>
      <c r="R481" s="3" t="str">
        <f aca="false">IF(Q481="pass","No","Yes")</f>
        <v>No</v>
      </c>
      <c r="S481" s="3" t="s">
        <v>60</v>
      </c>
      <c r="T481" s="3"/>
      <c r="U481" s="3"/>
      <c r="V481" s="9" t="n">
        <v>27.939</v>
      </c>
    </row>
    <row r="482" customFormat="false" ht="15" hidden="false" customHeight="true" outlineLevel="0" collapsed="false">
      <c r="A482" s="3" t="n">
        <v>481</v>
      </c>
      <c r="B482" s="3" t="n">
        <v>10</v>
      </c>
      <c r="C482" s="3" t="s">
        <v>186</v>
      </c>
      <c r="D482" s="3" t="s">
        <v>187</v>
      </c>
      <c r="E482" s="3" t="s">
        <v>188</v>
      </c>
      <c r="F482" s="3" t="s">
        <v>189</v>
      </c>
      <c r="G482" s="3" t="s">
        <v>123</v>
      </c>
      <c r="H482" s="3" t="n">
        <v>3</v>
      </c>
      <c r="I482" s="3" t="n">
        <v>96</v>
      </c>
      <c r="J482" s="3" t="s">
        <v>736</v>
      </c>
      <c r="K482" s="8" t="n">
        <v>1206000</v>
      </c>
      <c r="L482" s="8" t="n">
        <v>5000</v>
      </c>
      <c r="M482" s="8" t="n">
        <v>90825</v>
      </c>
      <c r="N482" s="8" t="n">
        <v>1301825</v>
      </c>
      <c r="O482" s="3" t="s">
        <v>57</v>
      </c>
      <c r="P482" s="3" t="s">
        <v>58</v>
      </c>
      <c r="Q482" s="3" t="s">
        <v>69</v>
      </c>
      <c r="R482" s="3" t="str">
        <f aca="false">IF(Q482="pass","No","Yes")</f>
        <v>No</v>
      </c>
      <c r="S482" s="3" t="s">
        <v>60</v>
      </c>
      <c r="T482" s="3"/>
      <c r="U482" s="3"/>
      <c r="V482" s="9" t="n">
        <v>68.951</v>
      </c>
    </row>
    <row r="483" customFormat="false" ht="15" hidden="false" customHeight="true" outlineLevel="0" collapsed="false">
      <c r="A483" s="3" t="n">
        <v>482</v>
      </c>
      <c r="B483" s="3" t="n">
        <v>10</v>
      </c>
      <c r="C483" s="3" t="s">
        <v>237</v>
      </c>
      <c r="D483" s="3" t="s">
        <v>238</v>
      </c>
      <c r="E483" s="3" t="s">
        <v>239</v>
      </c>
      <c r="F483" s="3" t="s">
        <v>240</v>
      </c>
      <c r="G483" s="3" t="s">
        <v>116</v>
      </c>
      <c r="H483" s="3" t="n">
        <v>2</v>
      </c>
      <c r="I483" s="3" t="n">
        <v>588</v>
      </c>
      <c r="J483" s="3" t="s">
        <v>737</v>
      </c>
      <c r="K483" s="8" t="n">
        <v>4227400</v>
      </c>
      <c r="L483" s="8" t="n">
        <v>15000</v>
      </c>
      <c r="M483" s="8" t="n">
        <v>318180</v>
      </c>
      <c r="N483" s="8" t="n">
        <v>4560580</v>
      </c>
      <c r="O483" s="3" t="s">
        <v>171</v>
      </c>
      <c r="P483" s="3" t="s">
        <v>84</v>
      </c>
      <c r="Q483" s="3" t="s">
        <v>85</v>
      </c>
      <c r="R483" s="3" t="str">
        <f aca="false">IF(Q483="pass","No","Yes")</f>
        <v>Yes</v>
      </c>
      <c r="S483" s="3" t="s">
        <v>86</v>
      </c>
      <c r="T483" s="3" t="s">
        <v>172</v>
      </c>
      <c r="U483" s="3" t="s">
        <v>738</v>
      </c>
      <c r="V483" s="9" t="n">
        <v>72.549</v>
      </c>
    </row>
    <row r="484" customFormat="false" ht="15" hidden="false" customHeight="true" outlineLevel="0" collapsed="false">
      <c r="A484" s="3" t="n">
        <v>483</v>
      </c>
      <c r="B484" s="3" t="n">
        <v>10</v>
      </c>
      <c r="C484" s="3" t="s">
        <v>166</v>
      </c>
      <c r="D484" s="3" t="s">
        <v>167</v>
      </c>
      <c r="E484" s="3" t="s">
        <v>168</v>
      </c>
      <c r="F484" s="3" t="s">
        <v>169</v>
      </c>
      <c r="G484" s="3" t="s">
        <v>74</v>
      </c>
      <c r="H484" s="3" t="n">
        <v>3</v>
      </c>
      <c r="I484" s="3" t="n">
        <v>128</v>
      </c>
      <c r="J484" s="3" t="s">
        <v>739</v>
      </c>
      <c r="K484" s="8" t="n">
        <v>1247700</v>
      </c>
      <c r="L484" s="8" t="n">
        <v>9000</v>
      </c>
      <c r="M484" s="8" t="n">
        <v>94252.5</v>
      </c>
      <c r="N484" s="8" t="n">
        <v>1350952.5</v>
      </c>
      <c r="O484" s="3" t="s">
        <v>57</v>
      </c>
      <c r="P484" s="3" t="s">
        <v>58</v>
      </c>
      <c r="Q484" s="3" t="s">
        <v>69</v>
      </c>
      <c r="R484" s="3" t="str">
        <f aca="false">IF(Q484="pass","No","Yes")</f>
        <v>No</v>
      </c>
      <c r="S484" s="3" t="s">
        <v>60</v>
      </c>
      <c r="T484" s="3"/>
      <c r="U484" s="3"/>
      <c r="V484" s="9" t="n">
        <v>86.044</v>
      </c>
    </row>
    <row r="485" customFormat="false" ht="15" hidden="false" customHeight="true" outlineLevel="0" collapsed="false">
      <c r="A485" s="3" t="n">
        <v>484</v>
      </c>
      <c r="B485" s="3" t="n">
        <v>10</v>
      </c>
      <c r="C485" s="3" t="s">
        <v>51</v>
      </c>
      <c r="D485" s="3" t="s">
        <v>52</v>
      </c>
      <c r="E485" s="3" t="s">
        <v>53</v>
      </c>
      <c r="F485" s="3" t="s">
        <v>54</v>
      </c>
      <c r="G485" s="3" t="s">
        <v>55</v>
      </c>
      <c r="H485" s="3" t="n">
        <v>4</v>
      </c>
      <c r="I485" s="3" t="n">
        <v>116</v>
      </c>
      <c r="J485" s="3" t="s">
        <v>740</v>
      </c>
      <c r="K485" s="8" t="n">
        <v>1571700</v>
      </c>
      <c r="L485" s="8" t="n">
        <v>6000</v>
      </c>
      <c r="M485" s="8" t="n">
        <v>118327.5</v>
      </c>
      <c r="N485" s="8" t="n">
        <v>1696027.5</v>
      </c>
      <c r="O485" s="3" t="s">
        <v>132</v>
      </c>
      <c r="P485" s="3" t="s">
        <v>84</v>
      </c>
      <c r="Q485" s="3" t="s">
        <v>85</v>
      </c>
      <c r="R485" s="3" t="str">
        <f aca="false">IF(Q485="pass","No","Yes")</f>
        <v>Yes</v>
      </c>
      <c r="S485" s="3" t="s">
        <v>86</v>
      </c>
      <c r="T485" s="3" t="s">
        <v>133</v>
      </c>
      <c r="U485" s="3" t="s">
        <v>134</v>
      </c>
      <c r="V485" s="9" t="n">
        <v>89.181</v>
      </c>
    </row>
    <row r="486" customFormat="false" ht="15" hidden="false" customHeight="true" outlineLevel="0" collapsed="false">
      <c r="A486" s="3" t="n">
        <v>485</v>
      </c>
      <c r="B486" s="3" t="n">
        <v>10</v>
      </c>
      <c r="C486" s="3" t="s">
        <v>89</v>
      </c>
      <c r="D486" s="3" t="s">
        <v>90</v>
      </c>
      <c r="E486" s="3" t="s">
        <v>91</v>
      </c>
      <c r="F486" s="3" t="s">
        <v>92</v>
      </c>
      <c r="G486" s="3" t="s">
        <v>67</v>
      </c>
      <c r="H486" s="3" t="n">
        <v>2</v>
      </c>
      <c r="I486" s="3" t="n">
        <v>8</v>
      </c>
      <c r="J486" s="3" t="s">
        <v>741</v>
      </c>
      <c r="K486" s="8" t="n">
        <v>402000</v>
      </c>
      <c r="L486" s="8" t="n">
        <v>4500</v>
      </c>
      <c r="M486" s="8" t="n">
        <v>30487.5</v>
      </c>
      <c r="N486" s="8" t="n">
        <v>436987.5</v>
      </c>
      <c r="O486" s="3" t="s">
        <v>132</v>
      </c>
      <c r="P486" s="3" t="s">
        <v>84</v>
      </c>
      <c r="Q486" s="3" t="s">
        <v>85</v>
      </c>
      <c r="R486" s="3" t="str">
        <f aca="false">IF(Q486="pass","No","Yes")</f>
        <v>Yes</v>
      </c>
      <c r="S486" s="3" t="s">
        <v>86</v>
      </c>
      <c r="T486" s="3" t="s">
        <v>133</v>
      </c>
      <c r="U486" s="3" t="s">
        <v>134</v>
      </c>
      <c r="V486" s="9" t="n">
        <v>34.012</v>
      </c>
    </row>
    <row r="487" customFormat="false" ht="15" hidden="false" customHeight="true" outlineLevel="0" collapsed="false">
      <c r="A487" s="3" t="n">
        <v>486</v>
      </c>
      <c r="B487" s="3" t="n">
        <v>10</v>
      </c>
      <c r="C487" s="3" t="s">
        <v>100</v>
      </c>
      <c r="D487" s="3" t="s">
        <v>101</v>
      </c>
      <c r="E487" s="3" t="s">
        <v>102</v>
      </c>
      <c r="F487" s="3" t="s">
        <v>103</v>
      </c>
      <c r="G487" s="3" t="s">
        <v>67</v>
      </c>
      <c r="H487" s="3" t="n">
        <v>2</v>
      </c>
      <c r="I487" s="3" t="n">
        <v>21</v>
      </c>
      <c r="J487" s="3" t="s">
        <v>742</v>
      </c>
      <c r="K487" s="8" t="n">
        <v>357000</v>
      </c>
      <c r="L487" s="8" t="n">
        <v>4500</v>
      </c>
      <c r="M487" s="8" t="n">
        <v>27112.5</v>
      </c>
      <c r="N487" s="8" t="n">
        <v>388612.5</v>
      </c>
      <c r="O487" s="3" t="s">
        <v>132</v>
      </c>
      <c r="P487" s="3" t="s">
        <v>84</v>
      </c>
      <c r="Q487" s="3" t="s">
        <v>85</v>
      </c>
      <c r="R487" s="3" t="str">
        <f aca="false">IF(Q487="pass","No","Yes")</f>
        <v>Yes</v>
      </c>
      <c r="S487" s="3" t="s">
        <v>86</v>
      </c>
      <c r="T487" s="3" t="s">
        <v>133</v>
      </c>
      <c r="U487" s="3" t="s">
        <v>134</v>
      </c>
      <c r="V487" s="9" t="n">
        <v>34.384</v>
      </c>
    </row>
    <row r="488" customFormat="false" ht="15" hidden="false" customHeight="true" outlineLevel="0" collapsed="false">
      <c r="A488" s="3" t="n">
        <v>487</v>
      </c>
      <c r="B488" s="3" t="n">
        <v>10</v>
      </c>
      <c r="C488" s="3" t="s">
        <v>177</v>
      </c>
      <c r="D488" s="3" t="s">
        <v>178</v>
      </c>
      <c r="E488" s="3" t="s">
        <v>179</v>
      </c>
      <c r="F488" s="3" t="s">
        <v>180</v>
      </c>
      <c r="G488" s="3" t="s">
        <v>81</v>
      </c>
      <c r="H488" s="3" t="n">
        <v>2</v>
      </c>
      <c r="I488" s="3" t="n">
        <v>70</v>
      </c>
      <c r="J488" s="3" t="s">
        <v>743</v>
      </c>
      <c r="K488" s="8" t="n">
        <v>663200</v>
      </c>
      <c r="L488" s="8" t="n">
        <v>4000</v>
      </c>
      <c r="M488" s="8" t="n">
        <v>50040</v>
      </c>
      <c r="N488" s="8" t="n">
        <v>717240</v>
      </c>
      <c r="O488" s="3" t="s">
        <v>224</v>
      </c>
      <c r="P488" s="3" t="s">
        <v>84</v>
      </c>
      <c r="Q488" s="3" t="s">
        <v>85</v>
      </c>
      <c r="R488" s="3" t="str">
        <f aca="false">IF(Q488="pass","No","Yes")</f>
        <v>Yes</v>
      </c>
      <c r="S488" s="3" t="s">
        <v>86</v>
      </c>
      <c r="T488" s="3" t="s">
        <v>149</v>
      </c>
      <c r="U488" s="3" t="s">
        <v>225</v>
      </c>
      <c r="V488" s="9" t="n">
        <v>70.08</v>
      </c>
    </row>
    <row r="489" customFormat="false" ht="15" hidden="false" customHeight="true" outlineLevel="0" collapsed="false">
      <c r="A489" s="3" t="n">
        <v>488</v>
      </c>
      <c r="B489" s="3" t="n">
        <v>10</v>
      </c>
      <c r="C489" s="3" t="s">
        <v>154</v>
      </c>
      <c r="D489" s="3" t="s">
        <v>155</v>
      </c>
      <c r="E489" s="3" t="s">
        <v>156</v>
      </c>
      <c r="F489" s="3" t="s">
        <v>157</v>
      </c>
      <c r="G489" s="3" t="s">
        <v>123</v>
      </c>
      <c r="H489" s="3" t="n">
        <v>2</v>
      </c>
      <c r="I489" s="3" t="n">
        <v>1549</v>
      </c>
      <c r="J489" s="3" t="s">
        <v>744</v>
      </c>
      <c r="K489" s="8" t="n">
        <v>11208000</v>
      </c>
      <c r="L489" s="8" t="n">
        <v>5000</v>
      </c>
      <c r="M489" s="8" t="n">
        <v>840975</v>
      </c>
      <c r="N489" s="8" t="n">
        <v>12053975</v>
      </c>
      <c r="O489" s="3" t="s">
        <v>159</v>
      </c>
      <c r="P489" s="3" t="s">
        <v>84</v>
      </c>
      <c r="Q489" s="3" t="s">
        <v>85</v>
      </c>
      <c r="R489" s="3" t="str">
        <f aca="false">IF(Q489="pass","No","Yes")</f>
        <v>Yes</v>
      </c>
      <c r="S489" s="3" t="s">
        <v>86</v>
      </c>
      <c r="T489" s="3" t="s">
        <v>229</v>
      </c>
      <c r="U489" s="3" t="s">
        <v>745</v>
      </c>
      <c r="V489" s="9" t="n">
        <v>67.206</v>
      </c>
    </row>
    <row r="490" customFormat="false" ht="15" hidden="false" customHeight="true" outlineLevel="0" collapsed="false">
      <c r="A490" s="3" t="n">
        <v>489</v>
      </c>
      <c r="B490" s="3" t="n">
        <v>10</v>
      </c>
      <c r="C490" s="3" t="s">
        <v>119</v>
      </c>
      <c r="D490" s="3" t="s">
        <v>120</v>
      </c>
      <c r="E490" s="3" t="s">
        <v>121</v>
      </c>
      <c r="F490" s="3" t="s">
        <v>122</v>
      </c>
      <c r="G490" s="3" t="s">
        <v>123</v>
      </c>
      <c r="H490" s="3" t="n">
        <v>1</v>
      </c>
      <c r="I490" s="3" t="n">
        <v>119</v>
      </c>
      <c r="J490" s="3" t="s">
        <v>746</v>
      </c>
      <c r="K490" s="8" t="n">
        <v>856800</v>
      </c>
      <c r="L490" s="8" t="n">
        <v>5000</v>
      </c>
      <c r="M490" s="8" t="n">
        <v>64635</v>
      </c>
      <c r="N490" s="8" t="n">
        <v>926435</v>
      </c>
      <c r="O490" s="3" t="s">
        <v>94</v>
      </c>
      <c r="P490" s="3" t="s">
        <v>84</v>
      </c>
      <c r="Q490" s="3" t="s">
        <v>85</v>
      </c>
      <c r="R490" s="3" t="str">
        <f aca="false">IF(Q490="pass","No","Yes")</f>
        <v>Yes</v>
      </c>
      <c r="S490" s="3" t="s">
        <v>86</v>
      </c>
      <c r="T490" s="3" t="s">
        <v>95</v>
      </c>
      <c r="U490" s="3" t="s">
        <v>747</v>
      </c>
      <c r="V490" s="9" t="n">
        <v>47.17</v>
      </c>
    </row>
    <row r="491" customFormat="false" ht="15" hidden="false" customHeight="true" outlineLevel="0" collapsed="false">
      <c r="A491" s="3" t="n">
        <v>490</v>
      </c>
      <c r="B491" s="3" t="n">
        <v>10</v>
      </c>
      <c r="C491" s="3" t="s">
        <v>186</v>
      </c>
      <c r="D491" s="3" t="s">
        <v>187</v>
      </c>
      <c r="E491" s="3" t="s">
        <v>188</v>
      </c>
      <c r="F491" s="3" t="s">
        <v>189</v>
      </c>
      <c r="G491" s="3" t="s">
        <v>123</v>
      </c>
      <c r="H491" s="3" t="n">
        <v>3</v>
      </c>
      <c r="I491" s="3" t="n">
        <v>42</v>
      </c>
      <c r="J491" s="3" t="s">
        <v>748</v>
      </c>
      <c r="K491" s="8" t="n">
        <v>1806000</v>
      </c>
      <c r="L491" s="8" t="n">
        <v>5000</v>
      </c>
      <c r="M491" s="8" t="n">
        <v>135825</v>
      </c>
      <c r="N491" s="8" t="n">
        <v>1946825</v>
      </c>
      <c r="O491" s="3" t="s">
        <v>57</v>
      </c>
      <c r="P491" s="3" t="s">
        <v>58</v>
      </c>
      <c r="Q491" s="3" t="s">
        <v>69</v>
      </c>
      <c r="R491" s="3" t="str">
        <f aca="false">IF(Q491="pass","No","Yes")</f>
        <v>No</v>
      </c>
      <c r="S491" s="3" t="s">
        <v>60</v>
      </c>
      <c r="T491" s="3"/>
      <c r="U491" s="3"/>
      <c r="V491" s="9" t="n">
        <v>77.293</v>
      </c>
    </row>
    <row r="492" customFormat="false" ht="15" hidden="false" customHeight="true" outlineLevel="0" collapsed="false">
      <c r="A492" s="3" t="n">
        <v>491</v>
      </c>
      <c r="B492" s="3" t="n">
        <v>10</v>
      </c>
      <c r="C492" s="3" t="s">
        <v>191</v>
      </c>
      <c r="D492" s="3" t="s">
        <v>192</v>
      </c>
      <c r="E492" s="3" t="s">
        <v>193</v>
      </c>
      <c r="F492" s="3" t="s">
        <v>194</v>
      </c>
      <c r="G492" s="3" t="s">
        <v>116</v>
      </c>
      <c r="H492" s="3" t="n">
        <v>1</v>
      </c>
      <c r="I492" s="3" t="n">
        <v>2</v>
      </c>
      <c r="J492" s="3" t="s">
        <v>255</v>
      </c>
      <c r="K492" s="8" t="n">
        <v>8200</v>
      </c>
      <c r="L492" s="8" t="n">
        <v>15000</v>
      </c>
      <c r="M492" s="8" t="n">
        <v>1740</v>
      </c>
      <c r="N492" s="8" t="n">
        <v>24940</v>
      </c>
      <c r="O492" s="3" t="s">
        <v>94</v>
      </c>
      <c r="P492" s="3" t="s">
        <v>84</v>
      </c>
      <c r="Q492" s="3" t="s">
        <v>85</v>
      </c>
      <c r="R492" s="3" t="str">
        <f aca="false">IF(Q492="pass","No","Yes")</f>
        <v>Yes</v>
      </c>
      <c r="S492" s="3" t="s">
        <v>86</v>
      </c>
      <c r="T492" s="3" t="s">
        <v>253</v>
      </c>
      <c r="U492" s="3" t="s">
        <v>254</v>
      </c>
      <c r="V492" s="9" t="n">
        <v>26.44</v>
      </c>
    </row>
    <row r="493" customFormat="false" ht="15" hidden="false" customHeight="true" outlineLevel="0" collapsed="false">
      <c r="A493" s="3" t="n">
        <v>492</v>
      </c>
      <c r="B493" s="3" t="n">
        <v>10</v>
      </c>
      <c r="C493" s="3" t="s">
        <v>89</v>
      </c>
      <c r="D493" s="3" t="s">
        <v>90</v>
      </c>
      <c r="E493" s="3" t="s">
        <v>91</v>
      </c>
      <c r="F493" s="3" t="s">
        <v>92</v>
      </c>
      <c r="G493" s="3" t="s">
        <v>67</v>
      </c>
      <c r="H493" s="3" t="n">
        <v>3</v>
      </c>
      <c r="I493" s="3" t="n">
        <v>35</v>
      </c>
      <c r="J493" s="3" t="s">
        <v>749</v>
      </c>
      <c r="K493" s="8" t="n">
        <v>1167800</v>
      </c>
      <c r="L493" s="8" t="n">
        <v>4500</v>
      </c>
      <c r="M493" s="8" t="n">
        <v>87922.5</v>
      </c>
      <c r="N493" s="8" t="n">
        <v>1260222.5</v>
      </c>
      <c r="O493" s="3" t="s">
        <v>57</v>
      </c>
      <c r="P493" s="3" t="s">
        <v>58</v>
      </c>
      <c r="Q493" s="3" t="s">
        <v>69</v>
      </c>
      <c r="R493" s="3" t="str">
        <f aca="false">IF(Q493="pass","No","Yes")</f>
        <v>No</v>
      </c>
      <c r="S493" s="3" t="s">
        <v>60</v>
      </c>
      <c r="T493" s="3"/>
      <c r="U493" s="3"/>
      <c r="V493" s="9" t="n">
        <v>71.077</v>
      </c>
    </row>
    <row r="494" customFormat="false" ht="15" hidden="false" customHeight="true" outlineLevel="0" collapsed="false">
      <c r="A494" s="3" t="n">
        <v>493</v>
      </c>
      <c r="B494" s="3" t="n">
        <v>10</v>
      </c>
      <c r="C494" s="3" t="s">
        <v>100</v>
      </c>
      <c r="D494" s="3" t="s">
        <v>101</v>
      </c>
      <c r="E494" s="3" t="s">
        <v>102</v>
      </c>
      <c r="F494" s="3" t="s">
        <v>103</v>
      </c>
      <c r="G494" s="3" t="s">
        <v>67</v>
      </c>
      <c r="H494" s="3" t="n">
        <v>2</v>
      </c>
      <c r="I494" s="3" t="n">
        <v>3</v>
      </c>
      <c r="J494" s="3" t="s">
        <v>750</v>
      </c>
      <c r="K494" s="8" t="n">
        <v>80100</v>
      </c>
      <c r="L494" s="8" t="n">
        <v>4500</v>
      </c>
      <c r="M494" s="8" t="n">
        <v>6345</v>
      </c>
      <c r="N494" s="8" t="n">
        <v>90945</v>
      </c>
      <c r="O494" s="3" t="s">
        <v>83</v>
      </c>
      <c r="P494" s="3" t="s">
        <v>84</v>
      </c>
      <c r="Q494" s="3" t="s">
        <v>85</v>
      </c>
      <c r="R494" s="3" t="str">
        <f aca="false">IF(Q494="pass","No","Yes")</f>
        <v>Yes</v>
      </c>
      <c r="S494" s="3" t="s">
        <v>86</v>
      </c>
      <c r="T494" s="3" t="s">
        <v>87</v>
      </c>
      <c r="U494" s="3" t="s">
        <v>438</v>
      </c>
      <c r="V494" s="9" t="n">
        <v>45.698</v>
      </c>
    </row>
    <row r="495" customFormat="false" ht="15" hidden="false" customHeight="true" outlineLevel="0" collapsed="false">
      <c r="A495" s="3" t="n">
        <v>494</v>
      </c>
      <c r="B495" s="3" t="n">
        <v>10</v>
      </c>
      <c r="C495" s="3" t="s">
        <v>186</v>
      </c>
      <c r="D495" s="3" t="s">
        <v>187</v>
      </c>
      <c r="E495" s="3" t="s">
        <v>188</v>
      </c>
      <c r="F495" s="3" t="s">
        <v>189</v>
      </c>
      <c r="G495" s="3" t="s">
        <v>123</v>
      </c>
      <c r="H495" s="3" t="n">
        <v>3</v>
      </c>
      <c r="I495" s="3" t="n">
        <v>121</v>
      </c>
      <c r="J495" s="3" t="s">
        <v>751</v>
      </c>
      <c r="K495" s="8" t="n">
        <v>1460000</v>
      </c>
      <c r="L495" s="8" t="n">
        <v>5000</v>
      </c>
      <c r="M495" s="8" t="n">
        <v>109875</v>
      </c>
      <c r="N495" s="8" t="n">
        <v>1574875</v>
      </c>
      <c r="O495" s="3" t="s">
        <v>57</v>
      </c>
      <c r="P495" s="3" t="s">
        <v>58</v>
      </c>
      <c r="Q495" s="3" t="s">
        <v>69</v>
      </c>
      <c r="R495" s="3" t="str">
        <f aca="false">IF(Q495="pass","No","Yes")</f>
        <v>No</v>
      </c>
      <c r="S495" s="3" t="s">
        <v>60</v>
      </c>
      <c r="T495" s="3"/>
      <c r="U495" s="3"/>
      <c r="V495" s="9" t="n">
        <v>72.238</v>
      </c>
    </row>
    <row r="496" customFormat="false" ht="15" hidden="false" customHeight="true" outlineLevel="0" collapsed="false">
      <c r="A496" s="3" t="n">
        <v>495</v>
      </c>
      <c r="B496" s="3" t="n">
        <v>10</v>
      </c>
      <c r="C496" s="3" t="s">
        <v>70</v>
      </c>
      <c r="D496" s="3" t="s">
        <v>71</v>
      </c>
      <c r="E496" s="3" t="s">
        <v>72</v>
      </c>
      <c r="F496" s="3" t="s">
        <v>73</v>
      </c>
      <c r="G496" s="3" t="s">
        <v>74</v>
      </c>
      <c r="H496" s="3" t="n">
        <v>2</v>
      </c>
      <c r="I496" s="3" t="n">
        <v>150</v>
      </c>
      <c r="J496" s="3" t="s">
        <v>752</v>
      </c>
      <c r="K496" s="8" t="n">
        <v>1388200</v>
      </c>
      <c r="L496" s="8" t="n">
        <v>9000</v>
      </c>
      <c r="M496" s="8" t="n">
        <v>104790</v>
      </c>
      <c r="N496" s="8" t="n">
        <v>1501990</v>
      </c>
      <c r="O496" s="3" t="s">
        <v>152</v>
      </c>
      <c r="P496" s="3" t="s">
        <v>84</v>
      </c>
      <c r="Q496" s="3" t="s">
        <v>85</v>
      </c>
      <c r="R496" s="3" t="str">
        <f aca="false">IF(Q496="pass","No","Yes")</f>
        <v>Yes</v>
      </c>
      <c r="S496" s="3" t="s">
        <v>86</v>
      </c>
      <c r="T496" s="3" t="s">
        <v>87</v>
      </c>
      <c r="U496" s="3" t="s">
        <v>262</v>
      </c>
      <c r="V496" s="9" t="n">
        <v>68.191</v>
      </c>
    </row>
    <row r="497" customFormat="false" ht="15" hidden="false" customHeight="true" outlineLevel="0" collapsed="false">
      <c r="A497" s="3" t="n">
        <v>496</v>
      </c>
      <c r="B497" s="3" t="n">
        <v>10</v>
      </c>
      <c r="C497" s="3" t="s">
        <v>119</v>
      </c>
      <c r="D497" s="3" t="s">
        <v>120</v>
      </c>
      <c r="E497" s="3" t="s">
        <v>121</v>
      </c>
      <c r="F497" s="3" t="s">
        <v>122</v>
      </c>
      <c r="G497" s="3" t="s">
        <v>123</v>
      </c>
      <c r="H497" s="3" t="n">
        <v>3</v>
      </c>
      <c r="I497" s="3" t="n">
        <v>33</v>
      </c>
      <c r="J497" s="3" t="s">
        <v>753</v>
      </c>
      <c r="K497" s="8" t="n">
        <v>355600</v>
      </c>
      <c r="L497" s="8" t="n">
        <v>5000</v>
      </c>
      <c r="M497" s="8" t="n">
        <v>27045</v>
      </c>
      <c r="N497" s="8" t="n">
        <v>387645</v>
      </c>
      <c r="O497" s="3" t="s">
        <v>83</v>
      </c>
      <c r="P497" s="3" t="s">
        <v>84</v>
      </c>
      <c r="Q497" s="3" t="s">
        <v>85</v>
      </c>
      <c r="R497" s="3" t="str">
        <f aca="false">IF(Q497="pass","No","Yes")</f>
        <v>Yes</v>
      </c>
      <c r="S497" s="3" t="s">
        <v>86</v>
      </c>
      <c r="T497" s="3" t="s">
        <v>87</v>
      </c>
      <c r="U497" s="3" t="s">
        <v>488</v>
      </c>
      <c r="V497" s="9" t="n">
        <v>89.015</v>
      </c>
    </row>
    <row r="498" customFormat="false" ht="15" hidden="false" customHeight="true" outlineLevel="0" collapsed="false">
      <c r="A498" s="3" t="n">
        <v>497</v>
      </c>
      <c r="B498" s="3" t="n">
        <v>10</v>
      </c>
      <c r="C498" s="3" t="s">
        <v>89</v>
      </c>
      <c r="D498" s="3" t="s">
        <v>90</v>
      </c>
      <c r="E498" s="3" t="s">
        <v>91</v>
      </c>
      <c r="F498" s="3" t="s">
        <v>92</v>
      </c>
      <c r="G498" s="3" t="s">
        <v>67</v>
      </c>
      <c r="H498" s="3" t="n">
        <v>2</v>
      </c>
      <c r="I498" s="3" t="n">
        <v>156</v>
      </c>
      <c r="J498" s="3" t="s">
        <v>754</v>
      </c>
      <c r="K498" s="8" t="n">
        <v>1611000</v>
      </c>
      <c r="L498" s="8" t="n">
        <v>4500</v>
      </c>
      <c r="M498" s="8" t="n">
        <v>121162.5</v>
      </c>
      <c r="N498" s="8" t="n">
        <v>1736662.5</v>
      </c>
      <c r="O498" s="3" t="s">
        <v>57</v>
      </c>
      <c r="P498" s="3" t="s">
        <v>58</v>
      </c>
      <c r="Q498" s="3" t="s">
        <v>69</v>
      </c>
      <c r="R498" s="3" t="str">
        <f aca="false">IF(Q498="pass","No","Yes")</f>
        <v>No</v>
      </c>
      <c r="S498" s="3" t="s">
        <v>60</v>
      </c>
      <c r="T498" s="3"/>
      <c r="U498" s="3"/>
      <c r="V498" s="9" t="n">
        <v>71.041</v>
      </c>
    </row>
    <row r="499" customFormat="false" ht="15" hidden="false" customHeight="true" outlineLevel="0" collapsed="false">
      <c r="A499" s="3" t="n">
        <v>498</v>
      </c>
      <c r="B499" s="3" t="n">
        <v>10</v>
      </c>
      <c r="C499" s="3" t="s">
        <v>119</v>
      </c>
      <c r="D499" s="3" t="s">
        <v>120</v>
      </c>
      <c r="E499" s="3" t="s">
        <v>121</v>
      </c>
      <c r="F499" s="3" t="s">
        <v>122</v>
      </c>
      <c r="G499" s="3" t="s">
        <v>123</v>
      </c>
      <c r="H499" s="3" t="n">
        <v>2</v>
      </c>
      <c r="I499" s="3" t="n">
        <v>18</v>
      </c>
      <c r="J499" s="3" t="s">
        <v>755</v>
      </c>
      <c r="K499" s="8" t="n">
        <v>677000</v>
      </c>
      <c r="L499" s="8" t="n">
        <v>5000</v>
      </c>
      <c r="M499" s="8" t="n">
        <v>51150</v>
      </c>
      <c r="N499" s="8" t="n">
        <v>733150</v>
      </c>
      <c r="O499" s="3" t="s">
        <v>152</v>
      </c>
      <c r="P499" s="3" t="s">
        <v>84</v>
      </c>
      <c r="Q499" s="3" t="s">
        <v>85</v>
      </c>
      <c r="R499" s="3" t="str">
        <f aca="false">IF(Q499="pass","No","Yes")</f>
        <v>Yes</v>
      </c>
      <c r="S499" s="3" t="s">
        <v>86</v>
      </c>
      <c r="T499" s="3" t="s">
        <v>87</v>
      </c>
      <c r="U499" s="3" t="s">
        <v>322</v>
      </c>
      <c r="V499" s="9" t="n">
        <v>48.868</v>
      </c>
    </row>
    <row r="500" customFormat="false" ht="15" hidden="false" customHeight="true" outlineLevel="0" collapsed="false">
      <c r="A500" s="3" t="n">
        <v>499</v>
      </c>
      <c r="B500" s="3" t="n">
        <v>10</v>
      </c>
      <c r="C500" s="3" t="s">
        <v>166</v>
      </c>
      <c r="D500" s="3" t="s">
        <v>167</v>
      </c>
      <c r="E500" s="3" t="s">
        <v>168</v>
      </c>
      <c r="F500" s="3" t="s">
        <v>169</v>
      </c>
      <c r="G500" s="3" t="s">
        <v>74</v>
      </c>
      <c r="H500" s="3" t="n">
        <v>3</v>
      </c>
      <c r="I500" s="3" t="n">
        <v>988</v>
      </c>
      <c r="J500" s="3" t="s">
        <v>756</v>
      </c>
      <c r="K500" s="8" t="n">
        <v>13543700</v>
      </c>
      <c r="L500" s="8" t="n">
        <v>9000</v>
      </c>
      <c r="M500" s="8" t="n">
        <v>1016452.5</v>
      </c>
      <c r="N500" s="8" t="n">
        <v>14569152.5</v>
      </c>
      <c r="O500" s="3" t="s">
        <v>159</v>
      </c>
      <c r="P500" s="3" t="s">
        <v>84</v>
      </c>
      <c r="Q500" s="3" t="s">
        <v>85</v>
      </c>
      <c r="R500" s="3" t="str">
        <f aca="false">IF(Q500="pass","No","Yes")</f>
        <v>Yes</v>
      </c>
      <c r="S500" s="3" t="s">
        <v>86</v>
      </c>
      <c r="T500" s="3" t="s">
        <v>160</v>
      </c>
      <c r="U500" s="3" t="s">
        <v>161</v>
      </c>
      <c r="V500" s="9" t="n">
        <v>101.875</v>
      </c>
    </row>
    <row r="501" customFormat="false" ht="15" hidden="false" customHeight="true" outlineLevel="0" collapsed="false">
      <c r="A501" s="3" t="n">
        <v>500</v>
      </c>
      <c r="B501" s="3" t="n">
        <v>10</v>
      </c>
      <c r="C501" s="3" t="s">
        <v>89</v>
      </c>
      <c r="D501" s="3" t="s">
        <v>90</v>
      </c>
      <c r="E501" s="3" t="s">
        <v>91</v>
      </c>
      <c r="F501" s="3" t="s">
        <v>92</v>
      </c>
      <c r="G501" s="3" t="s">
        <v>67</v>
      </c>
      <c r="H501" s="3" t="n">
        <v>2</v>
      </c>
      <c r="I501" s="3" t="n">
        <v>156</v>
      </c>
      <c r="J501" s="3" t="s">
        <v>754</v>
      </c>
      <c r="K501" s="8" t="n">
        <v>1611000</v>
      </c>
      <c r="L501" s="8" t="n">
        <v>4500</v>
      </c>
      <c r="M501" s="8" t="n">
        <v>121162.5</v>
      </c>
      <c r="N501" s="8" t="n">
        <v>1736662.5</v>
      </c>
      <c r="O501" s="3" t="s">
        <v>97</v>
      </c>
      <c r="P501" s="3" t="s">
        <v>84</v>
      </c>
      <c r="Q501" s="3" t="s">
        <v>59</v>
      </c>
      <c r="R501" s="3" t="str">
        <f aca="false">IF(Q501="pass","No","Yes")</f>
        <v>Yes</v>
      </c>
      <c r="S501" s="3" t="s">
        <v>98</v>
      </c>
      <c r="T501" s="3" t="s">
        <v>97</v>
      </c>
      <c r="U501" s="3" t="s">
        <v>757</v>
      </c>
      <c r="V501" s="9" t="n">
        <v>71.142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2"/>
    <col collapsed="false" customWidth="true" hidden="false" outlineLevel="0" max="3" min="3" style="1" width="38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9" min="6" style="1" width="9"/>
    <col collapsed="false" customWidth="true" hidden="false" outlineLevel="0" max="10" min="10" style="1" width="18"/>
  </cols>
  <sheetData>
    <row r="1" customFormat="false" ht="15" hidden="false" customHeight="true" outlineLevel="0" collapsed="false">
      <c r="A1" s="7" t="s">
        <v>31</v>
      </c>
      <c r="B1" s="7" t="s">
        <v>32</v>
      </c>
      <c r="C1" s="7" t="s">
        <v>33</v>
      </c>
      <c r="D1" s="7" t="s">
        <v>34</v>
      </c>
      <c r="E1" s="7" t="s">
        <v>35</v>
      </c>
      <c r="F1" s="7" t="s">
        <v>758</v>
      </c>
      <c r="G1" s="7" t="s">
        <v>759</v>
      </c>
      <c r="H1" s="7" t="s">
        <v>760</v>
      </c>
      <c r="I1" s="7" t="s">
        <v>761</v>
      </c>
      <c r="J1" s="7" t="s">
        <v>762</v>
      </c>
    </row>
    <row r="2" customFormat="false" ht="15" hidden="false" customHeight="true" outlineLevel="0" collapsed="false">
      <c r="A2" s="3" t="s">
        <v>63</v>
      </c>
      <c r="B2" s="3" t="s">
        <v>64</v>
      </c>
      <c r="C2" s="3" t="s">
        <v>65</v>
      </c>
      <c r="D2" s="3" t="s">
        <v>66</v>
      </c>
      <c r="E2" s="3" t="s">
        <v>67</v>
      </c>
      <c r="F2" s="3" t="n">
        <f aca="false">COUNTIF(Orders!$C$2:$C$501,A2)</f>
        <v>26</v>
      </c>
      <c r="G2" s="3" t="n">
        <f aca="false">COUNTIFS(Orders!$C$2:$C$501,A2,Orders!$Q$2:$Q$501,"pass")</f>
        <v>8</v>
      </c>
      <c r="H2" s="3" t="n">
        <f aca="false">COUNTIFS(Orders!$C$2:$C$501,A2,Orders!$Q$2:$Q$501,"warn")</f>
        <v>4</v>
      </c>
      <c r="I2" s="3" t="n">
        <f aca="false">COUNTIFS(Orders!$C$2:$C$501,A2,Orders!$Q$2:$Q$501,"fail")</f>
        <v>14</v>
      </c>
      <c r="J2" s="8" t="n">
        <f aca="false">SUMIF(Orders!$C$2:$C$501,A2,Orders!$N$2:$N$501)</f>
        <v>32484672.5</v>
      </c>
    </row>
    <row r="3" customFormat="false" ht="15" hidden="false" customHeight="true" outlineLevel="0" collapsed="false">
      <c r="A3" s="3" t="s">
        <v>213</v>
      </c>
      <c r="B3" s="3" t="s">
        <v>214</v>
      </c>
      <c r="C3" s="3" t="s">
        <v>215</v>
      </c>
      <c r="D3" s="3" t="s">
        <v>216</v>
      </c>
      <c r="E3" s="3" t="s">
        <v>67</v>
      </c>
      <c r="F3" s="3" t="n">
        <f aca="false">COUNTIF(Orders!$C$2:$C$501,A3)</f>
        <v>28</v>
      </c>
      <c r="G3" s="3" t="n">
        <f aca="false">COUNTIFS(Orders!$C$2:$C$501,A3,Orders!$Q$2:$Q$501,"pass")</f>
        <v>12</v>
      </c>
      <c r="H3" s="3" t="n">
        <f aca="false">COUNTIFS(Orders!$C$2:$C$501,A3,Orders!$Q$2:$Q$501,"warn")</f>
        <v>5</v>
      </c>
      <c r="I3" s="3" t="n">
        <f aca="false">COUNTIFS(Orders!$C$2:$C$501,A3,Orders!$Q$2:$Q$501,"fail")</f>
        <v>11</v>
      </c>
      <c r="J3" s="8" t="n">
        <f aca="false">SUMIF(Orders!$C$2:$C$501,A3,Orders!$N$2:$N$501)</f>
        <v>56063937.5</v>
      </c>
    </row>
    <row r="4" customFormat="false" ht="15" hidden="false" customHeight="true" outlineLevel="0" collapsed="false">
      <c r="A4" s="3" t="s">
        <v>127</v>
      </c>
      <c r="B4" s="3" t="s">
        <v>128</v>
      </c>
      <c r="C4" s="3" t="s">
        <v>129</v>
      </c>
      <c r="D4" s="3" t="s">
        <v>130</v>
      </c>
      <c r="E4" s="3" t="s">
        <v>55</v>
      </c>
      <c r="F4" s="3" t="n">
        <f aca="false">COUNTIF(Orders!$C$2:$C$501,A4)</f>
        <v>23</v>
      </c>
      <c r="G4" s="3" t="n">
        <f aca="false">COUNTIFS(Orders!$C$2:$C$501,A4,Orders!$Q$2:$Q$501,"pass")</f>
        <v>9</v>
      </c>
      <c r="H4" s="3" t="n">
        <f aca="false">COUNTIFS(Orders!$C$2:$C$501,A4,Orders!$Q$2:$Q$501,"warn")</f>
        <v>3</v>
      </c>
      <c r="I4" s="3" t="n">
        <f aca="false">COUNTIFS(Orders!$C$2:$C$501,A4,Orders!$Q$2:$Q$501,"fail")</f>
        <v>11</v>
      </c>
      <c r="J4" s="8" t="n">
        <f aca="false">SUMIF(Orders!$C$2:$C$501,A4,Orders!$N$2:$N$501)</f>
        <v>38500265</v>
      </c>
    </row>
    <row r="5" customFormat="false" ht="15" hidden="false" customHeight="true" outlineLevel="0" collapsed="false">
      <c r="A5" s="3" t="s">
        <v>177</v>
      </c>
      <c r="B5" s="3" t="s">
        <v>178</v>
      </c>
      <c r="C5" s="3" t="s">
        <v>179</v>
      </c>
      <c r="D5" s="3" t="s">
        <v>180</v>
      </c>
      <c r="E5" s="3" t="s">
        <v>81</v>
      </c>
      <c r="F5" s="3" t="n">
        <f aca="false">COUNTIF(Orders!$C$2:$C$501,A5)</f>
        <v>25</v>
      </c>
      <c r="G5" s="3" t="n">
        <f aca="false">COUNTIFS(Orders!$C$2:$C$501,A5,Orders!$Q$2:$Q$501,"pass")</f>
        <v>13</v>
      </c>
      <c r="H5" s="3" t="n">
        <f aca="false">COUNTIFS(Orders!$C$2:$C$501,A5,Orders!$Q$2:$Q$501,"warn")</f>
        <v>2</v>
      </c>
      <c r="I5" s="3" t="n">
        <f aca="false">COUNTIFS(Orders!$C$2:$C$501,A5,Orders!$Q$2:$Q$501,"fail")</f>
        <v>10</v>
      </c>
      <c r="J5" s="8" t="n">
        <f aca="false">SUMIF(Orders!$C$2:$C$501,A5,Orders!$N$2:$N$501)</f>
        <v>61697690</v>
      </c>
    </row>
    <row r="6" customFormat="false" ht="15" hidden="false" customHeight="true" outlineLevel="0" collapsed="false">
      <c r="A6" s="3" t="s">
        <v>70</v>
      </c>
      <c r="B6" s="3" t="s">
        <v>71</v>
      </c>
      <c r="C6" s="3" t="s">
        <v>72</v>
      </c>
      <c r="D6" s="3" t="s">
        <v>73</v>
      </c>
      <c r="E6" s="3" t="s">
        <v>74</v>
      </c>
      <c r="F6" s="3" t="n">
        <f aca="false">COUNTIF(Orders!$C$2:$C$501,A6)</f>
        <v>19</v>
      </c>
      <c r="G6" s="3" t="n">
        <f aca="false">COUNTIFS(Orders!$C$2:$C$501,A6,Orders!$Q$2:$Q$501,"pass")</f>
        <v>10</v>
      </c>
      <c r="H6" s="3" t="n">
        <f aca="false">COUNTIFS(Orders!$C$2:$C$501,A6,Orders!$Q$2:$Q$501,"warn")</f>
        <v>3</v>
      </c>
      <c r="I6" s="3" t="n">
        <f aca="false">COUNTIFS(Orders!$C$2:$C$501,A6,Orders!$Q$2:$Q$501,"fail")</f>
        <v>6</v>
      </c>
      <c r="J6" s="8" t="n">
        <f aca="false">SUMIF(Orders!$C$2:$C$501,A6,Orders!$N$2:$N$501)</f>
        <v>38501877.5</v>
      </c>
    </row>
    <row r="7" customFormat="false" ht="15" hidden="false" customHeight="true" outlineLevel="0" collapsed="false">
      <c r="A7" s="3" t="s">
        <v>186</v>
      </c>
      <c r="B7" s="3" t="s">
        <v>187</v>
      </c>
      <c r="C7" s="3" t="s">
        <v>188</v>
      </c>
      <c r="D7" s="3" t="s">
        <v>189</v>
      </c>
      <c r="E7" s="3" t="s">
        <v>123</v>
      </c>
      <c r="F7" s="3" t="n">
        <f aca="false">COUNTIF(Orders!$C$2:$C$501,A7)</f>
        <v>28</v>
      </c>
      <c r="G7" s="3" t="n">
        <f aca="false">COUNTIFS(Orders!$C$2:$C$501,A7,Orders!$Q$2:$Q$501,"pass")</f>
        <v>17</v>
      </c>
      <c r="H7" s="3" t="n">
        <f aca="false">COUNTIFS(Orders!$C$2:$C$501,A7,Orders!$Q$2:$Q$501,"warn")</f>
        <v>3</v>
      </c>
      <c r="I7" s="3" t="n">
        <f aca="false">COUNTIFS(Orders!$C$2:$C$501,A7,Orders!$Q$2:$Q$501,"fail")</f>
        <v>8</v>
      </c>
      <c r="J7" s="8" t="n">
        <f aca="false">SUMIF(Orders!$C$2:$C$501,A7,Orders!$N$2:$N$501)</f>
        <v>30560852.5</v>
      </c>
    </row>
    <row r="8" customFormat="false" ht="15" hidden="false" customHeight="true" outlineLevel="0" collapsed="false">
      <c r="A8" s="3" t="s">
        <v>51</v>
      </c>
      <c r="B8" s="3" t="s">
        <v>52</v>
      </c>
      <c r="C8" s="3" t="s">
        <v>53</v>
      </c>
      <c r="D8" s="3" t="s">
        <v>54</v>
      </c>
      <c r="E8" s="3" t="s">
        <v>55</v>
      </c>
      <c r="F8" s="3" t="n">
        <f aca="false">COUNTIF(Orders!$C$2:$C$501,A8)</f>
        <v>29</v>
      </c>
      <c r="G8" s="3" t="n">
        <f aca="false">COUNTIFS(Orders!$C$2:$C$501,A8,Orders!$Q$2:$Q$501,"pass")</f>
        <v>16</v>
      </c>
      <c r="H8" s="3" t="n">
        <f aca="false">COUNTIFS(Orders!$C$2:$C$501,A8,Orders!$Q$2:$Q$501,"warn")</f>
        <v>7</v>
      </c>
      <c r="I8" s="3" t="n">
        <f aca="false">COUNTIFS(Orders!$C$2:$C$501,A8,Orders!$Q$2:$Q$501,"fail")</f>
        <v>6</v>
      </c>
      <c r="J8" s="8" t="n">
        <f aca="false">SUMIF(Orders!$C$2:$C$501,A8,Orders!$N$2:$N$501)</f>
        <v>36477007.5</v>
      </c>
    </row>
    <row r="9" customFormat="false" ht="15" hidden="false" customHeight="true" outlineLevel="0" collapsed="false">
      <c r="A9" s="3" t="s">
        <v>112</v>
      </c>
      <c r="B9" s="3" t="s">
        <v>113</v>
      </c>
      <c r="C9" s="3" t="s">
        <v>114</v>
      </c>
      <c r="D9" s="3" t="s">
        <v>115</v>
      </c>
      <c r="E9" s="3" t="s">
        <v>116</v>
      </c>
      <c r="F9" s="3" t="n">
        <f aca="false">COUNTIF(Orders!$C$2:$C$501,A9)</f>
        <v>20</v>
      </c>
      <c r="G9" s="3" t="n">
        <f aca="false">COUNTIFS(Orders!$C$2:$C$501,A9,Orders!$Q$2:$Q$501,"pass")</f>
        <v>10</v>
      </c>
      <c r="H9" s="3" t="n">
        <f aca="false">COUNTIFS(Orders!$C$2:$C$501,A9,Orders!$Q$2:$Q$501,"warn")</f>
        <v>4</v>
      </c>
      <c r="I9" s="3" t="n">
        <f aca="false">COUNTIFS(Orders!$C$2:$C$501,A9,Orders!$Q$2:$Q$501,"fail")</f>
        <v>6</v>
      </c>
      <c r="J9" s="8" t="n">
        <f aca="false">SUMIF(Orders!$C$2:$C$501,A9,Orders!$N$2:$N$501)</f>
        <v>17387587.5</v>
      </c>
    </row>
    <row r="10" customFormat="false" ht="15" hidden="false" customHeight="true" outlineLevel="0" collapsed="false">
      <c r="A10" s="3" t="s">
        <v>166</v>
      </c>
      <c r="B10" s="3" t="s">
        <v>167</v>
      </c>
      <c r="C10" s="3" t="s">
        <v>168</v>
      </c>
      <c r="D10" s="3" t="s">
        <v>169</v>
      </c>
      <c r="E10" s="3" t="s">
        <v>74</v>
      </c>
      <c r="F10" s="3" t="n">
        <f aca="false">COUNTIF(Orders!$C$2:$C$501,A10)</f>
        <v>19</v>
      </c>
      <c r="G10" s="3" t="n">
        <f aca="false">COUNTIFS(Orders!$C$2:$C$501,A10,Orders!$Q$2:$Q$501,"pass")</f>
        <v>8</v>
      </c>
      <c r="H10" s="3" t="n">
        <f aca="false">COUNTIFS(Orders!$C$2:$C$501,A10,Orders!$Q$2:$Q$501,"warn")</f>
        <v>3</v>
      </c>
      <c r="I10" s="3" t="n">
        <f aca="false">COUNTIFS(Orders!$C$2:$C$501,A10,Orders!$Q$2:$Q$501,"fail")</f>
        <v>8</v>
      </c>
      <c r="J10" s="8" t="n">
        <f aca="false">SUMIF(Orders!$C$2:$C$501,A10,Orders!$N$2:$N$501)</f>
        <v>43504927.5</v>
      </c>
    </row>
    <row r="11" customFormat="false" ht="15" hidden="false" customHeight="true" outlineLevel="0" collapsed="false">
      <c r="A11" s="3" t="s">
        <v>198</v>
      </c>
      <c r="B11" s="3" t="s">
        <v>199</v>
      </c>
      <c r="C11" s="3" t="s">
        <v>200</v>
      </c>
      <c r="D11" s="3" t="s">
        <v>201</v>
      </c>
      <c r="E11" s="3" t="s">
        <v>81</v>
      </c>
      <c r="F11" s="3" t="n">
        <f aca="false">COUNTIF(Orders!$C$2:$C$501,A11)</f>
        <v>20</v>
      </c>
      <c r="G11" s="3" t="n">
        <f aca="false">COUNTIFS(Orders!$C$2:$C$501,A11,Orders!$Q$2:$Q$501,"pass")</f>
        <v>12</v>
      </c>
      <c r="H11" s="3" t="n">
        <f aca="false">COUNTIFS(Orders!$C$2:$C$501,A11,Orders!$Q$2:$Q$501,"warn")</f>
        <v>5</v>
      </c>
      <c r="I11" s="3" t="n">
        <f aca="false">COUNTIFS(Orders!$C$2:$C$501,A11,Orders!$Q$2:$Q$501,"fail")</f>
        <v>3</v>
      </c>
      <c r="J11" s="8" t="n">
        <f aca="false">SUMIF(Orders!$C$2:$C$501,A11,Orders!$N$2:$N$501)</f>
        <v>17268692.5</v>
      </c>
    </row>
    <row r="12" customFormat="false" ht="15" hidden="false" customHeight="true" outlineLevel="0" collapsed="false">
      <c r="A12" s="3" t="s">
        <v>137</v>
      </c>
      <c r="B12" s="3" t="s">
        <v>138</v>
      </c>
      <c r="C12" s="3" t="s">
        <v>139</v>
      </c>
      <c r="D12" s="3" t="s">
        <v>140</v>
      </c>
      <c r="E12" s="3" t="s">
        <v>55</v>
      </c>
      <c r="F12" s="3" t="n">
        <f aca="false">COUNTIF(Orders!$C$2:$C$501,A12)</f>
        <v>25</v>
      </c>
      <c r="G12" s="3" t="n">
        <f aca="false">COUNTIFS(Orders!$C$2:$C$501,A12,Orders!$Q$2:$Q$501,"pass")</f>
        <v>15</v>
      </c>
      <c r="H12" s="3" t="n">
        <f aca="false">COUNTIFS(Orders!$C$2:$C$501,A12,Orders!$Q$2:$Q$501,"warn")</f>
        <v>3</v>
      </c>
      <c r="I12" s="3" t="n">
        <f aca="false">COUNTIFS(Orders!$C$2:$C$501,A12,Orders!$Q$2:$Q$501,"fail")</f>
        <v>7</v>
      </c>
      <c r="J12" s="8" t="n">
        <f aca="false">SUMIF(Orders!$C$2:$C$501,A12,Orders!$N$2:$N$501)</f>
        <v>22656485</v>
      </c>
    </row>
    <row r="13" customFormat="false" ht="15" hidden="false" customHeight="true" outlineLevel="0" collapsed="false">
      <c r="A13" s="3" t="s">
        <v>100</v>
      </c>
      <c r="B13" s="3" t="s">
        <v>101</v>
      </c>
      <c r="C13" s="3" t="s">
        <v>102</v>
      </c>
      <c r="D13" s="3" t="s">
        <v>103</v>
      </c>
      <c r="E13" s="3" t="s">
        <v>67</v>
      </c>
      <c r="F13" s="3" t="n">
        <f aca="false">COUNTIF(Orders!$C$2:$C$501,A13)</f>
        <v>25</v>
      </c>
      <c r="G13" s="3" t="n">
        <f aca="false">COUNTIFS(Orders!$C$2:$C$501,A13,Orders!$Q$2:$Q$501,"pass")</f>
        <v>7</v>
      </c>
      <c r="H13" s="3" t="n">
        <f aca="false">COUNTIFS(Orders!$C$2:$C$501,A13,Orders!$Q$2:$Q$501,"warn")</f>
        <v>3</v>
      </c>
      <c r="I13" s="3" t="n">
        <f aca="false">COUNTIFS(Orders!$C$2:$C$501,A13,Orders!$Q$2:$Q$501,"fail")</f>
        <v>15</v>
      </c>
      <c r="J13" s="8" t="n">
        <f aca="false">SUMIF(Orders!$C$2:$C$501,A13,Orders!$N$2:$N$501)</f>
        <v>35261505</v>
      </c>
    </row>
    <row r="14" customFormat="false" ht="15" hidden="false" customHeight="true" outlineLevel="0" collapsed="false">
      <c r="A14" s="3" t="s">
        <v>154</v>
      </c>
      <c r="B14" s="3" t="s">
        <v>155</v>
      </c>
      <c r="C14" s="3" t="s">
        <v>156</v>
      </c>
      <c r="D14" s="3" t="s">
        <v>157</v>
      </c>
      <c r="E14" s="3" t="s">
        <v>123</v>
      </c>
      <c r="F14" s="3" t="n">
        <f aca="false">COUNTIF(Orders!$C$2:$C$501,A14)</f>
        <v>30</v>
      </c>
      <c r="G14" s="3" t="n">
        <f aca="false">COUNTIFS(Orders!$C$2:$C$501,A14,Orders!$Q$2:$Q$501,"pass")</f>
        <v>13</v>
      </c>
      <c r="H14" s="3" t="n">
        <f aca="false">COUNTIFS(Orders!$C$2:$C$501,A14,Orders!$Q$2:$Q$501,"warn")</f>
        <v>2</v>
      </c>
      <c r="I14" s="3" t="n">
        <f aca="false">COUNTIFS(Orders!$C$2:$C$501,A14,Orders!$Q$2:$Q$501,"fail")</f>
        <v>15</v>
      </c>
      <c r="J14" s="8" t="n">
        <f aca="false">SUMIF(Orders!$C$2:$C$501,A14,Orders!$N$2:$N$501)</f>
        <v>61818735</v>
      </c>
    </row>
    <row r="15" customFormat="false" ht="15" hidden="false" customHeight="true" outlineLevel="0" collapsed="false">
      <c r="A15" s="3" t="s">
        <v>191</v>
      </c>
      <c r="B15" s="3" t="s">
        <v>192</v>
      </c>
      <c r="C15" s="3" t="s">
        <v>193</v>
      </c>
      <c r="D15" s="3" t="s">
        <v>194</v>
      </c>
      <c r="E15" s="3" t="s">
        <v>116</v>
      </c>
      <c r="F15" s="3" t="n">
        <f aca="false">COUNTIF(Orders!$C$2:$C$501,A15)</f>
        <v>16</v>
      </c>
      <c r="G15" s="3" t="n">
        <f aca="false">COUNTIFS(Orders!$C$2:$C$501,A15,Orders!$Q$2:$Q$501,"pass")</f>
        <v>6</v>
      </c>
      <c r="H15" s="3" t="n">
        <f aca="false">COUNTIFS(Orders!$C$2:$C$501,A15,Orders!$Q$2:$Q$501,"warn")</f>
        <v>5</v>
      </c>
      <c r="I15" s="3" t="n">
        <f aca="false">COUNTIFS(Orders!$C$2:$C$501,A15,Orders!$Q$2:$Q$501,"fail")</f>
        <v>5</v>
      </c>
      <c r="J15" s="8" t="n">
        <f aca="false">SUMIF(Orders!$C$2:$C$501,A15,Orders!$N$2:$N$501)</f>
        <v>20088740</v>
      </c>
    </row>
    <row r="16" customFormat="false" ht="15" hidden="false" customHeight="true" outlineLevel="0" collapsed="false">
      <c r="A16" s="3" t="s">
        <v>89</v>
      </c>
      <c r="B16" s="3" t="s">
        <v>90</v>
      </c>
      <c r="C16" s="3" t="s">
        <v>91</v>
      </c>
      <c r="D16" s="3" t="s">
        <v>92</v>
      </c>
      <c r="E16" s="3" t="s">
        <v>67</v>
      </c>
      <c r="F16" s="3" t="n">
        <f aca="false">COUNTIF(Orders!$C$2:$C$501,A16)</f>
        <v>33</v>
      </c>
      <c r="G16" s="3" t="n">
        <f aca="false">COUNTIFS(Orders!$C$2:$C$501,A16,Orders!$Q$2:$Q$501,"pass")</f>
        <v>13</v>
      </c>
      <c r="H16" s="3" t="n">
        <f aca="false">COUNTIFS(Orders!$C$2:$C$501,A16,Orders!$Q$2:$Q$501,"warn")</f>
        <v>5</v>
      </c>
      <c r="I16" s="3" t="n">
        <f aca="false">COUNTIFS(Orders!$C$2:$C$501,A16,Orders!$Q$2:$Q$501,"fail")</f>
        <v>15</v>
      </c>
      <c r="J16" s="8" t="n">
        <f aca="false">SUMIF(Orders!$C$2:$C$501,A16,Orders!$N$2:$N$501)</f>
        <v>50069845</v>
      </c>
    </row>
    <row r="17" customFormat="false" ht="15" hidden="false" customHeight="true" outlineLevel="0" collapsed="false">
      <c r="A17" s="3" t="s">
        <v>142</v>
      </c>
      <c r="B17" s="3" t="s">
        <v>143</v>
      </c>
      <c r="C17" s="3" t="s">
        <v>144</v>
      </c>
      <c r="D17" s="3" t="s">
        <v>145</v>
      </c>
      <c r="E17" s="3" t="s">
        <v>74</v>
      </c>
      <c r="F17" s="3" t="n">
        <f aca="false">COUNTIF(Orders!$C$2:$C$501,A17)</f>
        <v>23</v>
      </c>
      <c r="G17" s="3" t="n">
        <f aca="false">COUNTIFS(Orders!$C$2:$C$501,A17,Orders!$Q$2:$Q$501,"pass")</f>
        <v>8</v>
      </c>
      <c r="H17" s="3" t="n">
        <f aca="false">COUNTIFS(Orders!$C$2:$C$501,A17,Orders!$Q$2:$Q$501,"warn")</f>
        <v>5</v>
      </c>
      <c r="I17" s="3" t="n">
        <f aca="false">COUNTIFS(Orders!$C$2:$C$501,A17,Orders!$Q$2:$Q$501,"fail")</f>
        <v>10</v>
      </c>
      <c r="J17" s="8" t="n">
        <f aca="false">SUMIF(Orders!$C$2:$C$501,A17,Orders!$N$2:$N$501)</f>
        <v>36693512.5</v>
      </c>
    </row>
    <row r="18" customFormat="false" ht="15" hidden="false" customHeight="true" outlineLevel="0" collapsed="false">
      <c r="A18" s="3" t="s">
        <v>77</v>
      </c>
      <c r="B18" s="3" t="s">
        <v>78</v>
      </c>
      <c r="C18" s="3" t="s">
        <v>79</v>
      </c>
      <c r="D18" s="3" t="s">
        <v>80</v>
      </c>
      <c r="E18" s="3" t="s">
        <v>81</v>
      </c>
      <c r="F18" s="3" t="n">
        <f aca="false">COUNTIF(Orders!$C$2:$C$501,A18)</f>
        <v>30</v>
      </c>
      <c r="G18" s="3" t="n">
        <f aca="false">COUNTIFS(Orders!$C$2:$C$501,A18,Orders!$Q$2:$Q$501,"pass")</f>
        <v>20</v>
      </c>
      <c r="H18" s="3" t="n">
        <f aca="false">COUNTIFS(Orders!$C$2:$C$501,A18,Orders!$Q$2:$Q$501,"warn")</f>
        <v>1</v>
      </c>
      <c r="I18" s="3" t="n">
        <f aca="false">COUNTIFS(Orders!$C$2:$C$501,A18,Orders!$Q$2:$Q$501,"fail")</f>
        <v>9</v>
      </c>
      <c r="J18" s="8" t="n">
        <f aca="false">SUMIF(Orders!$C$2:$C$501,A18,Orders!$N$2:$N$501)</f>
        <v>28503947.5</v>
      </c>
    </row>
    <row r="19" customFormat="false" ht="15" hidden="false" customHeight="true" outlineLevel="0" collapsed="false">
      <c r="A19" s="3" t="s">
        <v>119</v>
      </c>
      <c r="B19" s="3" t="s">
        <v>120</v>
      </c>
      <c r="C19" s="3" t="s">
        <v>121</v>
      </c>
      <c r="D19" s="3" t="s">
        <v>122</v>
      </c>
      <c r="E19" s="3" t="s">
        <v>123</v>
      </c>
      <c r="F19" s="3" t="n">
        <f aca="false">COUNTIF(Orders!$C$2:$C$501,A19)</f>
        <v>29</v>
      </c>
      <c r="G19" s="3" t="n">
        <f aca="false">COUNTIFS(Orders!$C$2:$C$501,A19,Orders!$Q$2:$Q$501,"pass")</f>
        <v>13</v>
      </c>
      <c r="H19" s="3" t="n">
        <f aca="false">COUNTIFS(Orders!$C$2:$C$501,A19,Orders!$Q$2:$Q$501,"warn")</f>
        <v>3</v>
      </c>
      <c r="I19" s="3" t="n">
        <f aca="false">COUNTIFS(Orders!$C$2:$C$501,A19,Orders!$Q$2:$Q$501,"fail")</f>
        <v>13</v>
      </c>
      <c r="J19" s="8" t="n">
        <f aca="false">SUMIF(Orders!$C$2:$C$501,A19,Orders!$N$2:$N$501)</f>
        <v>35260107.5</v>
      </c>
    </row>
    <row r="20" customFormat="false" ht="15" hidden="false" customHeight="true" outlineLevel="0" collapsed="false">
      <c r="A20" s="3" t="s">
        <v>105</v>
      </c>
      <c r="B20" s="3" t="s">
        <v>106</v>
      </c>
      <c r="C20" s="3" t="s">
        <v>107</v>
      </c>
      <c r="D20" s="3" t="s">
        <v>108</v>
      </c>
      <c r="E20" s="3" t="s">
        <v>81</v>
      </c>
      <c r="F20" s="3" t="n">
        <f aca="false">COUNTIF(Orders!$C$2:$C$501,A20)</f>
        <v>26</v>
      </c>
      <c r="G20" s="3" t="n">
        <f aca="false">COUNTIFS(Orders!$C$2:$C$501,A20,Orders!$Q$2:$Q$501,"pass")</f>
        <v>15</v>
      </c>
      <c r="H20" s="3" t="n">
        <f aca="false">COUNTIFS(Orders!$C$2:$C$501,A20,Orders!$Q$2:$Q$501,"warn")</f>
        <v>3</v>
      </c>
      <c r="I20" s="3" t="n">
        <f aca="false">COUNTIFS(Orders!$C$2:$C$501,A20,Orders!$Q$2:$Q$501,"fail")</f>
        <v>8</v>
      </c>
      <c r="J20" s="8" t="n">
        <f aca="false">SUMIF(Orders!$C$2:$C$501,A20,Orders!$N$2:$N$501)</f>
        <v>22805910</v>
      </c>
    </row>
    <row r="21" customFormat="false" ht="15" hidden="false" customHeight="true" outlineLevel="0" collapsed="false">
      <c r="A21" s="3" t="s">
        <v>237</v>
      </c>
      <c r="B21" s="3" t="s">
        <v>238</v>
      </c>
      <c r="C21" s="3" t="s">
        <v>239</v>
      </c>
      <c r="D21" s="3" t="s">
        <v>240</v>
      </c>
      <c r="E21" s="3" t="s">
        <v>116</v>
      </c>
      <c r="F21" s="3" t="n">
        <f aca="false">COUNTIF(Orders!$C$2:$C$501,A21)</f>
        <v>26</v>
      </c>
      <c r="G21" s="3" t="n">
        <f aca="false">COUNTIFS(Orders!$C$2:$C$501,A21,Orders!$Q$2:$Q$501,"pass")</f>
        <v>8</v>
      </c>
      <c r="H21" s="3" t="n">
        <f aca="false">COUNTIFS(Orders!$C$2:$C$501,A21,Orders!$Q$2:$Q$501,"warn")</f>
        <v>6</v>
      </c>
      <c r="I21" s="3" t="n">
        <f aca="false">COUNTIFS(Orders!$C$2:$C$501,A21,Orders!$Q$2:$Q$501,"fail")</f>
        <v>12</v>
      </c>
      <c r="J21" s="8" t="n">
        <f aca="false">SUMIF(Orders!$C$2:$C$501,A21,Orders!$N$2:$N$501)</f>
        <v>32239787.5</v>
      </c>
    </row>
    <row r="22" customFormat="false" ht="15" hidden="false" customHeight="true" outlineLevel="0" collapsed="false">
      <c r="A22" s="4" t="s">
        <v>763</v>
      </c>
      <c r="F22" s="4" t="n">
        <f aca="false">SUM(F2:F21)</f>
        <v>500</v>
      </c>
      <c r="G22" s="4" t="n">
        <f aca="false">SUM(G2:G21)</f>
        <v>233</v>
      </c>
      <c r="H22" s="4" t="n">
        <f aca="false">SUM(H2:H21)</f>
        <v>75</v>
      </c>
      <c r="I22" s="4" t="n">
        <f aca="false">SUM(I2:I21)</f>
        <v>192</v>
      </c>
      <c r="J22" s="10" t="n">
        <f aca="false">SUM(J2:J21)</f>
        <v>717846085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7" min="2" style="1" width="9"/>
    <col collapsed="false" customWidth="true" hidden="false" outlineLevel="0" max="8" min="8" style="1" width="13"/>
    <col collapsed="false" customWidth="true" hidden="false" outlineLevel="0" max="9" min="9" style="1" width="70"/>
  </cols>
  <sheetData>
    <row r="1" customFormat="false" ht="26.25" hidden="false" customHeight="true" outlineLevel="0" collapsed="false">
      <c r="A1" s="7" t="s">
        <v>43</v>
      </c>
      <c r="B1" s="7" t="s">
        <v>44</v>
      </c>
      <c r="C1" s="7" t="s">
        <v>758</v>
      </c>
      <c r="D1" s="7" t="s">
        <v>761</v>
      </c>
      <c r="E1" s="7" t="s">
        <v>760</v>
      </c>
      <c r="F1" s="7" t="s">
        <v>759</v>
      </c>
      <c r="G1" s="7" t="s">
        <v>46</v>
      </c>
      <c r="H1" s="7" t="s">
        <v>764</v>
      </c>
      <c r="I1" s="7" t="s">
        <v>765</v>
      </c>
    </row>
    <row r="2" customFormat="false" ht="15" hidden="false" customHeight="true" outlineLevel="0" collapsed="false">
      <c r="A2" s="3" t="s">
        <v>57</v>
      </c>
      <c r="B2" s="3" t="s">
        <v>58</v>
      </c>
      <c r="C2" s="3" t="n">
        <f aca="false">COUNTIF(Orders!$O$2:$O$501,A2)</f>
        <v>216</v>
      </c>
      <c r="D2" s="3" t="n">
        <f aca="false">COUNTIFS(Orders!$O$2:$O$501,A2,Orders!$Q$2:$Q$501,"fail")</f>
        <v>0</v>
      </c>
      <c r="E2" s="3" t="n">
        <f aca="false">COUNTIFS(Orders!$O$2:$O$501,A2,Orders!$Q$2:$Q$501,"warn")</f>
        <v>33</v>
      </c>
      <c r="F2" s="3" t="n">
        <f aca="false">COUNTIFS(Orders!$O$2:$O$501,A2,Orders!$Q$2:$Q$501,"pass")</f>
        <v>183</v>
      </c>
      <c r="G2" s="3" t="n">
        <f aca="false">D2+E2</f>
        <v>33</v>
      </c>
      <c r="H2" s="11" t="n">
        <f aca="false">IF(C2=0,0,G2/C2)</f>
        <v>0.152777777777778</v>
      </c>
      <c r="I2" s="3" t="s">
        <v>766</v>
      </c>
    </row>
    <row r="3" customFormat="false" ht="15" hidden="false" customHeight="true" outlineLevel="0" collapsed="false">
      <c r="A3" s="3" t="s">
        <v>272</v>
      </c>
      <c r="B3" s="3" t="s">
        <v>84</v>
      </c>
      <c r="C3" s="3" t="n">
        <f aca="false">COUNTIF(Orders!$O$2:$O$501,A3)</f>
        <v>20</v>
      </c>
      <c r="D3" s="3" t="n">
        <f aca="false">COUNTIFS(Orders!$O$2:$O$501,A3,Orders!$Q$2:$Q$501,"fail")</f>
        <v>20</v>
      </c>
      <c r="E3" s="3" t="n">
        <f aca="false">COUNTIFS(Orders!$O$2:$O$501,A3,Orders!$Q$2:$Q$501,"warn")</f>
        <v>0</v>
      </c>
      <c r="F3" s="3" t="n">
        <f aca="false">COUNTIFS(Orders!$O$2:$O$501,A3,Orders!$Q$2:$Q$501,"pass")</f>
        <v>0</v>
      </c>
      <c r="G3" s="3" t="n">
        <f aca="false">D3+E3</f>
        <v>20</v>
      </c>
      <c r="H3" s="11" t="n">
        <f aca="false">IF(C3=0,0,G3/C3)</f>
        <v>1</v>
      </c>
      <c r="I3" s="3"/>
    </row>
    <row r="4" customFormat="false" ht="15" hidden="false" customHeight="true" outlineLevel="0" collapsed="false">
      <c r="A4" s="3" t="s">
        <v>148</v>
      </c>
      <c r="B4" s="3" t="s">
        <v>84</v>
      </c>
      <c r="C4" s="3" t="n">
        <f aca="false">COUNTIF(Orders!$O$2:$O$501,A4)</f>
        <v>22</v>
      </c>
      <c r="D4" s="3" t="n">
        <f aca="false">COUNTIFS(Orders!$O$2:$O$501,A4,Orders!$Q$2:$Q$501,"fail")</f>
        <v>22</v>
      </c>
      <c r="E4" s="3" t="n">
        <f aca="false">COUNTIFS(Orders!$O$2:$O$501,A4,Orders!$Q$2:$Q$501,"warn")</f>
        <v>0</v>
      </c>
      <c r="F4" s="3" t="n">
        <f aca="false">COUNTIFS(Orders!$O$2:$O$501,A4,Orders!$Q$2:$Q$501,"pass")</f>
        <v>0</v>
      </c>
      <c r="G4" s="3" t="n">
        <f aca="false">D4+E4</f>
        <v>22</v>
      </c>
      <c r="H4" s="11" t="n">
        <f aca="false">IF(C4=0,0,G4/C4)</f>
        <v>1</v>
      </c>
      <c r="I4" s="3"/>
    </row>
    <row r="5" customFormat="false" ht="15" hidden="false" customHeight="true" outlineLevel="0" collapsed="false">
      <c r="A5" s="3" t="s">
        <v>224</v>
      </c>
      <c r="B5" s="3" t="s">
        <v>84</v>
      </c>
      <c r="C5" s="3" t="n">
        <f aca="false">COUNTIF(Orders!$O$2:$O$501,A5)</f>
        <v>11</v>
      </c>
      <c r="D5" s="3" t="n">
        <f aca="false">COUNTIFS(Orders!$O$2:$O$501,A5,Orders!$Q$2:$Q$501,"fail")</f>
        <v>11</v>
      </c>
      <c r="E5" s="3" t="n">
        <f aca="false">COUNTIFS(Orders!$O$2:$O$501,A5,Orders!$Q$2:$Q$501,"warn")</f>
        <v>0</v>
      </c>
      <c r="F5" s="3" t="n">
        <f aca="false">COUNTIFS(Orders!$O$2:$O$501,A5,Orders!$Q$2:$Q$501,"pass")</f>
        <v>0</v>
      </c>
      <c r="G5" s="3" t="n">
        <f aca="false">D5+E5</f>
        <v>11</v>
      </c>
      <c r="H5" s="11" t="n">
        <f aca="false">IF(C5=0,0,G5/C5)</f>
        <v>1</v>
      </c>
      <c r="I5" s="3"/>
    </row>
    <row r="6" customFormat="false" ht="15" hidden="false" customHeight="true" outlineLevel="0" collapsed="false">
      <c r="A6" s="3" t="s">
        <v>94</v>
      </c>
      <c r="B6" s="3" t="s">
        <v>84</v>
      </c>
      <c r="C6" s="3" t="n">
        <f aca="false">COUNTIF(Orders!$O$2:$O$501,A6)</f>
        <v>19</v>
      </c>
      <c r="D6" s="3" t="n">
        <f aca="false">COUNTIFS(Orders!$O$2:$O$501,A6,Orders!$Q$2:$Q$501,"fail")</f>
        <v>19</v>
      </c>
      <c r="E6" s="3" t="n">
        <f aca="false">COUNTIFS(Orders!$O$2:$O$501,A6,Orders!$Q$2:$Q$501,"warn")</f>
        <v>0</v>
      </c>
      <c r="F6" s="3" t="n">
        <f aca="false">COUNTIFS(Orders!$O$2:$O$501,A6,Orders!$Q$2:$Q$501,"pass")</f>
        <v>0</v>
      </c>
      <c r="G6" s="3" t="n">
        <f aca="false">D6+E6</f>
        <v>19</v>
      </c>
      <c r="H6" s="11" t="n">
        <f aca="false">IF(C6=0,0,G6/C6)</f>
        <v>1</v>
      </c>
      <c r="I6" s="3"/>
    </row>
    <row r="7" customFormat="false" ht="15" hidden="false" customHeight="true" outlineLevel="0" collapsed="false">
      <c r="A7" s="3" t="s">
        <v>83</v>
      </c>
      <c r="B7" s="3" t="s">
        <v>84</v>
      </c>
      <c r="C7" s="3" t="n">
        <f aca="false">COUNTIF(Orders!$O$2:$O$501,A7)</f>
        <v>23</v>
      </c>
      <c r="D7" s="3" t="n">
        <f aca="false">COUNTIFS(Orders!$O$2:$O$501,A7,Orders!$Q$2:$Q$501,"fail")</f>
        <v>23</v>
      </c>
      <c r="E7" s="3" t="n">
        <f aca="false">COUNTIFS(Orders!$O$2:$O$501,A7,Orders!$Q$2:$Q$501,"warn")</f>
        <v>0</v>
      </c>
      <c r="F7" s="3" t="n">
        <f aca="false">COUNTIFS(Orders!$O$2:$O$501,A7,Orders!$Q$2:$Q$501,"pass")</f>
        <v>0</v>
      </c>
      <c r="G7" s="3" t="n">
        <f aca="false">D7+E7</f>
        <v>23</v>
      </c>
      <c r="H7" s="11" t="n">
        <f aca="false">IF(C7=0,0,G7/C7)</f>
        <v>1</v>
      </c>
      <c r="I7" s="3"/>
    </row>
    <row r="8" customFormat="false" ht="15" hidden="false" customHeight="true" outlineLevel="0" collapsed="false">
      <c r="A8" s="3" t="s">
        <v>159</v>
      </c>
      <c r="B8" s="3" t="s">
        <v>84</v>
      </c>
      <c r="C8" s="3" t="n">
        <f aca="false">COUNTIF(Orders!$O$2:$O$501,A8)</f>
        <v>15</v>
      </c>
      <c r="D8" s="3" t="n">
        <f aca="false">COUNTIFS(Orders!$O$2:$O$501,A8,Orders!$Q$2:$Q$501,"fail")</f>
        <v>15</v>
      </c>
      <c r="E8" s="3" t="n">
        <f aca="false">COUNTIFS(Orders!$O$2:$O$501,A8,Orders!$Q$2:$Q$501,"warn")</f>
        <v>0</v>
      </c>
      <c r="F8" s="3" t="n">
        <f aca="false">COUNTIFS(Orders!$O$2:$O$501,A8,Orders!$Q$2:$Q$501,"pass")</f>
        <v>0</v>
      </c>
      <c r="G8" s="3" t="n">
        <f aca="false">D8+E8</f>
        <v>15</v>
      </c>
      <c r="H8" s="11" t="n">
        <f aca="false">IF(C8=0,0,G8/C8)</f>
        <v>1</v>
      </c>
      <c r="I8" s="3"/>
    </row>
    <row r="9" customFormat="false" ht="15" hidden="false" customHeight="true" outlineLevel="0" collapsed="false">
      <c r="A9" s="3" t="s">
        <v>152</v>
      </c>
      <c r="B9" s="3" t="s">
        <v>84</v>
      </c>
      <c r="C9" s="3" t="n">
        <f aca="false">COUNTIF(Orders!$O$2:$O$501,A9)</f>
        <v>28</v>
      </c>
      <c r="D9" s="3" t="n">
        <f aca="false">COUNTIFS(Orders!$O$2:$O$501,A9,Orders!$Q$2:$Q$501,"fail")</f>
        <v>28</v>
      </c>
      <c r="E9" s="3" t="n">
        <f aca="false">COUNTIFS(Orders!$O$2:$O$501,A9,Orders!$Q$2:$Q$501,"warn")</f>
        <v>0</v>
      </c>
      <c r="F9" s="3" t="n">
        <f aca="false">COUNTIFS(Orders!$O$2:$O$501,A9,Orders!$Q$2:$Q$501,"pass")</f>
        <v>0</v>
      </c>
      <c r="G9" s="3" t="n">
        <f aca="false">D9+E9</f>
        <v>28</v>
      </c>
      <c r="H9" s="11" t="n">
        <f aca="false">IF(C9=0,0,G9/C9)</f>
        <v>1</v>
      </c>
      <c r="I9" s="3"/>
    </row>
    <row r="10" customFormat="false" ht="15" hidden="false" customHeight="true" outlineLevel="0" collapsed="false">
      <c r="A10" s="3" t="s">
        <v>171</v>
      </c>
      <c r="B10" s="3" t="s">
        <v>84</v>
      </c>
      <c r="C10" s="3" t="n">
        <f aca="false">COUNTIF(Orders!$O$2:$O$501,A10)</f>
        <v>16</v>
      </c>
      <c r="D10" s="3" t="n">
        <f aca="false">COUNTIFS(Orders!$O$2:$O$501,A10,Orders!$Q$2:$Q$501,"fail")</f>
        <v>16</v>
      </c>
      <c r="E10" s="3" t="n">
        <f aca="false">COUNTIFS(Orders!$O$2:$O$501,A10,Orders!$Q$2:$Q$501,"warn")</f>
        <v>0</v>
      </c>
      <c r="F10" s="3" t="n">
        <f aca="false">COUNTIFS(Orders!$O$2:$O$501,A10,Orders!$Q$2:$Q$501,"pass")</f>
        <v>0</v>
      </c>
      <c r="G10" s="3" t="n">
        <f aca="false">D10+E10</f>
        <v>16</v>
      </c>
      <c r="H10" s="11" t="n">
        <f aca="false">IF(C10=0,0,G10/C10)</f>
        <v>1</v>
      </c>
      <c r="I10" s="3"/>
    </row>
    <row r="11" customFormat="false" ht="15" hidden="false" customHeight="true" outlineLevel="0" collapsed="false">
      <c r="A11" s="3" t="s">
        <v>97</v>
      </c>
      <c r="B11" s="3" t="s">
        <v>84</v>
      </c>
      <c r="C11" s="3" t="n">
        <f aca="false">COUNTIF(Orders!$O$2:$O$501,A11)</f>
        <v>18</v>
      </c>
      <c r="D11" s="3" t="n">
        <f aca="false">COUNTIFS(Orders!$O$2:$O$501,A11,Orders!$Q$2:$Q$501,"fail")</f>
        <v>0</v>
      </c>
      <c r="E11" s="3" t="n">
        <f aca="false">COUNTIFS(Orders!$O$2:$O$501,A11,Orders!$Q$2:$Q$501,"warn")</f>
        <v>18</v>
      </c>
      <c r="F11" s="3" t="n">
        <f aca="false">COUNTIFS(Orders!$O$2:$O$501,A11,Orders!$Q$2:$Q$501,"pass")</f>
        <v>0</v>
      </c>
      <c r="G11" s="3" t="n">
        <f aca="false">D11+E11</f>
        <v>18</v>
      </c>
      <c r="H11" s="11" t="n">
        <f aca="false">IF(C11=0,0,G11/C11)</f>
        <v>1</v>
      </c>
      <c r="I11" s="3"/>
    </row>
    <row r="12" customFormat="false" ht="15" hidden="false" customHeight="true" outlineLevel="0" collapsed="false">
      <c r="A12" s="3" t="s">
        <v>132</v>
      </c>
      <c r="B12" s="3" t="s">
        <v>84</v>
      </c>
      <c r="C12" s="3" t="n">
        <f aca="false">COUNTIF(Orders!$O$2:$O$501,A12)</f>
        <v>25</v>
      </c>
      <c r="D12" s="3" t="n">
        <f aca="false">COUNTIFS(Orders!$O$2:$O$501,A12,Orders!$Q$2:$Q$501,"fail")</f>
        <v>25</v>
      </c>
      <c r="E12" s="3" t="n">
        <f aca="false">COUNTIFS(Orders!$O$2:$O$501,A12,Orders!$Q$2:$Q$501,"warn")</f>
        <v>0</v>
      </c>
      <c r="F12" s="3" t="n">
        <f aca="false">COUNTIFS(Orders!$O$2:$O$501,A12,Orders!$Q$2:$Q$501,"pass")</f>
        <v>0</v>
      </c>
      <c r="G12" s="3" t="n">
        <f aca="false">D12+E12</f>
        <v>25</v>
      </c>
      <c r="H12" s="11" t="n">
        <f aca="false">IF(C12=0,0,G12/C12)</f>
        <v>1</v>
      </c>
      <c r="I12" s="3"/>
    </row>
    <row r="13" customFormat="false" ht="15" hidden="false" customHeight="true" outlineLevel="0" collapsed="false">
      <c r="A13" s="3" t="s">
        <v>76</v>
      </c>
      <c r="B13" s="3" t="s">
        <v>58</v>
      </c>
      <c r="C13" s="3" t="n">
        <f aca="false">COUNTIF(Orders!$O$2:$O$501,A13)</f>
        <v>35</v>
      </c>
      <c r="D13" s="3" t="n">
        <f aca="false">COUNTIFS(Orders!$O$2:$O$501,A13,Orders!$Q$2:$Q$501,"fail")</f>
        <v>13</v>
      </c>
      <c r="E13" s="3" t="n">
        <f aca="false">COUNTIFS(Orders!$O$2:$O$501,A13,Orders!$Q$2:$Q$501,"warn")</f>
        <v>1</v>
      </c>
      <c r="F13" s="3" t="n">
        <f aca="false">COUNTIFS(Orders!$O$2:$O$501,A13,Orders!$Q$2:$Q$501,"pass")</f>
        <v>21</v>
      </c>
      <c r="G13" s="3" t="n">
        <f aca="false">D13+E13</f>
        <v>14</v>
      </c>
      <c r="H13" s="11" t="n">
        <f aca="false">IF(C13=0,0,G13/C13)</f>
        <v>0.4</v>
      </c>
      <c r="I13" s="3" t="s">
        <v>767</v>
      </c>
    </row>
    <row r="14" customFormat="false" ht="15" hidden="false" customHeight="true" outlineLevel="0" collapsed="false">
      <c r="A14" s="3" t="s">
        <v>110</v>
      </c>
      <c r="B14" s="3" t="s">
        <v>58</v>
      </c>
      <c r="C14" s="3" t="n">
        <f aca="false">COUNTIF(Orders!$O$2:$O$501,A14)</f>
        <v>30</v>
      </c>
      <c r="D14" s="3" t="n">
        <f aca="false">COUNTIFS(Orders!$O$2:$O$501,A14,Orders!$Q$2:$Q$501,"fail")</f>
        <v>0</v>
      </c>
      <c r="E14" s="3" t="n">
        <f aca="false">COUNTIFS(Orders!$O$2:$O$501,A14,Orders!$Q$2:$Q$501,"warn")</f>
        <v>19</v>
      </c>
      <c r="F14" s="3" t="n">
        <f aca="false">COUNTIFS(Orders!$O$2:$O$501,A14,Orders!$Q$2:$Q$501,"pass")</f>
        <v>11</v>
      </c>
      <c r="G14" s="3" t="n">
        <f aca="false">D14+E14</f>
        <v>19</v>
      </c>
      <c r="H14" s="11" t="n">
        <f aca="false">IF(C14=0,0,G14/C14)</f>
        <v>0.633333333333333</v>
      </c>
      <c r="I14" s="3" t="s">
        <v>768</v>
      </c>
    </row>
    <row r="15" customFormat="false" ht="15" hidden="false" customHeight="true" outlineLevel="0" collapsed="false">
      <c r="A15" s="3" t="s">
        <v>118</v>
      </c>
      <c r="B15" s="3" t="s">
        <v>58</v>
      </c>
      <c r="C15" s="3" t="n">
        <f aca="false">COUNTIF(Orders!$O$2:$O$501,A15)</f>
        <v>22</v>
      </c>
      <c r="D15" s="3" t="n">
        <f aca="false">COUNTIFS(Orders!$O$2:$O$501,A15,Orders!$Q$2:$Q$501,"fail")</f>
        <v>0</v>
      </c>
      <c r="E15" s="3" t="n">
        <f aca="false">COUNTIFS(Orders!$O$2:$O$501,A15,Orders!$Q$2:$Q$501,"warn")</f>
        <v>4</v>
      </c>
      <c r="F15" s="3" t="n">
        <f aca="false">COUNTIFS(Orders!$O$2:$O$501,A15,Orders!$Q$2:$Q$501,"pass")</f>
        <v>18</v>
      </c>
      <c r="G15" s="3" t="n">
        <f aca="false">D15+E15</f>
        <v>4</v>
      </c>
      <c r="H15" s="11" t="n">
        <f aca="false">IF(C15=0,0,G15/C15)</f>
        <v>0.181818181818182</v>
      </c>
      <c r="I15" s="3" t="s">
        <v>769</v>
      </c>
    </row>
    <row r="16" customFormat="false" ht="15" hidden="false" customHeight="true" outlineLevel="0" collapsed="false">
      <c r="A16" s="4" t="s">
        <v>763</v>
      </c>
      <c r="C16" s="4" t="n">
        <f aca="false">SUM(C2:C15)</f>
        <v>500</v>
      </c>
      <c r="D16" s="4" t="n">
        <f aca="false">SUM(D2:D15)</f>
        <v>192</v>
      </c>
      <c r="E16" s="4" t="n">
        <f aca="false">SUM(E2:E15)</f>
        <v>75</v>
      </c>
      <c r="F16" s="4" t="n">
        <f aca="false">SUM(F2:F15)</f>
        <v>233</v>
      </c>
      <c r="G16" s="4" t="n">
        <f aca="false">SUM(G2:G15)</f>
        <v>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8"/>
    <col collapsed="false" customWidth="true" hidden="false" outlineLevel="0" max="3" min="3" style="1" width="46"/>
    <col collapsed="false" customWidth="true" hidden="false" outlineLevel="0" max="4" min="4" style="1" width="10"/>
  </cols>
  <sheetData>
    <row r="1" customFormat="false" ht="15" hidden="false" customHeight="true" outlineLevel="0" collapsed="false">
      <c r="A1" s="4" t="s">
        <v>770</v>
      </c>
    </row>
    <row r="3" customFormat="false" ht="15" hidden="false" customHeight="true" outlineLevel="0" collapsed="false">
      <c r="A3" s="4" t="s">
        <v>771</v>
      </c>
    </row>
    <row r="4" customFormat="false" ht="26.25" hidden="false" customHeight="true" outlineLevel="0" collapsed="false">
      <c r="A4" s="7"/>
      <c r="B4" s="7" t="s">
        <v>772</v>
      </c>
      <c r="C4" s="7" t="s">
        <v>773</v>
      </c>
      <c r="D4" s="7" t="s">
        <v>763</v>
      </c>
    </row>
    <row r="5" customFormat="false" ht="15" hidden="false" customHeight="true" outlineLevel="0" collapsed="false">
      <c r="A5" s="4" t="s">
        <v>774</v>
      </c>
      <c r="B5" s="12" t="n">
        <f aca="false">COUNTIFS(Orders!$O$2:$O$501,"&lt;&gt;Clean order (no error)",Orders!$Q$2:$Q$501,"&lt;&gt;pass")</f>
        <v>234</v>
      </c>
      <c r="C5" s="12" t="n">
        <f aca="false">COUNTIFS(Orders!$O$2:$O$501,"&lt;&gt;Clean order (no error)",Orders!$Q$2:$Q$501,"pass")</f>
        <v>50</v>
      </c>
      <c r="D5" s="12" t="n">
        <f aca="false">B5+C5</f>
        <v>284</v>
      </c>
    </row>
    <row r="6" customFormat="false" ht="15" hidden="false" customHeight="true" outlineLevel="0" collapsed="false">
      <c r="A6" s="4" t="s">
        <v>775</v>
      </c>
      <c r="B6" s="12" t="n">
        <f aca="false">COUNTIFS(Orders!$O$2:$O$501,"Clean order (no error)",Orders!$Q$2:$Q$501,"&lt;&gt;pass")</f>
        <v>33</v>
      </c>
      <c r="C6" s="12" t="n">
        <f aca="false">COUNTIFS(Orders!$O$2:$O$501,"Clean order (no error)",Orders!$Q$2:$Q$501,"pass")</f>
        <v>183</v>
      </c>
      <c r="D6" s="12" t="n">
        <f aca="false">B6+C6</f>
        <v>216</v>
      </c>
    </row>
    <row r="8" customFormat="false" ht="15" hidden="false" customHeight="true" outlineLevel="0" collapsed="false">
      <c r="A8" s="4" t="s">
        <v>776</v>
      </c>
      <c r="B8" s="13" t="n">
        <f aca="false">(B5+C6)/(B5+C5+B6+C6)</f>
        <v>0.834</v>
      </c>
      <c r="C8" s="14" t="s">
        <v>777</v>
      </c>
    </row>
    <row r="9" customFormat="false" ht="15" hidden="false" customHeight="true" outlineLevel="0" collapsed="false">
      <c r="A9" s="4" t="s">
        <v>778</v>
      </c>
      <c r="B9" s="13" t="n">
        <f aca="false">B5/(B5+B6)</f>
        <v>0.876404494382023</v>
      </c>
      <c r="C9" s="14" t="s">
        <v>779</v>
      </c>
    </row>
    <row r="10" customFormat="false" ht="15" hidden="false" customHeight="true" outlineLevel="0" collapsed="false">
      <c r="A10" s="4" t="s">
        <v>780</v>
      </c>
      <c r="B10" s="13" t="n">
        <f aca="false">B5/(B5+C5)</f>
        <v>0.823943661971831</v>
      </c>
      <c r="C10" s="14" t="s">
        <v>781</v>
      </c>
    </row>
    <row r="11" customFormat="false" ht="15" hidden="false" customHeight="true" outlineLevel="0" collapsed="false">
      <c r="A11" s="4" t="s">
        <v>782</v>
      </c>
      <c r="B11" s="13" t="n">
        <f aca="false">C6/(C6+B6)</f>
        <v>0.847222222222222</v>
      </c>
      <c r="C11" s="14" t="s">
        <v>783</v>
      </c>
    </row>
    <row r="12" customFormat="false" ht="15" hidden="false" customHeight="true" outlineLevel="0" collapsed="false">
      <c r="A12" s="4" t="s">
        <v>784</v>
      </c>
      <c r="B12" s="13" t="n">
        <f aca="false">2*B9*B10/(B9+B10)</f>
        <v>0.849364791288566</v>
      </c>
      <c r="C12" s="14" t="s">
        <v>785</v>
      </c>
    </row>
    <row r="15" customFormat="false" ht="15" hidden="false" customHeight="true" outlineLevel="0" collapsed="false">
      <c r="A15" s="4" t="s">
        <v>786</v>
      </c>
    </row>
    <row r="16" customFormat="false" ht="26.25" hidden="false" customHeight="true" outlineLevel="0" collapsed="false">
      <c r="A16" s="7"/>
      <c r="B16" s="7" t="s">
        <v>772</v>
      </c>
      <c r="C16" s="7" t="s">
        <v>773</v>
      </c>
      <c r="D16" s="7" t="s">
        <v>763</v>
      </c>
    </row>
    <row r="17" customFormat="false" ht="15" hidden="false" customHeight="true" outlineLevel="0" collapsed="false">
      <c r="A17" s="4" t="s">
        <v>774</v>
      </c>
      <c r="B17" s="12" t="n">
        <f aca="false">COUNTIFS(Orders!$O$2:$O$501,"&lt;&gt;Clean order (no error)",Orders!$P$2:$P$501,"Yes",Orders!$Q$2:$Q$501,"&lt;&gt;pass")</f>
        <v>197</v>
      </c>
      <c r="C17" s="12" t="n">
        <f aca="false">COUNTIFS(Orders!$O$2:$O$501,"&lt;&gt;Clean order (no error)",Orders!$P$2:$P$501,"Yes",Orders!$Q$2:$Q$501,"pass")</f>
        <v>0</v>
      </c>
      <c r="D17" s="12" t="n">
        <f aca="false">B17+C17</f>
        <v>197</v>
      </c>
    </row>
    <row r="18" customFormat="false" ht="15" hidden="false" customHeight="true" outlineLevel="0" collapsed="false">
      <c r="A18" s="4" t="s">
        <v>775</v>
      </c>
      <c r="B18" s="12" t="n">
        <f aca="false">COUNTIFS(Orders!$O$2:$O$501,"Clean order (no error)",Orders!$Q$2:$Q$501,"&lt;&gt;pass")</f>
        <v>33</v>
      </c>
      <c r="C18" s="12" t="n">
        <f aca="false">COUNTIFS(Orders!$O$2:$O$501,"Clean order (no error)",Orders!$Q$2:$Q$501,"pass")</f>
        <v>183</v>
      </c>
      <c r="D18" s="12" t="n">
        <f aca="false">B18+C18</f>
        <v>216</v>
      </c>
    </row>
    <row r="20" customFormat="false" ht="15" hidden="false" customHeight="true" outlineLevel="0" collapsed="false">
      <c r="A20" s="4" t="s">
        <v>776</v>
      </c>
      <c r="B20" s="13" t="n">
        <f aca="false">(B17+C18)/(B17+C17+B18+C18)</f>
        <v>0.920096852300242</v>
      </c>
      <c r="C20" s="14" t="s">
        <v>777</v>
      </c>
    </row>
    <row r="21" customFormat="false" ht="15" hidden="false" customHeight="true" outlineLevel="0" collapsed="false">
      <c r="A21" s="4" t="s">
        <v>778</v>
      </c>
      <c r="B21" s="13" t="n">
        <f aca="false">B17/(B17+B18)</f>
        <v>0.856521739130435</v>
      </c>
      <c r="C21" s="14" t="s">
        <v>779</v>
      </c>
    </row>
    <row r="22" customFormat="false" ht="15" hidden="false" customHeight="true" outlineLevel="0" collapsed="false">
      <c r="A22" s="4" t="s">
        <v>780</v>
      </c>
      <c r="B22" s="13" t="n">
        <f aca="false">B17/(B17+C17)</f>
        <v>1</v>
      </c>
      <c r="C22" s="14" t="s">
        <v>781</v>
      </c>
    </row>
    <row r="23" customFormat="false" ht="15" hidden="false" customHeight="true" outlineLevel="0" collapsed="false">
      <c r="A23" s="4" t="s">
        <v>782</v>
      </c>
      <c r="B23" s="13" t="n">
        <f aca="false">C18/(C18+B18)</f>
        <v>0.847222222222222</v>
      </c>
      <c r="C23" s="14" t="s">
        <v>783</v>
      </c>
    </row>
    <row r="24" customFormat="false" ht="15" hidden="false" customHeight="true" outlineLevel="0" collapsed="false">
      <c r="A24" s="4" t="s">
        <v>784</v>
      </c>
      <c r="B24" s="13" t="n">
        <f aca="false">2*B21*B22/(B21+B22)</f>
        <v>0.92271662763466</v>
      </c>
      <c r="C24" s="14" t="s">
        <v>785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1"/>
    <col collapsed="false" customWidth="true" hidden="false" outlineLevel="0" max="3" min="3" style="1" width="18"/>
    <col collapsed="false" customWidth="true" hidden="false" outlineLevel="0" max="5" min="4" style="1" width="28"/>
    <col collapsed="false" customWidth="true" hidden="false" outlineLevel="0" max="6" min="6" style="1" width="16"/>
  </cols>
  <sheetData>
    <row r="1" customFormat="false" ht="26.25" hidden="false" customHeight="true" outlineLevel="0" collapsed="false">
      <c r="A1" s="7" t="s">
        <v>787</v>
      </c>
      <c r="B1" s="7" t="s">
        <v>788</v>
      </c>
      <c r="C1" s="7" t="s">
        <v>789</v>
      </c>
      <c r="D1" s="7" t="s">
        <v>790</v>
      </c>
      <c r="E1" s="7" t="s">
        <v>791</v>
      </c>
      <c r="F1" s="7" t="s">
        <v>792</v>
      </c>
    </row>
    <row r="2" customFormat="false" ht="15" hidden="false" customHeight="true" outlineLevel="0" collapsed="false">
      <c r="A2" s="3" t="s">
        <v>61</v>
      </c>
      <c r="B2" s="3" t="s">
        <v>793</v>
      </c>
      <c r="C2" s="3" t="n">
        <v>93</v>
      </c>
      <c r="D2" s="3" t="n">
        <v>61</v>
      </c>
      <c r="E2" s="3" t="n">
        <v>32</v>
      </c>
      <c r="F2" s="11" t="n">
        <f aca="false">IF(C2=0,0,E2/C2)</f>
        <v>0.344086021505376</v>
      </c>
    </row>
    <row r="3" customFormat="false" ht="15" hidden="false" customHeight="true" outlineLevel="0" collapsed="false">
      <c r="A3" s="3" t="s">
        <v>87</v>
      </c>
      <c r="B3" s="3" t="s">
        <v>794</v>
      </c>
      <c r="C3" s="3" t="n">
        <v>79</v>
      </c>
      <c r="D3" s="3" t="n">
        <v>79</v>
      </c>
      <c r="E3" s="3" t="n">
        <v>0</v>
      </c>
      <c r="F3" s="11" t="n">
        <f aca="false">IF(C3=0,0,E3/C3)</f>
        <v>0</v>
      </c>
    </row>
    <row r="4" customFormat="false" ht="15" hidden="false" customHeight="true" outlineLevel="0" collapsed="false">
      <c r="A4" s="3" t="s">
        <v>209</v>
      </c>
      <c r="B4" s="3" t="s">
        <v>794</v>
      </c>
      <c r="C4" s="3" t="n">
        <v>56</v>
      </c>
      <c r="D4" s="3" t="n">
        <v>56</v>
      </c>
      <c r="E4" s="3" t="n">
        <v>0</v>
      </c>
      <c r="F4" s="11" t="n">
        <f aca="false">IF(C4=0,0,E4/C4)</f>
        <v>0</v>
      </c>
    </row>
    <row r="5" customFormat="false" ht="15" hidden="false" customHeight="true" outlineLevel="0" collapsed="false">
      <c r="A5" s="3" t="s">
        <v>273</v>
      </c>
      <c r="B5" s="3" t="s">
        <v>794</v>
      </c>
      <c r="C5" s="3" t="n">
        <v>45</v>
      </c>
      <c r="D5" s="3" t="n">
        <v>45</v>
      </c>
      <c r="E5" s="3" t="n">
        <v>0</v>
      </c>
      <c r="F5" s="11" t="n">
        <f aca="false">IF(C5=0,0,E5/C5)</f>
        <v>0</v>
      </c>
    </row>
    <row r="6" customFormat="false" ht="15" hidden="false" customHeight="true" outlineLevel="0" collapsed="false">
      <c r="A6" s="3" t="s">
        <v>149</v>
      </c>
      <c r="B6" s="3" t="s">
        <v>794</v>
      </c>
      <c r="C6" s="3" t="n">
        <v>33</v>
      </c>
      <c r="D6" s="3" t="n">
        <v>33</v>
      </c>
      <c r="E6" s="3" t="n">
        <v>0</v>
      </c>
      <c r="F6" s="11" t="n">
        <f aca="false">IF(C6=0,0,E6/C6)</f>
        <v>0</v>
      </c>
    </row>
    <row r="7" customFormat="false" ht="15" hidden="false" customHeight="true" outlineLevel="0" collapsed="false">
      <c r="A7" s="3" t="s">
        <v>97</v>
      </c>
      <c r="B7" s="3" t="s">
        <v>793</v>
      </c>
      <c r="C7" s="3" t="n">
        <v>22</v>
      </c>
      <c r="D7" s="3" t="n">
        <v>21</v>
      </c>
      <c r="E7" s="3" t="n">
        <v>1</v>
      </c>
      <c r="F7" s="11" t="n">
        <f aca="false">IF(C7=0,0,E7/C7)</f>
        <v>0.0454545454545455</v>
      </c>
    </row>
    <row r="8" customFormat="false" ht="15" hidden="false" customHeight="true" outlineLevel="0" collapsed="false">
      <c r="A8" s="3" t="s">
        <v>253</v>
      </c>
      <c r="B8" s="3" t="s">
        <v>794</v>
      </c>
      <c r="C8" s="3" t="n">
        <v>19</v>
      </c>
      <c r="D8" s="3" t="n">
        <v>19</v>
      </c>
      <c r="E8" s="3" t="n">
        <v>0</v>
      </c>
      <c r="F8" s="11" t="n">
        <f aca="false">IF(C8=0,0,E8/C8)</f>
        <v>0</v>
      </c>
    </row>
    <row r="10" customFormat="false" ht="15" hidden="false" customHeight="true" outlineLevel="0" collapsed="false">
      <c r="A10" s="14" t="s">
        <v>795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2"/>
    <col collapsed="false" customWidth="true" hidden="false" outlineLevel="0" max="3" min="3" style="1" width="10"/>
  </cols>
  <sheetData>
    <row r="1" customFormat="false" ht="15" hidden="false" customHeight="true" outlineLevel="0" collapsed="false">
      <c r="A1" s="7" t="s">
        <v>796</v>
      </c>
      <c r="B1" s="7" t="s">
        <v>50</v>
      </c>
    </row>
    <row r="2" customFormat="false" ht="15" hidden="false" customHeight="true" outlineLevel="0" collapsed="false">
      <c r="A2" s="3" t="s">
        <v>797</v>
      </c>
      <c r="B2" s="15" t="n">
        <f aca="false">COUNT(Orders!$V$2:$V$501)</f>
        <v>500</v>
      </c>
    </row>
    <row r="3" customFormat="false" ht="15" hidden="false" customHeight="true" outlineLevel="0" collapsed="false">
      <c r="A3" s="3" t="s">
        <v>798</v>
      </c>
      <c r="B3" s="16" t="n">
        <f aca="false">AVERAGE(Orders!$V$2:$V$501)</f>
        <v>25.11592</v>
      </c>
    </row>
    <row r="4" customFormat="false" ht="15" hidden="false" customHeight="true" outlineLevel="0" collapsed="false">
      <c r="A4" s="3" t="s">
        <v>799</v>
      </c>
      <c r="B4" s="16" t="n">
        <f aca="false">MEDIAN(Orders!$V$2:$V$501)</f>
        <v>18.7335</v>
      </c>
    </row>
    <row r="5" customFormat="false" ht="15" hidden="false" customHeight="true" outlineLevel="0" collapsed="false">
      <c r="A5" s="3" t="s">
        <v>800</v>
      </c>
      <c r="B5" s="16" t="n">
        <f aca="false">PERCENTILE(Orders!$V$2:$V$501,0.95)</f>
        <v>70.12805</v>
      </c>
    </row>
    <row r="6" customFormat="false" ht="15" hidden="false" customHeight="true" outlineLevel="0" collapsed="false">
      <c r="A6" s="3" t="s">
        <v>801</v>
      </c>
      <c r="B6" s="16" t="n">
        <f aca="false">MIN(Orders!$V$2:$V$501)</f>
        <v>1.765</v>
      </c>
    </row>
    <row r="7" customFormat="false" ht="15" hidden="false" customHeight="true" outlineLevel="0" collapsed="false">
      <c r="A7" s="3" t="s">
        <v>802</v>
      </c>
      <c r="B7" s="16" t="n">
        <f aca="false">MAX(Orders!$V$2:$V$501)</f>
        <v>101.875</v>
      </c>
    </row>
    <row r="8" customFormat="false" ht="15" hidden="false" customHeight="true" outlineLevel="0" collapsed="false">
      <c r="A8" s="3" t="s">
        <v>803</v>
      </c>
      <c r="B8" s="16" t="n">
        <f aca="false">STDEVP(Orders!$V$2:$V$501)</f>
        <v>20.7462614002041</v>
      </c>
    </row>
    <row r="9" customFormat="false" ht="15" hidden="false" customHeight="true" outlineLevel="0" collapsed="false">
      <c r="A9" s="3" t="s">
        <v>804</v>
      </c>
      <c r="B9" s="16" t="n">
        <f aca="false">AVERAGEIF(Orders!$Q$2:$Q$501,"pass",Orders!$V$2:$V$501)</f>
        <v>24.2379570815451</v>
      </c>
    </row>
    <row r="10" customFormat="false" ht="15" hidden="false" customHeight="true" outlineLevel="0" collapsed="false">
      <c r="A10" s="3" t="s">
        <v>805</v>
      </c>
      <c r="B10" s="16" t="n">
        <f aca="false">AVERAGEIF(Orders!$Q$2:$Q$501,"warn",Orders!$V$2:$V$501)</f>
        <v>24.5056666666667</v>
      </c>
    </row>
    <row r="11" customFormat="false" ht="15" hidden="false" customHeight="true" outlineLevel="0" collapsed="false">
      <c r="A11" s="3" t="s">
        <v>806</v>
      </c>
      <c r="B11" s="16" t="n">
        <f aca="false">AVERAGEIF(Orders!$Q$2:$Q$501,"fail",Orders!$V$2:$V$501)</f>
        <v>26.4197447916667</v>
      </c>
    </row>
    <row r="13" customFormat="false" ht="15" hidden="false" customHeight="true" outlineLevel="0" collapsed="false">
      <c r="A13" s="7" t="s">
        <v>807</v>
      </c>
      <c r="B13" s="7" t="s">
        <v>808</v>
      </c>
      <c r="C13" s="7" t="s">
        <v>758</v>
      </c>
    </row>
    <row r="14" customFormat="false" ht="15" hidden="false" customHeight="true" outlineLevel="0" collapsed="false">
      <c r="A14" s="12" t="n">
        <v>0</v>
      </c>
      <c r="B14" s="12" t="n">
        <v>5</v>
      </c>
      <c r="C14" s="12" t="n">
        <f aca="false">COUNTIFS(Orders!$V$2:$V$501,"&gt;="&amp;A14,Orders!$V$2:$V$501,"&lt;"&amp;B14)</f>
        <v>59</v>
      </c>
    </row>
    <row r="15" customFormat="false" ht="15" hidden="false" customHeight="true" outlineLevel="0" collapsed="false">
      <c r="A15" s="12" t="n">
        <v>5</v>
      </c>
      <c r="B15" s="12" t="n">
        <v>10</v>
      </c>
      <c r="C15" s="12" t="n">
        <f aca="false">COUNTIFS(Orders!$V$2:$V$501,"&gt;="&amp;A15,Orders!$V$2:$V$501,"&lt;"&amp;B15)</f>
        <v>84</v>
      </c>
    </row>
    <row r="16" customFormat="false" ht="15" hidden="false" customHeight="true" outlineLevel="0" collapsed="false">
      <c r="A16" s="12" t="n">
        <v>10</v>
      </c>
      <c r="B16" s="12" t="n">
        <v>15</v>
      </c>
      <c r="C16" s="12" t="n">
        <f aca="false">COUNTIFS(Orders!$V$2:$V$501,"&gt;="&amp;A16,Orders!$V$2:$V$501,"&lt;"&amp;B16)</f>
        <v>68</v>
      </c>
    </row>
    <row r="17" customFormat="false" ht="15" hidden="false" customHeight="true" outlineLevel="0" collapsed="false">
      <c r="A17" s="12" t="n">
        <v>15</v>
      </c>
      <c r="B17" s="12" t="n">
        <v>20</v>
      </c>
      <c r="C17" s="12" t="n">
        <f aca="false">COUNTIFS(Orders!$V$2:$V$501,"&gt;="&amp;A17,Orders!$V$2:$V$501,"&lt;"&amp;B17)</f>
        <v>52</v>
      </c>
    </row>
    <row r="18" customFormat="false" ht="15" hidden="false" customHeight="true" outlineLevel="0" collapsed="false">
      <c r="A18" s="12" t="n">
        <v>20</v>
      </c>
      <c r="B18" s="12" t="n">
        <v>25</v>
      </c>
      <c r="C18" s="12" t="n">
        <f aca="false">COUNTIFS(Orders!$V$2:$V$501,"&gt;="&amp;A18,Orders!$V$2:$V$501,"&lt;"&amp;B18)</f>
        <v>42</v>
      </c>
    </row>
    <row r="19" customFormat="false" ht="15" hidden="false" customHeight="true" outlineLevel="0" collapsed="false">
      <c r="A19" s="12" t="n">
        <v>25</v>
      </c>
      <c r="B19" s="12" t="n">
        <v>30</v>
      </c>
      <c r="C19" s="12" t="n">
        <f aca="false">COUNTIFS(Orders!$V$2:$V$501,"&gt;="&amp;A19,Orders!$V$2:$V$501,"&lt;"&amp;B19)</f>
        <v>36</v>
      </c>
    </row>
    <row r="20" customFormat="false" ht="15" hidden="false" customHeight="true" outlineLevel="0" collapsed="false">
      <c r="A20" s="12" t="n">
        <v>30</v>
      </c>
      <c r="B20" s="12" t="n">
        <v>35</v>
      </c>
      <c r="C20" s="12" t="n">
        <f aca="false">COUNTIFS(Orders!$V$2:$V$501,"&gt;="&amp;A20,Orders!$V$2:$V$501,"&lt;"&amp;B20)</f>
        <v>29</v>
      </c>
    </row>
    <row r="21" customFormat="false" ht="15" hidden="false" customHeight="true" outlineLevel="0" collapsed="false">
      <c r="A21" s="12" t="n">
        <v>35</v>
      </c>
      <c r="B21" s="12" t="n">
        <v>40</v>
      </c>
      <c r="C21" s="12" t="n">
        <f aca="false">COUNTIFS(Orders!$V$2:$V$501,"&gt;="&amp;A21,Orders!$V$2:$V$501,"&lt;"&amp;B21)</f>
        <v>27</v>
      </c>
    </row>
    <row r="22" customFormat="false" ht="15" hidden="false" customHeight="true" outlineLevel="0" collapsed="false">
      <c r="A22" s="12" t="n">
        <v>40</v>
      </c>
      <c r="B22" s="12" t="n">
        <v>45</v>
      </c>
      <c r="C22" s="12" t="n">
        <f aca="false">COUNTIFS(Orders!$V$2:$V$501,"&gt;="&amp;A22,Orders!$V$2:$V$501,"&lt;"&amp;B22)</f>
        <v>23</v>
      </c>
    </row>
    <row r="23" customFormat="false" ht="15" hidden="false" customHeight="true" outlineLevel="0" collapsed="false">
      <c r="A23" s="12" t="n">
        <v>45</v>
      </c>
      <c r="B23" s="12" t="n">
        <v>50</v>
      </c>
      <c r="C23" s="12" t="n">
        <f aca="false">COUNTIFS(Orders!$V$2:$V$501,"&gt;="&amp;A23,Orders!$V$2:$V$501,"&lt;"&amp;B23)</f>
        <v>18</v>
      </c>
    </row>
    <row r="24" customFormat="false" ht="15" hidden="false" customHeight="true" outlineLevel="0" collapsed="false">
      <c r="A24" s="12" t="n">
        <v>50</v>
      </c>
      <c r="B24" s="12" t="n">
        <v>55</v>
      </c>
      <c r="C24" s="12" t="n">
        <f aca="false">COUNTIFS(Orders!$V$2:$V$501,"&gt;="&amp;A24,Orders!$V$2:$V$501,"&lt;"&amp;B24)</f>
        <v>10</v>
      </c>
    </row>
    <row r="25" customFormat="false" ht="15" hidden="false" customHeight="true" outlineLevel="0" collapsed="false">
      <c r="A25" s="12" t="n">
        <v>55</v>
      </c>
      <c r="B25" s="12" t="n">
        <v>60</v>
      </c>
      <c r="C25" s="12" t="n">
        <f aca="false">COUNTIFS(Orders!$V$2:$V$501,"&gt;="&amp;A25,Orders!$V$2:$V$501,"&lt;"&amp;B25)</f>
        <v>9</v>
      </c>
    </row>
    <row r="26" customFormat="false" ht="15" hidden="false" customHeight="true" outlineLevel="0" collapsed="false">
      <c r="A26" s="12" t="n">
        <v>60</v>
      </c>
      <c r="B26" s="12" t="n">
        <v>65</v>
      </c>
      <c r="C26" s="12" t="n">
        <f aca="false">COUNTIFS(Orders!$V$2:$V$501,"&gt;="&amp;A26,Orders!$V$2:$V$501,"&lt;"&amp;B26)</f>
        <v>11</v>
      </c>
    </row>
    <row r="27" customFormat="false" ht="15" hidden="false" customHeight="true" outlineLevel="0" collapsed="false">
      <c r="A27" s="12" t="n">
        <v>65</v>
      </c>
      <c r="B27" s="12" t="n">
        <v>70</v>
      </c>
      <c r="C27" s="12" t="n">
        <f aca="false">COUNTIFS(Orders!$V$2:$V$501,"&gt;="&amp;A27,Orders!$V$2:$V$501,"&lt;"&amp;B27)</f>
        <v>6</v>
      </c>
    </row>
    <row r="28" customFormat="false" ht="15" hidden="false" customHeight="true" outlineLevel="0" collapsed="false">
      <c r="A28" s="12" t="n">
        <v>70</v>
      </c>
      <c r="B28" s="12" t="n">
        <v>75</v>
      </c>
      <c r="C28" s="12" t="n">
        <f aca="false">COUNTIFS(Orders!$V$2:$V$501,"&gt;="&amp;A28,Orders!$V$2:$V$501,"&lt;"&amp;B28)</f>
        <v>9</v>
      </c>
    </row>
    <row r="29" customFormat="false" ht="15" hidden="false" customHeight="true" outlineLevel="0" collapsed="false">
      <c r="A29" s="12" t="n">
        <v>75</v>
      </c>
      <c r="B29" s="12" t="n">
        <v>80</v>
      </c>
      <c r="C29" s="12" t="n">
        <f aca="false">COUNTIFS(Orders!$V$2:$V$501,"&gt;="&amp;A29,Orders!$V$2:$V$501,"&lt;"&amp;B29)</f>
        <v>7</v>
      </c>
    </row>
    <row r="30" customFormat="false" ht="15" hidden="false" customHeight="true" outlineLevel="0" collapsed="false">
      <c r="A30" s="12" t="n">
        <v>80</v>
      </c>
      <c r="B30" s="12" t="n">
        <v>85</v>
      </c>
      <c r="C30" s="12" t="n">
        <f aca="false">COUNTIFS(Orders!$V$2:$V$501,"&gt;="&amp;A30,Orders!$V$2:$V$501,"&lt;"&amp;B30)</f>
        <v>3</v>
      </c>
    </row>
    <row r="31" customFormat="false" ht="15" hidden="false" customHeight="true" outlineLevel="0" collapsed="false">
      <c r="A31" s="12" t="n">
        <v>85</v>
      </c>
      <c r="B31" s="12" t="n">
        <v>90</v>
      </c>
      <c r="C31" s="12" t="n">
        <f aca="false">COUNTIFS(Orders!$V$2:$V$501,"&gt;="&amp;A31,Orders!$V$2:$V$501,"&lt;"&amp;B31)</f>
        <v>4</v>
      </c>
    </row>
    <row r="32" customFormat="false" ht="15" hidden="false" customHeight="true" outlineLevel="0" collapsed="false">
      <c r="A32" s="12" t="n">
        <v>90</v>
      </c>
      <c r="B32" s="12" t="n">
        <v>95</v>
      </c>
      <c r="C32" s="12" t="n">
        <f aca="false">COUNTIFS(Orders!$V$2:$V$501,"&gt;="&amp;A32,Orders!$V$2:$V$501,"&lt;"&amp;B32)</f>
        <v>0</v>
      </c>
    </row>
    <row r="33" customFormat="false" ht="15" hidden="false" customHeight="true" outlineLevel="0" collapsed="false">
      <c r="A33" s="12" t="n">
        <v>95</v>
      </c>
      <c r="B33" s="12" t="n">
        <v>100</v>
      </c>
      <c r="C33" s="12" t="n">
        <f aca="false">COUNTIFS(Orders!$V$2:$V$501,"&gt;="&amp;A33,Orders!$V$2:$V$501,"&lt;"&amp;B33)</f>
        <v>1</v>
      </c>
    </row>
    <row r="34" customFormat="false" ht="15" hidden="false" customHeight="true" outlineLevel="0" collapsed="false">
      <c r="A34" s="12" t="n">
        <v>100</v>
      </c>
      <c r="B34" s="12" t="n">
        <v>105</v>
      </c>
      <c r="C34" s="12" t="n">
        <f aca="false">COUNTIFS(Orders!$V$2:$V$501,"&gt;="&amp;A34,Orders!$V$2:$V$501,"&lt;"&amp;B34)</f>
        <v>2</v>
      </c>
    </row>
    <row r="36" customFormat="false" ht="15" hidden="false" customHeight="true" outlineLevel="0" collapsed="false">
      <c r="A36" s="14" t="s">
        <v>809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8"/>
    <col collapsed="false" customWidth="true" hidden="false" outlineLevel="0" max="3" min="3" style="1" width="44"/>
    <col collapsed="false" customWidth="true" hidden="false" outlineLevel="0" max="4" min="4" style="1" width="12"/>
    <col collapsed="false" customWidth="true" hidden="false" outlineLevel="0" max="5" min="5" style="1" width="70"/>
  </cols>
  <sheetData>
    <row r="1" customFormat="false" ht="15" hidden="false" customHeight="true" outlineLevel="0" collapsed="false">
      <c r="A1" s="7" t="s">
        <v>810</v>
      </c>
      <c r="B1" s="7" t="s">
        <v>811</v>
      </c>
      <c r="C1" s="7" t="s">
        <v>812</v>
      </c>
      <c r="D1" s="7" t="s">
        <v>813</v>
      </c>
      <c r="E1" s="7" t="s">
        <v>814</v>
      </c>
    </row>
    <row r="2" customFormat="false" ht="26.25" hidden="false" customHeight="true" outlineLevel="0" collapsed="false">
      <c r="A2" s="17" t="s">
        <v>815</v>
      </c>
      <c r="B2" s="17" t="s">
        <v>816</v>
      </c>
      <c r="C2" s="17" t="str">
        <f aca="false">COUNTA(Orders!$A$2:$A$501)&amp;" orders processed"</f>
        <v>500 orders processed</v>
      </c>
      <c r="D2" s="18" t="s">
        <v>817</v>
      </c>
      <c r="E2" s="17" t="s">
        <v>818</v>
      </c>
    </row>
    <row r="3" customFormat="false" ht="39" hidden="false" customHeight="true" outlineLevel="0" collapsed="false">
      <c r="A3" s="17" t="s">
        <v>819</v>
      </c>
      <c r="B3" s="17" t="s">
        <v>820</v>
      </c>
      <c r="C3" s="17" t="str">
        <f aca="false">TEXT('Confusion matrix'!B8,"0.0%")&amp;" on all orders; "&amp;TEXT('Confusion matrix'!B20,"0.0%")&amp;" on rule-covered errors"</f>
        <v>83.4% on all orders; 92.0% on rule-covered errors</v>
      </c>
      <c r="D3" s="19" t="s">
        <v>821</v>
      </c>
      <c r="E3" s="17" t="s">
        <v>822</v>
      </c>
    </row>
    <row r="4" customFormat="false" ht="26.25" hidden="false" customHeight="true" outlineLevel="0" collapsed="false">
      <c r="A4" s="17" t="s">
        <v>823</v>
      </c>
      <c r="B4" s="17" t="s">
        <v>824</v>
      </c>
      <c r="C4" s="17" t="str">
        <f aca="false">TEXT(COUNTIFS(Orders!$S$2:$S$501,"pending_approval",Orders!$G$2:$G$501,"&lt;&gt;(none)")/COUNTIF(Orders!$S$2:$S$501,"pending_approval"),"0%")&amp;" of orders reaching approval had every mandatory field"</f>
        <v>100% of orders reaching approval had every mandatory field</v>
      </c>
      <c r="D4" s="18" t="s">
        <v>817</v>
      </c>
      <c r="E4" s="17" t="s">
        <v>825</v>
      </c>
    </row>
    <row r="5" customFormat="false" ht="39" hidden="false" customHeight="true" outlineLevel="0" collapsed="false">
      <c r="A5" s="17" t="s">
        <v>823</v>
      </c>
      <c r="B5" s="17" t="s">
        <v>826</v>
      </c>
      <c r="C5" s="17" t="s">
        <v>827</v>
      </c>
      <c r="D5" s="20" t="s">
        <v>828</v>
      </c>
      <c r="E5" s="17" t="str">
        <f aca="false">"Indicative only: the system flagged "&amp;TEXT('Confusion matrix'!B10,"0.0%")&amp;" of erroneous orders before approval. Record the baseline in the Manual baseline sheet to measure the real reduction."</f>
        <v>Indicative only: the system flagged 82.4% of erroneous orders before approval. Record the baseline in the Manual baseline sheet to measure the real reduction.</v>
      </c>
    </row>
    <row r="6" customFormat="false" ht="26.25" hidden="false" customHeight="true" outlineLevel="0" collapsed="false">
      <c r="A6" s="17" t="s">
        <v>829</v>
      </c>
      <c r="B6" s="17" t="s">
        <v>830</v>
      </c>
      <c r="C6" s="17" t="str">
        <f aca="false">TEXT(Timing!B4,"0.0")&amp;" ms median automatic validation per order"</f>
        <v>18.7 ms median automatic validation per order</v>
      </c>
      <c r="D6" s="20" t="s">
        <v>828</v>
      </c>
      <c r="E6" s="17" t="s">
        <v>831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6"/>
    <col collapsed="false" customWidth="true" hidden="false" outlineLevel="0" max="3" min="3" style="1" width="22"/>
    <col collapsed="false" customWidth="true" hidden="false" outlineLevel="0" max="4" min="4" style="1" width="20"/>
    <col collapsed="false" customWidth="true" hidden="false" outlineLevel="0" max="5" min="5" style="1" width="22"/>
    <col collapsed="false" customWidth="true" hidden="false" outlineLevel="0" max="6" min="6" style="1" width="30"/>
    <col collapsed="false" customWidth="true" hidden="false" outlineLevel="0" max="7" min="7" style="1" width="12"/>
  </cols>
  <sheetData>
    <row r="1" customFormat="false" ht="15" hidden="false" customHeight="true" outlineLevel="0" collapsed="false">
      <c r="A1" s="4" t="s">
        <v>832</v>
      </c>
    </row>
    <row r="2" customFormat="false" ht="15" hidden="false" customHeight="true" outlineLevel="0" collapsed="false">
      <c r="A2" s="14" t="s">
        <v>833</v>
      </c>
    </row>
    <row r="4" customFormat="false" ht="26.25" hidden="false" customHeight="true" outlineLevel="0" collapsed="false">
      <c r="A4" s="7" t="s">
        <v>834</v>
      </c>
      <c r="B4" s="7" t="s">
        <v>835</v>
      </c>
      <c r="C4" s="7" t="s">
        <v>836</v>
      </c>
      <c r="D4" s="7" t="s">
        <v>837</v>
      </c>
      <c r="E4" s="7" t="s">
        <v>838</v>
      </c>
      <c r="F4" s="7" t="s">
        <v>839</v>
      </c>
      <c r="G4" s="7" t="s">
        <v>840</v>
      </c>
    </row>
    <row r="5" customFormat="false" ht="15" hidden="false" customHeight="true" outlineLevel="0" collapsed="false">
      <c r="A5" s="12" t="n">
        <v>1</v>
      </c>
      <c r="B5" s="21" t="s">
        <v>841</v>
      </c>
      <c r="C5" s="21" t="n">
        <v>180</v>
      </c>
      <c r="D5" s="21" t="n">
        <v>1</v>
      </c>
      <c r="E5" s="21" t="n">
        <v>95</v>
      </c>
      <c r="F5" s="21" t="n">
        <v>0</v>
      </c>
      <c r="G5" s="13" t="n">
        <f aca="false">IF(OR(C5="",E5="",C5=0),"",1-E5/C5)</f>
        <v>0.472222222222222</v>
      </c>
    </row>
    <row r="6" customFormat="false" ht="15" hidden="false" customHeight="true" outlineLevel="0" collapsed="false">
      <c r="A6" s="12" t="n">
        <v>2</v>
      </c>
      <c r="B6" s="21"/>
      <c r="C6" s="21"/>
      <c r="D6" s="21"/>
      <c r="E6" s="21"/>
      <c r="F6" s="21"/>
      <c r="G6" s="13" t="str">
        <f aca="false">IF(OR(C6="",E6="",C6=0),"",1-E6/C6)</f>
        <v/>
      </c>
    </row>
    <row r="7" customFormat="false" ht="15" hidden="false" customHeight="true" outlineLevel="0" collapsed="false">
      <c r="A7" s="12" t="n">
        <v>3</v>
      </c>
      <c r="B7" s="21"/>
      <c r="C7" s="21"/>
      <c r="D7" s="21"/>
      <c r="E7" s="21"/>
      <c r="F7" s="21"/>
      <c r="G7" s="13" t="str">
        <f aca="false">IF(OR(C7="",E7="",C7=0),"",1-E7/C7)</f>
        <v/>
      </c>
    </row>
    <row r="8" customFormat="false" ht="15" hidden="false" customHeight="true" outlineLevel="0" collapsed="false">
      <c r="A8" s="12" t="n">
        <v>4</v>
      </c>
      <c r="B8" s="21"/>
      <c r="C8" s="21"/>
      <c r="D8" s="21"/>
      <c r="E8" s="21"/>
      <c r="F8" s="21"/>
      <c r="G8" s="13" t="str">
        <f aca="false">IF(OR(C8="",E8="",C8=0),"",1-E8/C8)</f>
        <v/>
      </c>
    </row>
    <row r="9" customFormat="false" ht="15" hidden="false" customHeight="true" outlineLevel="0" collapsed="false">
      <c r="A9" s="12" t="n">
        <v>5</v>
      </c>
      <c r="B9" s="21"/>
      <c r="C9" s="21"/>
      <c r="D9" s="21"/>
      <c r="E9" s="21"/>
      <c r="F9" s="21"/>
      <c r="G9" s="13" t="str">
        <f aca="false">IF(OR(C9="",E9="",C9=0),"",1-E9/C9)</f>
        <v/>
      </c>
    </row>
    <row r="10" customFormat="false" ht="15" hidden="false" customHeight="true" outlineLevel="0" collapsed="false">
      <c r="A10" s="12" t="n">
        <v>6</v>
      </c>
      <c r="B10" s="21"/>
      <c r="C10" s="21"/>
      <c r="D10" s="21"/>
      <c r="E10" s="21"/>
      <c r="F10" s="21"/>
      <c r="G10" s="13" t="str">
        <f aca="false">IF(OR(C10="",E10="",C10=0),"",1-E10/C10)</f>
        <v/>
      </c>
    </row>
    <row r="11" customFormat="false" ht="15" hidden="false" customHeight="true" outlineLevel="0" collapsed="false">
      <c r="A11" s="12" t="n">
        <v>7</v>
      </c>
      <c r="B11" s="21"/>
      <c r="C11" s="21"/>
      <c r="D11" s="21"/>
      <c r="E11" s="21"/>
      <c r="F11" s="21"/>
      <c r="G11" s="13" t="str">
        <f aca="false">IF(OR(C11="",E11="",C11=0),"",1-E11/C11)</f>
        <v/>
      </c>
    </row>
    <row r="12" customFormat="false" ht="15" hidden="false" customHeight="true" outlineLevel="0" collapsed="false">
      <c r="A12" s="12" t="n">
        <v>8</v>
      </c>
      <c r="B12" s="21"/>
      <c r="C12" s="21"/>
      <c r="D12" s="21"/>
      <c r="E12" s="21"/>
      <c r="F12" s="21"/>
      <c r="G12" s="13" t="str">
        <f aca="false">IF(OR(C12="",E12="",C12=0),"",1-E12/C12)</f>
        <v/>
      </c>
    </row>
    <row r="13" customFormat="false" ht="15" hidden="false" customHeight="true" outlineLevel="0" collapsed="false">
      <c r="A13" s="12" t="n">
        <v>9</v>
      </c>
      <c r="B13" s="21"/>
      <c r="C13" s="21"/>
      <c r="D13" s="21"/>
      <c r="E13" s="21"/>
      <c r="F13" s="21"/>
      <c r="G13" s="13" t="str">
        <f aca="false">IF(OR(C13="",E13="",C13=0),"",1-E13/C13)</f>
        <v/>
      </c>
    </row>
    <row r="14" customFormat="false" ht="15" hidden="false" customHeight="true" outlineLevel="0" collapsed="false">
      <c r="A14" s="12" t="n">
        <v>10</v>
      </c>
      <c r="B14" s="21"/>
      <c r="C14" s="21"/>
      <c r="D14" s="21"/>
      <c r="E14" s="21"/>
      <c r="F14" s="21"/>
      <c r="G14" s="13" t="str">
        <f aca="false">IF(OR(C14="",E14="",C14=0),"",1-E14/C14)</f>
        <v/>
      </c>
    </row>
    <row r="15" customFormat="false" ht="15" hidden="false" customHeight="true" outlineLevel="0" collapsed="false">
      <c r="A15" s="12" t="n">
        <v>11</v>
      </c>
      <c r="B15" s="21"/>
      <c r="C15" s="21"/>
      <c r="D15" s="21"/>
      <c r="E15" s="21"/>
      <c r="F15" s="21"/>
      <c r="G15" s="13" t="str">
        <f aca="false">IF(OR(C15="",E15="",C15=0),"",1-E15/C15)</f>
        <v/>
      </c>
    </row>
    <row r="16" customFormat="false" ht="15" hidden="false" customHeight="true" outlineLevel="0" collapsed="false">
      <c r="A16" s="12" t="n">
        <v>12</v>
      </c>
      <c r="B16" s="21"/>
      <c r="C16" s="21"/>
      <c r="D16" s="21"/>
      <c r="E16" s="21"/>
      <c r="F16" s="21"/>
      <c r="G16" s="13" t="str">
        <f aca="false">IF(OR(C16="",E16="",C16=0),"",1-E16/C16)</f>
        <v/>
      </c>
    </row>
    <row r="17" customFormat="false" ht="15" hidden="false" customHeight="true" outlineLevel="0" collapsed="false">
      <c r="A17" s="12" t="n">
        <v>13</v>
      </c>
      <c r="B17" s="21"/>
      <c r="C17" s="21"/>
      <c r="D17" s="21"/>
      <c r="E17" s="21"/>
      <c r="F17" s="21"/>
      <c r="G17" s="13" t="str">
        <f aca="false">IF(OR(C17="",E17="",C17=0),"",1-E17/C17)</f>
        <v/>
      </c>
    </row>
    <row r="18" customFormat="false" ht="15" hidden="false" customHeight="true" outlineLevel="0" collapsed="false">
      <c r="A18" s="12" t="n">
        <v>14</v>
      </c>
      <c r="B18" s="21"/>
      <c r="C18" s="21"/>
      <c r="D18" s="21"/>
      <c r="E18" s="21"/>
      <c r="F18" s="21"/>
      <c r="G18" s="13" t="str">
        <f aca="false">IF(OR(C18="",E18="",C18=0),"",1-E18/C18)</f>
        <v/>
      </c>
    </row>
    <row r="19" customFormat="false" ht="15" hidden="false" customHeight="true" outlineLevel="0" collapsed="false">
      <c r="A19" s="12" t="n">
        <v>15</v>
      </c>
      <c r="B19" s="21"/>
      <c r="C19" s="21"/>
      <c r="D19" s="21"/>
      <c r="E19" s="21"/>
      <c r="F19" s="21"/>
      <c r="G19" s="13" t="str">
        <f aca="false">IF(OR(C19="",E19="",C19=0),"",1-E19/C19)</f>
        <v/>
      </c>
    </row>
    <row r="20" customFormat="false" ht="15" hidden="false" customHeight="true" outlineLevel="0" collapsed="false">
      <c r="A20" s="12" t="n">
        <v>16</v>
      </c>
      <c r="B20" s="21"/>
      <c r="C20" s="21"/>
      <c r="D20" s="21"/>
      <c r="E20" s="21"/>
      <c r="F20" s="21"/>
      <c r="G20" s="13" t="str">
        <f aca="false">IF(OR(C20="",E20="",C20=0),"",1-E20/C20)</f>
        <v/>
      </c>
    </row>
    <row r="21" customFormat="false" ht="15" hidden="false" customHeight="true" outlineLevel="0" collapsed="false">
      <c r="A21" s="12" t="n">
        <v>17</v>
      </c>
      <c r="B21" s="21"/>
      <c r="C21" s="21"/>
      <c r="D21" s="21"/>
      <c r="E21" s="21"/>
      <c r="F21" s="21"/>
      <c r="G21" s="13" t="str">
        <f aca="false">IF(OR(C21="",E21="",C21=0),"",1-E21/C21)</f>
        <v/>
      </c>
    </row>
    <row r="22" customFormat="false" ht="15" hidden="false" customHeight="true" outlineLevel="0" collapsed="false">
      <c r="A22" s="12" t="n">
        <v>18</v>
      </c>
      <c r="B22" s="21"/>
      <c r="C22" s="21"/>
      <c r="D22" s="21"/>
      <c r="E22" s="21"/>
      <c r="F22" s="21"/>
      <c r="G22" s="13" t="str">
        <f aca="false">IF(OR(C22="",E22="",C22=0),"",1-E22/C22)</f>
        <v/>
      </c>
    </row>
    <row r="23" customFormat="false" ht="15" hidden="false" customHeight="true" outlineLevel="0" collapsed="false">
      <c r="A23" s="12" t="n">
        <v>19</v>
      </c>
      <c r="B23" s="21"/>
      <c r="C23" s="21"/>
      <c r="D23" s="21"/>
      <c r="E23" s="21"/>
      <c r="F23" s="21"/>
      <c r="G23" s="13" t="str">
        <f aca="false">IF(OR(C23="",E23="",C23=0),"",1-E23/C23)</f>
        <v/>
      </c>
    </row>
    <row r="24" customFormat="false" ht="15" hidden="false" customHeight="true" outlineLevel="0" collapsed="false">
      <c r="A24" s="12" t="n">
        <v>20</v>
      </c>
      <c r="B24" s="21"/>
      <c r="C24" s="21"/>
      <c r="D24" s="21"/>
      <c r="E24" s="21"/>
      <c r="F24" s="21"/>
      <c r="G24" s="13" t="str">
        <f aca="false">IF(OR(C24="",E24="",C24=0),"",1-E24/C24)</f>
        <v/>
      </c>
    </row>
    <row r="25" customFormat="false" ht="15" hidden="false" customHeight="true" outlineLevel="0" collapsed="false">
      <c r="A25" s="12" t="n">
        <v>21</v>
      </c>
      <c r="B25" s="21"/>
      <c r="C25" s="21"/>
      <c r="D25" s="21"/>
      <c r="E25" s="21"/>
      <c r="F25" s="21"/>
      <c r="G25" s="13" t="str">
        <f aca="false">IF(OR(C25="",E25="",C25=0),"",1-E25/C25)</f>
        <v/>
      </c>
    </row>
    <row r="26" customFormat="false" ht="15" hidden="false" customHeight="true" outlineLevel="0" collapsed="false">
      <c r="A26" s="12" t="n">
        <v>22</v>
      </c>
      <c r="B26" s="21"/>
      <c r="C26" s="21"/>
      <c r="D26" s="21"/>
      <c r="E26" s="21"/>
      <c r="F26" s="21"/>
      <c r="G26" s="13" t="str">
        <f aca="false">IF(OR(C26="",E26="",C26=0),"",1-E26/C26)</f>
        <v/>
      </c>
    </row>
    <row r="27" customFormat="false" ht="15" hidden="false" customHeight="true" outlineLevel="0" collapsed="false">
      <c r="A27" s="12" t="n">
        <v>23</v>
      </c>
      <c r="B27" s="21"/>
      <c r="C27" s="21"/>
      <c r="D27" s="21"/>
      <c r="E27" s="21"/>
      <c r="F27" s="21"/>
      <c r="G27" s="13" t="str">
        <f aca="false">IF(OR(C27="",E27="",C27=0),"",1-E27/C27)</f>
        <v/>
      </c>
    </row>
    <row r="28" customFormat="false" ht="15" hidden="false" customHeight="true" outlineLevel="0" collapsed="false">
      <c r="A28" s="12" t="n">
        <v>24</v>
      </c>
      <c r="B28" s="21"/>
      <c r="C28" s="21"/>
      <c r="D28" s="21"/>
      <c r="E28" s="21"/>
      <c r="F28" s="21"/>
      <c r="G28" s="13" t="str">
        <f aca="false">IF(OR(C28="",E28="",C28=0),"",1-E28/C28)</f>
        <v/>
      </c>
    </row>
    <row r="29" customFormat="false" ht="15" hidden="false" customHeight="true" outlineLevel="0" collapsed="false">
      <c r="A29" s="12" t="n">
        <v>25</v>
      </c>
      <c r="B29" s="21"/>
      <c r="C29" s="21"/>
      <c r="D29" s="21"/>
      <c r="E29" s="21"/>
      <c r="F29" s="21"/>
      <c r="G29" s="13" t="str">
        <f aca="false">IF(OR(C29="",E29="",C29=0),"",1-E29/C29)</f>
        <v/>
      </c>
    </row>
    <row r="30" customFormat="false" ht="15" hidden="false" customHeight="true" outlineLevel="0" collapsed="false">
      <c r="A30" s="12" t="n">
        <v>26</v>
      </c>
      <c r="B30" s="21"/>
      <c r="C30" s="21"/>
      <c r="D30" s="21"/>
      <c r="E30" s="21"/>
      <c r="F30" s="21"/>
      <c r="G30" s="13" t="str">
        <f aca="false">IF(OR(C30="",E30="",C30=0),"",1-E30/C30)</f>
        <v/>
      </c>
    </row>
    <row r="31" customFormat="false" ht="15" hidden="false" customHeight="true" outlineLevel="0" collapsed="false">
      <c r="A31" s="12" t="n">
        <v>27</v>
      </c>
      <c r="B31" s="21"/>
      <c r="C31" s="21"/>
      <c r="D31" s="21"/>
      <c r="E31" s="21"/>
      <c r="F31" s="21"/>
      <c r="G31" s="13" t="str">
        <f aca="false">IF(OR(C31="",E31="",C31=0),"",1-E31/C31)</f>
        <v/>
      </c>
    </row>
    <row r="32" customFormat="false" ht="15" hidden="false" customHeight="true" outlineLevel="0" collapsed="false">
      <c r="A32" s="12" t="n">
        <v>28</v>
      </c>
      <c r="B32" s="21"/>
      <c r="C32" s="21"/>
      <c r="D32" s="21"/>
      <c r="E32" s="21"/>
      <c r="F32" s="21"/>
      <c r="G32" s="13" t="str">
        <f aca="false">IF(OR(C32="",E32="",C32=0),"",1-E32/C32)</f>
        <v/>
      </c>
    </row>
    <row r="33" customFormat="false" ht="15" hidden="false" customHeight="true" outlineLevel="0" collapsed="false">
      <c r="A33" s="12" t="n">
        <v>29</v>
      </c>
      <c r="B33" s="21"/>
      <c r="C33" s="21"/>
      <c r="D33" s="21"/>
      <c r="E33" s="21"/>
      <c r="F33" s="21"/>
      <c r="G33" s="13" t="str">
        <f aca="false">IF(OR(C33="",E33="",C33=0),"",1-E33/C33)</f>
        <v/>
      </c>
    </row>
    <row r="34" customFormat="false" ht="15" hidden="false" customHeight="true" outlineLevel="0" collapsed="false">
      <c r="A34" s="12" t="n">
        <v>30</v>
      </c>
      <c r="B34" s="21"/>
      <c r="C34" s="21"/>
      <c r="D34" s="21"/>
      <c r="E34" s="21"/>
      <c r="F34" s="21"/>
      <c r="G34" s="13" t="str">
        <f aca="false">IF(OR(C34="",E34="",C34=0),"",1-E34/C34)</f>
        <v/>
      </c>
    </row>
    <row r="36" customFormat="false" ht="15" hidden="false" customHeight="true" outlineLevel="0" collapsed="false">
      <c r="A36" s="4" t="s">
        <v>842</v>
      </c>
      <c r="C36" s="4" t="n">
        <f aca="false">SUM(C5:C34)</f>
        <v>180</v>
      </c>
      <c r="D36" s="4" t="n">
        <f aca="false">SUM(D5:D34)</f>
        <v>1</v>
      </c>
      <c r="E36" s="4" t="n">
        <f aca="false">SUM(E5:E34)</f>
        <v>95</v>
      </c>
      <c r="F36" s="4" t="n">
        <f aca="false">SUM(F5:F34)</f>
        <v>0</v>
      </c>
    </row>
    <row r="38" customFormat="false" ht="15" hidden="false" customHeight="true" outlineLevel="0" collapsed="false">
      <c r="A38" s="4" t="s">
        <v>843</v>
      </c>
      <c r="C38" s="13" t="n">
        <f aca="false">IF(D36=0,"",1-F36/D36)</f>
        <v>1</v>
      </c>
      <c r="D38" s="12" t="s">
        <v>844</v>
      </c>
    </row>
    <row r="39" customFormat="false" ht="15" hidden="false" customHeight="true" outlineLevel="0" collapsed="false">
      <c r="A39" s="4" t="s">
        <v>840</v>
      </c>
      <c r="C39" s="13" t="n">
        <f aca="false">IF(C36=0,"",1-E36/C36)</f>
        <v>0.472222222222222</v>
      </c>
      <c r="D39" s="12" t="s">
        <v>845</v>
      </c>
    </row>
    <row r="41" customFormat="false" ht="15" hidden="false" customHeight="true" outlineLevel="0" collapsed="false">
      <c r="A41" s="14" t="s">
        <v>846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15"/>
    <col collapsed="false" customWidth="true" hidden="false" outlineLevel="0" max="7" min="6" style="0" width="7"/>
    <col collapsed="false" customWidth="true" hidden="false" outlineLevel="0" max="8" min="8" style="0" width="46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34"/>
    <col collapsed="false" customWidth="true" hidden="false" outlineLevel="0" max="14" min="14" style="0" width="8"/>
    <col collapsed="false" customWidth="true" hidden="false" outlineLevel="0" max="15" min="15" style="0" width="15"/>
    <col collapsed="false" customWidth="true" hidden="false" outlineLevel="0" max="16" min="16" style="0" width="9"/>
    <col collapsed="false" customWidth="true" hidden="false" outlineLevel="0" max="17" min="17" style="0" width="8"/>
    <col collapsed="false" customWidth="true" hidden="false" outlineLevel="0" max="18" min="18" style="0" width="18"/>
    <col collapsed="false" customWidth="true" hidden="false" outlineLevel="0" max="19" min="19" style="0" width="30"/>
    <col collapsed="false" customWidth="true" hidden="false" outlineLevel="0" max="20" min="20" style="0" width="60"/>
    <col collapsed="false" customWidth="true" hidden="false" outlineLevel="0" max="21" min="21" style="0" width="11"/>
    <col collapsed="false" customWidth="true" hidden="false" outlineLevel="0" max="24" min="22" style="0" width="30"/>
    <col collapsed="false" customWidth="true" hidden="false" outlineLevel="0" max="25" min="25" style="0" width="16"/>
    <col collapsed="false" customWidth="true" hidden="false" outlineLevel="0" max="34" min="26" style="0" width="9"/>
    <col collapsed="false" customWidth="true" hidden="false" outlineLevel="0" max="35" min="35" style="0" width="10"/>
  </cols>
  <sheetData>
    <row r="1" customFormat="false" ht="64.9" hidden="false" customHeight="false" outlineLevel="0" collapsed="false">
      <c r="A1" s="7" t="s">
        <v>29</v>
      </c>
      <c r="B1" s="7" t="s">
        <v>847</v>
      </c>
      <c r="C1" s="7" t="s">
        <v>30</v>
      </c>
      <c r="D1" s="7" t="s">
        <v>31</v>
      </c>
      <c r="E1" s="7" t="s">
        <v>35</v>
      </c>
      <c r="F1" s="7" t="s">
        <v>36</v>
      </c>
      <c r="G1" s="7" t="s">
        <v>37</v>
      </c>
      <c r="H1" s="7" t="s">
        <v>848</v>
      </c>
      <c r="I1" s="7" t="s">
        <v>39</v>
      </c>
      <c r="J1" s="7" t="s">
        <v>40</v>
      </c>
      <c r="K1" s="7" t="s">
        <v>41</v>
      </c>
      <c r="L1" s="7" t="s">
        <v>42</v>
      </c>
      <c r="M1" s="7" t="s">
        <v>43</v>
      </c>
      <c r="N1" s="7" t="s">
        <v>44</v>
      </c>
      <c r="O1" s="7" t="s">
        <v>849</v>
      </c>
      <c r="P1" s="7" t="s">
        <v>45</v>
      </c>
      <c r="Q1" s="7" t="s">
        <v>46</v>
      </c>
      <c r="R1" s="7" t="s">
        <v>47</v>
      </c>
      <c r="S1" s="7" t="s">
        <v>48</v>
      </c>
      <c r="T1" s="7" t="s">
        <v>49</v>
      </c>
      <c r="U1" s="7" t="s">
        <v>50</v>
      </c>
      <c r="V1" s="7" t="s">
        <v>850</v>
      </c>
      <c r="W1" s="7" t="s">
        <v>851</v>
      </c>
      <c r="X1" s="7" t="s">
        <v>852</v>
      </c>
      <c r="Y1" s="7" t="s">
        <v>853</v>
      </c>
      <c r="Z1" s="7" t="s">
        <v>854</v>
      </c>
      <c r="AA1" s="7" t="s">
        <v>855</v>
      </c>
      <c r="AB1" s="7" t="s">
        <v>856</v>
      </c>
      <c r="AC1" s="7" t="s">
        <v>857</v>
      </c>
      <c r="AD1" s="7" t="s">
        <v>858</v>
      </c>
      <c r="AE1" s="7" t="s">
        <v>859</v>
      </c>
      <c r="AF1" s="7" t="s">
        <v>860</v>
      </c>
      <c r="AG1" s="7" t="s">
        <v>861</v>
      </c>
      <c r="AH1" s="7" t="s">
        <v>862</v>
      </c>
      <c r="AI1" s="7" t="s">
        <v>863</v>
      </c>
    </row>
    <row r="2" customFormat="false" ht="15" hidden="false" customHeight="false" outlineLevel="0" collapsed="false">
      <c r="A2" s="6" t="n">
        <v>1</v>
      </c>
      <c r="B2" s="6" t="s">
        <v>864</v>
      </c>
      <c r="C2" s="6" t="n">
        <v>1</v>
      </c>
      <c r="D2" s="6" t="s">
        <v>70</v>
      </c>
      <c r="E2" s="6" t="s">
        <v>146</v>
      </c>
      <c r="F2" s="6" t="n">
        <v>1</v>
      </c>
      <c r="G2" s="6" t="n">
        <v>10</v>
      </c>
      <c r="H2" s="6" t="s">
        <v>865</v>
      </c>
      <c r="I2" s="22" t="n">
        <v>520000</v>
      </c>
      <c r="J2" s="22" t="n">
        <v>0</v>
      </c>
      <c r="K2" s="22" t="n">
        <v>39000</v>
      </c>
      <c r="L2" s="22" t="n">
        <v>559000</v>
      </c>
      <c r="M2" s="6" t="s">
        <v>148</v>
      </c>
      <c r="N2" s="6" t="s">
        <v>84</v>
      </c>
      <c r="O2" s="6" t="s">
        <v>866</v>
      </c>
      <c r="P2" s="6" t="s">
        <v>85</v>
      </c>
      <c r="Q2" s="6" t="str">
        <f aca="false">IF(P2="pass","No","Yes")</f>
        <v>Yes</v>
      </c>
      <c r="R2" s="6" t="s">
        <v>86</v>
      </c>
      <c r="S2" s="6" t="s">
        <v>866</v>
      </c>
      <c r="T2" s="6" t="s">
        <v>150</v>
      </c>
      <c r="U2" s="23" t="n">
        <v>2.45</v>
      </c>
      <c r="V2" s="6" t="s">
        <v>867</v>
      </c>
      <c r="W2" s="6" t="s">
        <v>868</v>
      </c>
      <c r="X2" s="6" t="s">
        <v>869</v>
      </c>
      <c r="Y2" s="6" t="s">
        <v>86</v>
      </c>
      <c r="Z2" s="6" t="n">
        <v>1</v>
      </c>
      <c r="AA2" s="6" t="n">
        <v>0</v>
      </c>
      <c r="AB2" s="6" t="n">
        <v>0</v>
      </c>
      <c r="AC2" s="6" t="n">
        <v>0</v>
      </c>
      <c r="AD2" s="6" t="n">
        <v>0</v>
      </c>
      <c r="AE2" s="6" t="n">
        <v>0</v>
      </c>
      <c r="AF2" s="6" t="n">
        <v>0</v>
      </c>
      <c r="AG2" s="6" t="n">
        <v>0</v>
      </c>
      <c r="AH2" s="6" t="n">
        <v>0</v>
      </c>
      <c r="AI2" s="6" t="s">
        <v>84</v>
      </c>
    </row>
    <row r="3" customFormat="false" ht="15" hidden="false" customHeight="false" outlineLevel="0" collapsed="false">
      <c r="A3" s="6" t="n">
        <v>2</v>
      </c>
      <c r="B3" s="6" t="s">
        <v>870</v>
      </c>
      <c r="C3" s="6" t="n">
        <v>1</v>
      </c>
      <c r="D3" s="6" t="s">
        <v>112</v>
      </c>
      <c r="E3" s="6" t="s">
        <v>116</v>
      </c>
      <c r="F3" s="6" t="n">
        <v>1</v>
      </c>
      <c r="G3" s="6" t="n">
        <v>104</v>
      </c>
      <c r="H3" s="6" t="s">
        <v>871</v>
      </c>
      <c r="I3" s="22" t="n">
        <v>988000</v>
      </c>
      <c r="J3" s="22" t="n">
        <v>15000</v>
      </c>
      <c r="K3" s="22" t="n">
        <v>75225</v>
      </c>
      <c r="L3" s="22" t="n">
        <v>1078225</v>
      </c>
      <c r="M3" s="6" t="s">
        <v>224</v>
      </c>
      <c r="N3" s="6" t="s">
        <v>84</v>
      </c>
      <c r="O3" s="6" t="s">
        <v>866</v>
      </c>
      <c r="P3" s="6" t="s">
        <v>85</v>
      </c>
      <c r="Q3" s="6" t="str">
        <f aca="false">IF(P3="pass","No","Yes")</f>
        <v>Yes</v>
      </c>
      <c r="R3" s="6" t="s">
        <v>86</v>
      </c>
      <c r="S3" s="6" t="s">
        <v>872</v>
      </c>
      <c r="T3" s="6" t="s">
        <v>873</v>
      </c>
      <c r="U3" s="23" t="n">
        <v>5.675</v>
      </c>
      <c r="V3" s="6" t="s">
        <v>874</v>
      </c>
      <c r="W3" s="6" t="s">
        <v>875</v>
      </c>
      <c r="X3" s="6" t="s">
        <v>876</v>
      </c>
      <c r="Y3" s="6" t="s">
        <v>86</v>
      </c>
      <c r="Z3" s="6" t="n">
        <v>1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6" t="n">
        <v>0</v>
      </c>
      <c r="AH3" s="6" t="n">
        <v>1</v>
      </c>
      <c r="AI3" s="6" t="s">
        <v>58</v>
      </c>
    </row>
    <row r="4" customFormat="false" ht="15" hidden="false" customHeight="false" outlineLevel="0" collapsed="false">
      <c r="A4" s="6" t="n">
        <v>3</v>
      </c>
      <c r="B4" s="6" t="s">
        <v>877</v>
      </c>
      <c r="C4" s="6" t="n">
        <v>1</v>
      </c>
      <c r="D4" s="6" t="s">
        <v>154</v>
      </c>
      <c r="E4" s="6" t="s">
        <v>123</v>
      </c>
      <c r="F4" s="6" t="n">
        <v>4</v>
      </c>
      <c r="G4" s="6" t="n">
        <v>62</v>
      </c>
      <c r="H4" s="6" t="s">
        <v>878</v>
      </c>
      <c r="I4" s="22" t="n">
        <v>1536000</v>
      </c>
      <c r="J4" s="22" t="n">
        <v>5000</v>
      </c>
      <c r="K4" s="22" t="n">
        <v>115575</v>
      </c>
      <c r="L4" s="22" t="n">
        <v>1656575</v>
      </c>
      <c r="M4" s="6" t="s">
        <v>132</v>
      </c>
      <c r="N4" s="6" t="s">
        <v>84</v>
      </c>
      <c r="O4" s="6" t="s">
        <v>879</v>
      </c>
      <c r="P4" s="6" t="s">
        <v>85</v>
      </c>
      <c r="Q4" s="6" t="str">
        <f aca="false">IF(P4="pass","No","Yes")</f>
        <v>Yes</v>
      </c>
      <c r="R4" s="6" t="s">
        <v>86</v>
      </c>
      <c r="S4" s="6" t="s">
        <v>880</v>
      </c>
      <c r="T4" s="6" t="s">
        <v>134</v>
      </c>
      <c r="U4" s="23" t="n">
        <v>2.85</v>
      </c>
      <c r="V4" s="6" t="s">
        <v>881</v>
      </c>
      <c r="W4" s="6" t="s">
        <v>882</v>
      </c>
      <c r="X4" s="6" t="s">
        <v>883</v>
      </c>
      <c r="Y4" s="6" t="s">
        <v>86</v>
      </c>
      <c r="Z4" s="6" t="n">
        <v>0</v>
      </c>
      <c r="AA4" s="6" t="n">
        <v>1</v>
      </c>
      <c r="AB4" s="6" t="n">
        <v>0</v>
      </c>
      <c r="AC4" s="6" t="n">
        <v>1</v>
      </c>
      <c r="AD4" s="6" t="n">
        <v>0</v>
      </c>
      <c r="AE4" s="6" t="n">
        <v>0</v>
      </c>
      <c r="AF4" s="6" t="n">
        <v>0</v>
      </c>
      <c r="AG4" s="6" t="n">
        <v>0</v>
      </c>
      <c r="AH4" s="6" t="n">
        <v>0</v>
      </c>
      <c r="AI4" s="6" t="s">
        <v>84</v>
      </c>
    </row>
    <row r="5" customFormat="false" ht="15" hidden="false" customHeight="false" outlineLevel="0" collapsed="false">
      <c r="A5" s="6" t="n">
        <v>4</v>
      </c>
      <c r="B5" s="6" t="s">
        <v>884</v>
      </c>
      <c r="C5" s="6" t="n">
        <v>1</v>
      </c>
      <c r="D5" s="6" t="s">
        <v>119</v>
      </c>
      <c r="E5" s="6" t="s">
        <v>123</v>
      </c>
      <c r="F5" s="6" t="n">
        <v>2</v>
      </c>
      <c r="G5" s="6" t="n">
        <v>13</v>
      </c>
      <c r="H5" s="6" t="s">
        <v>885</v>
      </c>
      <c r="I5" s="22" t="n">
        <v>676000</v>
      </c>
      <c r="J5" s="22" t="n">
        <v>5000</v>
      </c>
      <c r="K5" s="22" t="n">
        <v>51075</v>
      </c>
      <c r="L5" s="22" t="n">
        <v>732075</v>
      </c>
      <c r="M5" s="6" t="s">
        <v>152</v>
      </c>
      <c r="N5" s="6" t="s">
        <v>84</v>
      </c>
      <c r="O5" s="6" t="s">
        <v>886</v>
      </c>
      <c r="P5" s="6" t="s">
        <v>85</v>
      </c>
      <c r="Q5" s="6" t="str">
        <f aca="false">IF(P5="pass","No","Yes")</f>
        <v>Yes</v>
      </c>
      <c r="R5" s="6" t="s">
        <v>86</v>
      </c>
      <c r="S5" s="6" t="s">
        <v>886</v>
      </c>
      <c r="T5" s="6" t="s">
        <v>262</v>
      </c>
      <c r="U5" s="23" t="n">
        <v>2.569</v>
      </c>
      <c r="V5" s="6" t="s">
        <v>887</v>
      </c>
      <c r="W5" s="6" t="s">
        <v>888</v>
      </c>
      <c r="X5" s="6" t="s">
        <v>889</v>
      </c>
      <c r="Y5" s="6" t="s">
        <v>86</v>
      </c>
      <c r="Z5" s="6" t="n">
        <v>0</v>
      </c>
      <c r="AA5" s="6" t="n">
        <v>0</v>
      </c>
      <c r="AB5" s="6" t="n">
        <v>1</v>
      </c>
      <c r="AC5" s="6" t="n">
        <v>0</v>
      </c>
      <c r="AD5" s="6" t="n">
        <v>0</v>
      </c>
      <c r="AE5" s="6" t="n">
        <v>0</v>
      </c>
      <c r="AF5" s="6" t="n">
        <v>0</v>
      </c>
      <c r="AG5" s="6" t="n">
        <v>0</v>
      </c>
      <c r="AH5" s="6" t="n">
        <v>0</v>
      </c>
      <c r="AI5" s="6" t="s">
        <v>84</v>
      </c>
    </row>
    <row r="6" customFormat="false" ht="15" hidden="false" customHeight="false" outlineLevel="0" collapsed="false">
      <c r="A6" s="6" t="n">
        <v>5</v>
      </c>
      <c r="B6" s="6" t="s">
        <v>890</v>
      </c>
      <c r="C6" s="6" t="n">
        <v>1</v>
      </c>
      <c r="D6" s="6" t="s">
        <v>70</v>
      </c>
      <c r="E6" s="6" t="s">
        <v>74</v>
      </c>
      <c r="F6" s="6" t="n">
        <v>4</v>
      </c>
      <c r="G6" s="6" t="n">
        <v>648</v>
      </c>
      <c r="H6" s="6" t="s">
        <v>891</v>
      </c>
      <c r="I6" s="22" t="n">
        <v>5644400</v>
      </c>
      <c r="J6" s="22" t="n">
        <v>9000</v>
      </c>
      <c r="K6" s="22" t="n">
        <v>424005</v>
      </c>
      <c r="L6" s="22" t="n">
        <v>6077405</v>
      </c>
      <c r="M6" s="6" t="s">
        <v>171</v>
      </c>
      <c r="N6" s="6" t="s">
        <v>84</v>
      </c>
      <c r="O6" s="6" t="s">
        <v>892</v>
      </c>
      <c r="P6" s="6" t="s">
        <v>85</v>
      </c>
      <c r="Q6" s="6" t="str">
        <f aca="false">IF(P6="pass","No","Yes")</f>
        <v>Yes</v>
      </c>
      <c r="R6" s="6" t="s">
        <v>86</v>
      </c>
      <c r="S6" s="6" t="s">
        <v>893</v>
      </c>
      <c r="T6" s="6" t="s">
        <v>327</v>
      </c>
      <c r="U6" s="23" t="n">
        <v>6.146</v>
      </c>
      <c r="V6" s="6" t="s">
        <v>894</v>
      </c>
      <c r="W6" s="6" t="s">
        <v>895</v>
      </c>
      <c r="X6" s="6" t="s">
        <v>896</v>
      </c>
      <c r="Y6" s="6" t="s">
        <v>86</v>
      </c>
      <c r="Z6" s="6" t="n">
        <v>0</v>
      </c>
      <c r="AA6" s="6" t="n">
        <v>0</v>
      </c>
      <c r="AB6" s="6" t="n">
        <v>0</v>
      </c>
      <c r="AC6" s="6" t="n">
        <v>1</v>
      </c>
      <c r="AD6" s="6" t="n">
        <v>0</v>
      </c>
      <c r="AE6" s="6" t="n">
        <v>0</v>
      </c>
      <c r="AF6" s="6" t="n">
        <v>0</v>
      </c>
      <c r="AG6" s="6" t="n">
        <v>0</v>
      </c>
      <c r="AH6" s="6" t="n">
        <v>1</v>
      </c>
      <c r="AI6" s="6" t="s">
        <v>84</v>
      </c>
    </row>
    <row r="7" customFormat="false" ht="15" hidden="false" customHeight="false" outlineLevel="0" collapsed="false">
      <c r="A7" s="6" t="n">
        <v>6</v>
      </c>
      <c r="B7" s="6" t="s">
        <v>897</v>
      </c>
      <c r="C7" s="6" t="n">
        <v>1</v>
      </c>
      <c r="D7" s="6" t="s">
        <v>127</v>
      </c>
      <c r="E7" s="6" t="s">
        <v>55</v>
      </c>
      <c r="F7" s="6" t="n">
        <v>4</v>
      </c>
      <c r="G7" s="6" t="n">
        <v>81</v>
      </c>
      <c r="H7" s="6" t="s">
        <v>898</v>
      </c>
      <c r="I7" s="22" t="n">
        <v>1259600</v>
      </c>
      <c r="J7" s="22" t="n">
        <v>6000</v>
      </c>
      <c r="K7" s="22" t="n">
        <v>94920</v>
      </c>
      <c r="L7" s="22" t="n">
        <v>1360520</v>
      </c>
      <c r="M7" s="6" t="s">
        <v>152</v>
      </c>
      <c r="N7" s="6" t="s">
        <v>84</v>
      </c>
      <c r="O7" s="6" t="s">
        <v>886</v>
      </c>
      <c r="P7" s="6" t="s">
        <v>85</v>
      </c>
      <c r="Q7" s="6" t="str">
        <f aca="false">IF(P7="pass","No","Yes")</f>
        <v>Yes</v>
      </c>
      <c r="R7" s="6" t="s">
        <v>86</v>
      </c>
      <c r="S7" s="6" t="s">
        <v>886</v>
      </c>
      <c r="T7" s="6" t="s">
        <v>418</v>
      </c>
      <c r="U7" s="23" t="n">
        <v>2.585</v>
      </c>
      <c r="V7" s="6" t="s">
        <v>899</v>
      </c>
      <c r="W7" s="6" t="s">
        <v>900</v>
      </c>
      <c r="X7" s="6" t="s">
        <v>901</v>
      </c>
      <c r="Y7" s="6" t="s">
        <v>86</v>
      </c>
      <c r="Z7" s="6" t="n">
        <v>0</v>
      </c>
      <c r="AA7" s="6" t="n">
        <v>0</v>
      </c>
      <c r="AB7" s="6" t="n">
        <v>1</v>
      </c>
      <c r="AC7" s="6" t="n">
        <v>0</v>
      </c>
      <c r="AD7" s="6" t="n">
        <v>0</v>
      </c>
      <c r="AE7" s="6" t="n">
        <v>0</v>
      </c>
      <c r="AF7" s="6" t="n">
        <v>0</v>
      </c>
      <c r="AG7" s="6" t="n">
        <v>0</v>
      </c>
      <c r="AH7" s="6" t="n">
        <v>0</v>
      </c>
      <c r="AI7" s="6" t="s">
        <v>84</v>
      </c>
    </row>
    <row r="8" customFormat="false" ht="15" hidden="false" customHeight="false" outlineLevel="0" collapsed="false">
      <c r="A8" s="6" t="n">
        <v>7</v>
      </c>
      <c r="B8" s="6" t="s">
        <v>902</v>
      </c>
      <c r="C8" s="6" t="n">
        <v>1</v>
      </c>
      <c r="D8" s="6" t="s">
        <v>70</v>
      </c>
      <c r="E8" s="6" t="s">
        <v>74</v>
      </c>
      <c r="F8" s="6" t="n">
        <v>1</v>
      </c>
      <c r="G8" s="6" t="n">
        <v>10</v>
      </c>
      <c r="H8" s="6" t="s">
        <v>903</v>
      </c>
      <c r="I8" s="22" t="n">
        <v>380000</v>
      </c>
      <c r="J8" s="22" t="n">
        <v>9000</v>
      </c>
      <c r="K8" s="22" t="n">
        <v>29175</v>
      </c>
      <c r="L8" s="22" t="n">
        <v>418175</v>
      </c>
      <c r="M8" s="6" t="s">
        <v>57</v>
      </c>
      <c r="N8" s="6" t="s">
        <v>58</v>
      </c>
      <c r="O8" s="6"/>
      <c r="P8" s="6" t="s">
        <v>69</v>
      </c>
      <c r="Q8" s="6" t="str">
        <f aca="false">IF(P8="pass","No","Yes")</f>
        <v>No</v>
      </c>
      <c r="R8" s="6" t="s">
        <v>60</v>
      </c>
      <c r="S8" s="6"/>
      <c r="T8" s="6"/>
      <c r="U8" s="23" t="n">
        <v>2.882</v>
      </c>
      <c r="V8" s="6" t="s">
        <v>904</v>
      </c>
      <c r="W8" s="6" t="s">
        <v>905</v>
      </c>
      <c r="X8" s="6" t="s">
        <v>906</v>
      </c>
      <c r="Y8" s="6" t="s">
        <v>60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  <c r="AF8" s="6" t="n">
        <v>0</v>
      </c>
      <c r="AG8" s="6" t="n">
        <v>0</v>
      </c>
      <c r="AH8" s="6" t="n">
        <v>0</v>
      </c>
      <c r="AI8" s="6" t="s">
        <v>84</v>
      </c>
    </row>
    <row r="9" customFormat="false" ht="15" hidden="false" customHeight="false" outlineLevel="0" collapsed="false">
      <c r="A9" s="6" t="n">
        <v>8</v>
      </c>
      <c r="B9" s="6" t="s">
        <v>907</v>
      </c>
      <c r="C9" s="6" t="n">
        <v>1</v>
      </c>
      <c r="D9" s="6" t="s">
        <v>154</v>
      </c>
      <c r="E9" s="6" t="s">
        <v>123</v>
      </c>
      <c r="F9" s="6" t="n">
        <v>2</v>
      </c>
      <c r="G9" s="6" t="n">
        <v>57</v>
      </c>
      <c r="H9" s="6" t="s">
        <v>908</v>
      </c>
      <c r="I9" s="22" t="n">
        <v>481200</v>
      </c>
      <c r="J9" s="22" t="n">
        <v>5000</v>
      </c>
      <c r="K9" s="22" t="n">
        <v>36465</v>
      </c>
      <c r="L9" s="22" t="n">
        <v>522665</v>
      </c>
      <c r="M9" s="6" t="s">
        <v>94</v>
      </c>
      <c r="N9" s="6" t="s">
        <v>84</v>
      </c>
      <c r="O9" s="6" t="s">
        <v>909</v>
      </c>
      <c r="P9" s="6" t="s">
        <v>85</v>
      </c>
      <c r="Q9" s="6" t="str">
        <f aca="false">IF(P9="pass","No","Yes")</f>
        <v>Yes</v>
      </c>
      <c r="R9" s="6" t="s">
        <v>86</v>
      </c>
      <c r="S9" s="6" t="s">
        <v>909</v>
      </c>
      <c r="T9" s="6" t="s">
        <v>254</v>
      </c>
      <c r="U9" s="23" t="n">
        <v>2.541</v>
      </c>
      <c r="V9" s="6" t="s">
        <v>910</v>
      </c>
      <c r="W9" s="6" t="s">
        <v>911</v>
      </c>
      <c r="X9" s="6" t="s">
        <v>912</v>
      </c>
      <c r="Y9" s="6" t="s">
        <v>86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0</v>
      </c>
      <c r="AF9" s="6" t="n">
        <v>1</v>
      </c>
      <c r="AG9" s="6" t="n">
        <v>0</v>
      </c>
      <c r="AH9" s="6" t="n">
        <v>0</v>
      </c>
      <c r="AI9" s="6" t="s">
        <v>84</v>
      </c>
    </row>
    <row r="10" customFormat="false" ht="15" hidden="false" customHeight="false" outlineLevel="0" collapsed="false">
      <c r="A10" s="6" t="n">
        <v>9</v>
      </c>
      <c r="B10" s="6" t="s">
        <v>913</v>
      </c>
      <c r="C10" s="6" t="n">
        <v>1</v>
      </c>
      <c r="D10" s="6" t="s">
        <v>166</v>
      </c>
      <c r="E10" s="6" t="s">
        <v>74</v>
      </c>
      <c r="F10" s="6" t="n">
        <v>3</v>
      </c>
      <c r="G10" s="6" t="n">
        <v>227</v>
      </c>
      <c r="H10" s="6" t="s">
        <v>914</v>
      </c>
      <c r="I10" s="22" t="n">
        <v>2103400</v>
      </c>
      <c r="J10" s="22" t="n">
        <v>9000</v>
      </c>
      <c r="K10" s="22" t="n">
        <v>158430</v>
      </c>
      <c r="L10" s="22" t="n">
        <v>2270830</v>
      </c>
      <c r="M10" s="6" t="s">
        <v>57</v>
      </c>
      <c r="N10" s="6" t="s">
        <v>58</v>
      </c>
      <c r="O10" s="6"/>
      <c r="P10" s="6" t="s">
        <v>59</v>
      </c>
      <c r="Q10" s="6" t="str">
        <f aca="false">IF(P10="pass","No","Yes")</f>
        <v>Yes</v>
      </c>
      <c r="R10" s="6" t="s">
        <v>60</v>
      </c>
      <c r="S10" s="6" t="s">
        <v>915</v>
      </c>
      <c r="T10" s="6" t="s">
        <v>916</v>
      </c>
      <c r="U10" s="23" t="n">
        <v>6.316</v>
      </c>
      <c r="V10" s="6" t="s">
        <v>917</v>
      </c>
      <c r="W10" s="6" t="s">
        <v>918</v>
      </c>
      <c r="X10" s="6" t="s">
        <v>919</v>
      </c>
      <c r="Y10" s="6" t="s">
        <v>60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1</v>
      </c>
      <c r="AI10" s="6" t="s">
        <v>84</v>
      </c>
    </row>
    <row r="11" customFormat="false" ht="15" hidden="false" customHeight="false" outlineLevel="0" collapsed="false">
      <c r="A11" s="6" t="n">
        <v>10</v>
      </c>
      <c r="B11" s="6" t="s">
        <v>920</v>
      </c>
      <c r="C11" s="6" t="n">
        <v>1</v>
      </c>
      <c r="D11" s="6" t="s">
        <v>237</v>
      </c>
      <c r="E11" s="6" t="s">
        <v>116</v>
      </c>
      <c r="F11" s="6" t="n">
        <v>2</v>
      </c>
      <c r="G11" s="6" t="n">
        <v>8</v>
      </c>
      <c r="H11" s="6" t="s">
        <v>921</v>
      </c>
      <c r="I11" s="22" t="n">
        <v>255000</v>
      </c>
      <c r="J11" s="22" t="n">
        <v>15000</v>
      </c>
      <c r="K11" s="22" t="n">
        <v>20250</v>
      </c>
      <c r="L11" s="22" t="n">
        <v>290250</v>
      </c>
      <c r="M11" s="6" t="s">
        <v>57</v>
      </c>
      <c r="N11" s="6" t="s">
        <v>58</v>
      </c>
      <c r="O11" s="6"/>
      <c r="P11" s="6" t="s">
        <v>69</v>
      </c>
      <c r="Q11" s="6" t="str">
        <f aca="false">IF(P11="pass","No","Yes")</f>
        <v>No</v>
      </c>
      <c r="R11" s="6" t="s">
        <v>60</v>
      </c>
      <c r="S11" s="6"/>
      <c r="T11" s="6"/>
      <c r="U11" s="23" t="n">
        <v>3.322</v>
      </c>
      <c r="V11" s="6" t="s">
        <v>922</v>
      </c>
      <c r="W11" s="6" t="s">
        <v>923</v>
      </c>
      <c r="X11" s="6" t="s">
        <v>924</v>
      </c>
      <c r="Y11" s="6" t="s">
        <v>60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0</v>
      </c>
      <c r="AI11" s="6" t="s">
        <v>84</v>
      </c>
    </row>
    <row r="12" customFormat="false" ht="15" hidden="false" customHeight="false" outlineLevel="0" collapsed="false">
      <c r="A12" s="6" t="n">
        <v>11</v>
      </c>
      <c r="B12" s="6" t="s">
        <v>925</v>
      </c>
      <c r="C12" s="6" t="n">
        <v>1</v>
      </c>
      <c r="D12" s="6" t="s">
        <v>127</v>
      </c>
      <c r="E12" s="6" t="s">
        <v>55</v>
      </c>
      <c r="F12" s="6" t="n">
        <v>3</v>
      </c>
      <c r="G12" s="6" t="n">
        <v>253</v>
      </c>
      <c r="H12" s="6" t="s">
        <v>926</v>
      </c>
      <c r="I12" s="22" t="n">
        <v>3199400</v>
      </c>
      <c r="J12" s="22" t="n">
        <v>6000</v>
      </c>
      <c r="K12" s="22" t="n">
        <v>240405</v>
      </c>
      <c r="L12" s="22" t="n">
        <v>3445805</v>
      </c>
      <c r="M12" s="6" t="s">
        <v>927</v>
      </c>
      <c r="N12" s="6" t="s">
        <v>58</v>
      </c>
      <c r="O12" s="6"/>
      <c r="P12" s="6" t="s">
        <v>59</v>
      </c>
      <c r="Q12" s="6" t="str">
        <f aca="false">IF(P12="pass","No","Yes")</f>
        <v>Yes</v>
      </c>
      <c r="R12" s="6" t="s">
        <v>60</v>
      </c>
      <c r="S12" s="6" t="s">
        <v>915</v>
      </c>
      <c r="T12" s="6" t="s">
        <v>928</v>
      </c>
      <c r="U12" s="23" t="n">
        <v>6.706</v>
      </c>
      <c r="V12" s="6" t="s">
        <v>929</v>
      </c>
      <c r="W12" s="6" t="s">
        <v>930</v>
      </c>
      <c r="X12" s="6" t="s">
        <v>931</v>
      </c>
      <c r="Y12" s="6" t="s">
        <v>60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  <c r="AH12" s="6" t="n">
        <v>1</v>
      </c>
      <c r="AI12" s="6" t="s">
        <v>84</v>
      </c>
    </row>
    <row r="13" customFormat="false" ht="15" hidden="false" customHeight="false" outlineLevel="0" collapsed="false">
      <c r="A13" s="6" t="n">
        <v>12</v>
      </c>
      <c r="B13" s="6" t="s">
        <v>932</v>
      </c>
      <c r="C13" s="6" t="n">
        <v>1</v>
      </c>
      <c r="D13" s="6" t="s">
        <v>137</v>
      </c>
      <c r="E13" s="6" t="s">
        <v>55</v>
      </c>
      <c r="F13" s="6" t="n">
        <v>3</v>
      </c>
      <c r="G13" s="6" t="n">
        <v>1126</v>
      </c>
      <c r="H13" s="6" t="s">
        <v>933</v>
      </c>
      <c r="I13" s="22" t="n">
        <v>14043900</v>
      </c>
      <c r="J13" s="22" t="n">
        <v>6000</v>
      </c>
      <c r="K13" s="22" t="n">
        <v>1053742.5</v>
      </c>
      <c r="L13" s="22" t="n">
        <v>15103642.5</v>
      </c>
      <c r="M13" s="6" t="s">
        <v>159</v>
      </c>
      <c r="N13" s="6" t="s">
        <v>84</v>
      </c>
      <c r="O13" s="6" t="s">
        <v>886</v>
      </c>
      <c r="P13" s="6" t="s">
        <v>85</v>
      </c>
      <c r="Q13" s="6" t="str">
        <f aca="false">IF(P13="pass","No","Yes")</f>
        <v>Yes</v>
      </c>
      <c r="R13" s="6" t="s">
        <v>86</v>
      </c>
      <c r="S13" s="6" t="s">
        <v>934</v>
      </c>
      <c r="T13" s="6" t="s">
        <v>491</v>
      </c>
      <c r="U13" s="23" t="n">
        <v>3.082</v>
      </c>
      <c r="V13" s="6" t="s">
        <v>935</v>
      </c>
      <c r="W13" s="6" t="s">
        <v>936</v>
      </c>
      <c r="X13" s="6" t="s">
        <v>937</v>
      </c>
      <c r="Y13" s="6" t="s">
        <v>86</v>
      </c>
      <c r="Z13" s="6" t="n">
        <v>0</v>
      </c>
      <c r="AA13" s="6" t="n">
        <v>0</v>
      </c>
      <c r="AB13" s="6" t="n">
        <v>1</v>
      </c>
      <c r="AC13" s="6" t="n">
        <v>1</v>
      </c>
      <c r="AD13" s="6" t="n">
        <v>0</v>
      </c>
      <c r="AE13" s="6" t="n">
        <v>0</v>
      </c>
      <c r="AF13" s="6" t="n">
        <v>0</v>
      </c>
      <c r="AG13" s="6" t="n">
        <v>0</v>
      </c>
      <c r="AH13" s="6" t="n">
        <v>0</v>
      </c>
      <c r="AI13" s="6" t="s">
        <v>84</v>
      </c>
    </row>
    <row r="14" customFormat="false" ht="15" hidden="false" customHeight="false" outlineLevel="0" collapsed="false">
      <c r="A14" s="6" t="n">
        <v>13</v>
      </c>
      <c r="B14" s="6" t="s">
        <v>938</v>
      </c>
      <c r="C14" s="6" t="n">
        <v>1</v>
      </c>
      <c r="D14" s="6" t="s">
        <v>70</v>
      </c>
      <c r="E14" s="6" t="s">
        <v>74</v>
      </c>
      <c r="F14" s="6" t="n">
        <v>2</v>
      </c>
      <c r="G14" s="6" t="n">
        <v>31</v>
      </c>
      <c r="H14" s="6" t="s">
        <v>939</v>
      </c>
      <c r="I14" s="22" t="n">
        <v>310600</v>
      </c>
      <c r="J14" s="22" t="n">
        <v>9000</v>
      </c>
      <c r="K14" s="22" t="n">
        <v>23970</v>
      </c>
      <c r="L14" s="22" t="n">
        <v>343570</v>
      </c>
      <c r="M14" s="6" t="s">
        <v>57</v>
      </c>
      <c r="N14" s="6" t="s">
        <v>58</v>
      </c>
      <c r="O14" s="6"/>
      <c r="P14" s="6" t="s">
        <v>69</v>
      </c>
      <c r="Q14" s="6" t="str">
        <f aca="false">IF(P14="pass","No","Yes")</f>
        <v>No</v>
      </c>
      <c r="R14" s="6" t="s">
        <v>60</v>
      </c>
      <c r="S14" s="6"/>
      <c r="T14" s="6"/>
      <c r="U14" s="23" t="n">
        <v>6.755</v>
      </c>
      <c r="V14" s="6" t="s">
        <v>940</v>
      </c>
      <c r="W14" s="6" t="s">
        <v>941</v>
      </c>
      <c r="X14" s="6" t="s">
        <v>942</v>
      </c>
      <c r="Y14" s="6" t="s">
        <v>60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0</v>
      </c>
      <c r="AF14" s="6" t="n">
        <v>0</v>
      </c>
      <c r="AG14" s="6" t="n">
        <v>0</v>
      </c>
      <c r="AH14" s="6" t="n">
        <v>0</v>
      </c>
      <c r="AI14" s="6" t="s">
        <v>84</v>
      </c>
    </row>
    <row r="15" customFormat="false" ht="15" hidden="false" customHeight="false" outlineLevel="0" collapsed="false">
      <c r="A15" s="6" t="n">
        <v>14</v>
      </c>
      <c r="B15" s="6" t="s">
        <v>943</v>
      </c>
      <c r="C15" s="6" t="n">
        <v>1</v>
      </c>
      <c r="D15" s="6" t="s">
        <v>127</v>
      </c>
      <c r="E15" s="6" t="s">
        <v>55</v>
      </c>
      <c r="F15" s="6" t="n">
        <v>3</v>
      </c>
      <c r="G15" s="6" t="n">
        <v>70</v>
      </c>
      <c r="H15" s="6" t="s">
        <v>944</v>
      </c>
      <c r="I15" s="22" t="n">
        <v>798800</v>
      </c>
      <c r="J15" s="22" t="n">
        <v>6000</v>
      </c>
      <c r="K15" s="22" t="n">
        <v>60360</v>
      </c>
      <c r="L15" s="22" t="n">
        <v>865160</v>
      </c>
      <c r="M15" s="6" t="s">
        <v>57</v>
      </c>
      <c r="N15" s="6" t="s">
        <v>58</v>
      </c>
      <c r="O15" s="6"/>
      <c r="P15" s="6" t="s">
        <v>69</v>
      </c>
      <c r="Q15" s="6" t="str">
        <f aca="false">IF(P15="pass","No","Yes")</f>
        <v>No</v>
      </c>
      <c r="R15" s="6" t="s">
        <v>60</v>
      </c>
      <c r="S15" s="6"/>
      <c r="T15" s="6"/>
      <c r="U15" s="23" t="n">
        <v>3.666</v>
      </c>
      <c r="V15" s="6" t="s">
        <v>945</v>
      </c>
      <c r="W15" s="6" t="s">
        <v>946</v>
      </c>
      <c r="X15" s="6" t="s">
        <v>947</v>
      </c>
      <c r="Y15" s="6" t="s">
        <v>60</v>
      </c>
      <c r="Z15" s="6" t="n">
        <v>0</v>
      </c>
      <c r="AA15" s="6" t="n">
        <v>0</v>
      </c>
      <c r="AB15" s="6" t="n">
        <v>0</v>
      </c>
      <c r="AC15" s="6" t="n">
        <v>0</v>
      </c>
      <c r="AD15" s="6" t="n">
        <v>0</v>
      </c>
      <c r="AE15" s="6" t="n">
        <v>0</v>
      </c>
      <c r="AF15" s="6" t="n">
        <v>0</v>
      </c>
      <c r="AG15" s="6" t="n">
        <v>0</v>
      </c>
      <c r="AH15" s="6" t="n">
        <v>0</v>
      </c>
      <c r="AI15" s="6" t="s">
        <v>84</v>
      </c>
    </row>
    <row r="16" customFormat="false" ht="15" hidden="false" customHeight="false" outlineLevel="0" collapsed="false">
      <c r="A16" s="6" t="n">
        <v>15</v>
      </c>
      <c r="B16" s="6" t="s">
        <v>948</v>
      </c>
      <c r="C16" s="6" t="n">
        <v>1</v>
      </c>
      <c r="D16" s="6" t="s">
        <v>198</v>
      </c>
      <c r="E16" s="6" t="s">
        <v>81</v>
      </c>
      <c r="F16" s="6" t="n">
        <v>3</v>
      </c>
      <c r="G16" s="6" t="n">
        <v>18</v>
      </c>
      <c r="H16" s="6" t="s">
        <v>949</v>
      </c>
      <c r="I16" s="22" t="n">
        <v>412400</v>
      </c>
      <c r="J16" s="22" t="n">
        <v>4000</v>
      </c>
      <c r="K16" s="22" t="n">
        <v>31230</v>
      </c>
      <c r="L16" s="22" t="n">
        <v>447630</v>
      </c>
      <c r="M16" s="6" t="s">
        <v>57</v>
      </c>
      <c r="N16" s="6" t="s">
        <v>58</v>
      </c>
      <c r="O16" s="6"/>
      <c r="P16" s="6" t="s">
        <v>69</v>
      </c>
      <c r="Q16" s="6" t="str">
        <f aca="false">IF(P16="pass","No","Yes")</f>
        <v>No</v>
      </c>
      <c r="R16" s="6" t="s">
        <v>60</v>
      </c>
      <c r="S16" s="6"/>
      <c r="T16" s="6"/>
      <c r="U16" s="23" t="n">
        <v>4.972</v>
      </c>
      <c r="V16" s="6" t="s">
        <v>950</v>
      </c>
      <c r="W16" s="6" t="s">
        <v>951</v>
      </c>
      <c r="X16" s="6" t="s">
        <v>952</v>
      </c>
      <c r="Y16" s="6" t="s">
        <v>60</v>
      </c>
      <c r="Z16" s="6" t="n">
        <v>0</v>
      </c>
      <c r="AA16" s="6" t="n">
        <v>0</v>
      </c>
      <c r="AB16" s="6" t="n">
        <v>0</v>
      </c>
      <c r="AC16" s="6" t="n">
        <v>0</v>
      </c>
      <c r="AD16" s="6" t="n">
        <v>0</v>
      </c>
      <c r="AE16" s="6" t="n">
        <v>0</v>
      </c>
      <c r="AF16" s="6" t="n">
        <v>0</v>
      </c>
      <c r="AG16" s="6" t="n">
        <v>0</v>
      </c>
      <c r="AH16" s="6" t="n">
        <v>0</v>
      </c>
      <c r="AI16" s="6" t="s">
        <v>84</v>
      </c>
    </row>
    <row r="17" customFormat="false" ht="15" hidden="false" customHeight="false" outlineLevel="0" collapsed="false">
      <c r="A17" s="6" t="n">
        <v>16</v>
      </c>
      <c r="B17" s="6" t="s">
        <v>953</v>
      </c>
      <c r="C17" s="6" t="n">
        <v>1</v>
      </c>
      <c r="D17" s="6" t="s">
        <v>63</v>
      </c>
      <c r="E17" s="6" t="s">
        <v>67</v>
      </c>
      <c r="F17" s="6" t="n">
        <v>1</v>
      </c>
      <c r="G17" s="6" t="n">
        <v>25</v>
      </c>
      <c r="H17" s="6" t="s">
        <v>954</v>
      </c>
      <c r="I17" s="22" t="n">
        <v>295000</v>
      </c>
      <c r="J17" s="22" t="n">
        <v>4500</v>
      </c>
      <c r="K17" s="22" t="n">
        <v>22462.5</v>
      </c>
      <c r="L17" s="22" t="n">
        <v>321962.5</v>
      </c>
      <c r="M17" s="6" t="s">
        <v>57</v>
      </c>
      <c r="N17" s="6" t="s">
        <v>58</v>
      </c>
      <c r="O17" s="6"/>
      <c r="P17" s="6" t="s">
        <v>69</v>
      </c>
      <c r="Q17" s="6" t="str">
        <f aca="false">IF(P17="pass","No","Yes")</f>
        <v>No</v>
      </c>
      <c r="R17" s="6" t="s">
        <v>60</v>
      </c>
      <c r="S17" s="6"/>
      <c r="T17" s="6"/>
      <c r="U17" s="23" t="n">
        <v>3.037</v>
      </c>
      <c r="V17" s="6" t="s">
        <v>955</v>
      </c>
      <c r="W17" s="6" t="s">
        <v>956</v>
      </c>
      <c r="X17" s="6" t="s">
        <v>957</v>
      </c>
      <c r="Y17" s="6" t="s">
        <v>60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0</v>
      </c>
      <c r="AE17" s="6" t="n">
        <v>0</v>
      </c>
      <c r="AF17" s="6" t="n">
        <v>0</v>
      </c>
      <c r="AG17" s="6" t="n">
        <v>0</v>
      </c>
      <c r="AH17" s="6" t="n">
        <v>0</v>
      </c>
      <c r="AI17" s="6" t="s">
        <v>84</v>
      </c>
    </row>
    <row r="18" customFormat="false" ht="15" hidden="false" customHeight="false" outlineLevel="0" collapsed="false">
      <c r="A18" s="6" t="n">
        <v>17</v>
      </c>
      <c r="B18" s="6" t="s">
        <v>958</v>
      </c>
      <c r="C18" s="6" t="n">
        <v>1</v>
      </c>
      <c r="D18" s="6" t="s">
        <v>112</v>
      </c>
      <c r="E18" s="6" t="s">
        <v>116</v>
      </c>
      <c r="F18" s="6" t="n">
        <v>1</v>
      </c>
      <c r="G18" s="6" t="n">
        <v>2</v>
      </c>
      <c r="H18" s="6" t="s">
        <v>959</v>
      </c>
      <c r="I18" s="22" t="n">
        <v>8200</v>
      </c>
      <c r="J18" s="22" t="n">
        <v>15000</v>
      </c>
      <c r="K18" s="22" t="n">
        <v>1740</v>
      </c>
      <c r="L18" s="22" t="n">
        <v>24940</v>
      </c>
      <c r="M18" s="6" t="s">
        <v>960</v>
      </c>
      <c r="N18" s="6" t="s">
        <v>84</v>
      </c>
      <c r="O18" s="6" t="s">
        <v>961</v>
      </c>
      <c r="P18" s="6" t="s">
        <v>85</v>
      </c>
      <c r="Q18" s="6" t="str">
        <f aca="false">IF(P18="pass","No","Yes")</f>
        <v>Yes</v>
      </c>
      <c r="R18" s="6" t="s">
        <v>86</v>
      </c>
      <c r="S18" s="6" t="s">
        <v>961</v>
      </c>
      <c r="T18" s="6" t="s">
        <v>962</v>
      </c>
      <c r="U18" s="23" t="n">
        <v>3.207</v>
      </c>
      <c r="V18" s="6" t="s">
        <v>963</v>
      </c>
      <c r="W18" s="6" t="s">
        <v>964</v>
      </c>
      <c r="X18" s="6" t="s">
        <v>965</v>
      </c>
      <c r="Y18" s="6" t="s">
        <v>86</v>
      </c>
      <c r="Z18" s="6" t="n">
        <v>0</v>
      </c>
      <c r="AA18" s="6" t="n">
        <v>0</v>
      </c>
      <c r="AB18" s="6" t="n">
        <v>0</v>
      </c>
      <c r="AC18" s="6" t="n">
        <v>0</v>
      </c>
      <c r="AD18" s="6" t="n">
        <v>1</v>
      </c>
      <c r="AE18" s="6" t="n">
        <v>0</v>
      </c>
      <c r="AF18" s="6" t="n">
        <v>0</v>
      </c>
      <c r="AG18" s="6" t="n">
        <v>0</v>
      </c>
      <c r="AH18" s="6" t="n">
        <v>0</v>
      </c>
      <c r="AI18" s="6" t="s">
        <v>84</v>
      </c>
    </row>
    <row r="19" customFormat="false" ht="15" hidden="false" customHeight="false" outlineLevel="0" collapsed="false">
      <c r="A19" s="6" t="n">
        <v>18</v>
      </c>
      <c r="B19" s="6" t="s">
        <v>966</v>
      </c>
      <c r="C19" s="6" t="n">
        <v>1</v>
      </c>
      <c r="D19" s="6" t="s">
        <v>237</v>
      </c>
      <c r="E19" s="6" t="s">
        <v>116</v>
      </c>
      <c r="F19" s="6" t="n">
        <v>2</v>
      </c>
      <c r="G19" s="6" t="n">
        <v>43</v>
      </c>
      <c r="H19" s="6" t="s">
        <v>967</v>
      </c>
      <c r="I19" s="22" t="n">
        <v>471500</v>
      </c>
      <c r="J19" s="22" t="n">
        <v>15000</v>
      </c>
      <c r="K19" s="22" t="n">
        <v>36487.5</v>
      </c>
      <c r="L19" s="22" t="n">
        <v>522987.5</v>
      </c>
      <c r="M19" s="6" t="s">
        <v>960</v>
      </c>
      <c r="N19" s="6" t="s">
        <v>84</v>
      </c>
      <c r="O19" s="6" t="s">
        <v>961</v>
      </c>
      <c r="P19" s="6" t="s">
        <v>85</v>
      </c>
      <c r="Q19" s="6" t="str">
        <f aca="false">IF(P19="pass","No","Yes")</f>
        <v>Yes</v>
      </c>
      <c r="R19" s="6" t="s">
        <v>86</v>
      </c>
      <c r="S19" s="6" t="s">
        <v>961</v>
      </c>
      <c r="T19" s="6" t="s">
        <v>962</v>
      </c>
      <c r="U19" s="23" t="n">
        <v>6.128</v>
      </c>
      <c r="V19" s="6" t="s">
        <v>968</v>
      </c>
      <c r="W19" s="6" t="s">
        <v>969</v>
      </c>
      <c r="X19" s="6" t="s">
        <v>970</v>
      </c>
      <c r="Y19" s="6" t="s">
        <v>86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1</v>
      </c>
      <c r="AE19" s="6" t="n">
        <v>0</v>
      </c>
      <c r="AF19" s="6" t="n">
        <v>0</v>
      </c>
      <c r="AG19" s="6" t="n">
        <v>0</v>
      </c>
      <c r="AH19" s="6" t="n">
        <v>0</v>
      </c>
      <c r="AI19" s="6" t="s">
        <v>84</v>
      </c>
    </row>
    <row r="20" customFormat="false" ht="15" hidden="false" customHeight="false" outlineLevel="0" collapsed="false">
      <c r="A20" s="6" t="n">
        <v>19</v>
      </c>
      <c r="B20" s="6" t="s">
        <v>971</v>
      </c>
      <c r="C20" s="6" t="n">
        <v>1</v>
      </c>
      <c r="D20" s="6" t="s">
        <v>154</v>
      </c>
      <c r="E20" s="6" t="s">
        <v>123</v>
      </c>
      <c r="F20" s="6" t="n">
        <v>3</v>
      </c>
      <c r="G20" s="6" t="n">
        <v>37</v>
      </c>
      <c r="H20" s="6" t="s">
        <v>972</v>
      </c>
      <c r="I20" s="22" t="n">
        <v>803400</v>
      </c>
      <c r="J20" s="22" t="n">
        <v>5000</v>
      </c>
      <c r="K20" s="22" t="n">
        <v>60630</v>
      </c>
      <c r="L20" s="22" t="n">
        <v>869030</v>
      </c>
      <c r="M20" s="6" t="s">
        <v>272</v>
      </c>
      <c r="N20" s="6" t="s">
        <v>84</v>
      </c>
      <c r="O20" s="6" t="s">
        <v>879</v>
      </c>
      <c r="P20" s="6" t="s">
        <v>85</v>
      </c>
      <c r="Q20" s="6" t="str">
        <f aca="false">IF(P20="pass","No","Yes")</f>
        <v>Yes</v>
      </c>
      <c r="R20" s="6" t="s">
        <v>86</v>
      </c>
      <c r="S20" s="6" t="s">
        <v>879</v>
      </c>
      <c r="T20" s="6" t="s">
        <v>973</v>
      </c>
      <c r="U20" s="23" t="n">
        <v>2.854</v>
      </c>
      <c r="V20" s="6" t="s">
        <v>974</v>
      </c>
      <c r="W20" s="6" t="s">
        <v>975</v>
      </c>
      <c r="X20" s="6" t="s">
        <v>976</v>
      </c>
      <c r="Y20" s="6" t="s">
        <v>86</v>
      </c>
      <c r="Z20" s="6" t="n">
        <v>0</v>
      </c>
      <c r="AA20" s="6" t="n">
        <v>1</v>
      </c>
      <c r="AB20" s="6" t="n">
        <v>0</v>
      </c>
      <c r="AC20" s="6" t="n">
        <v>0</v>
      </c>
      <c r="AD20" s="6" t="n">
        <v>0</v>
      </c>
      <c r="AE20" s="6" t="n">
        <v>0</v>
      </c>
      <c r="AF20" s="6" t="n">
        <v>0</v>
      </c>
      <c r="AG20" s="6" t="n">
        <v>0</v>
      </c>
      <c r="AH20" s="6" t="n">
        <v>0</v>
      </c>
      <c r="AI20" s="6" t="s">
        <v>84</v>
      </c>
    </row>
    <row r="21" customFormat="false" ht="15" hidden="false" customHeight="false" outlineLevel="0" collapsed="false">
      <c r="A21" s="6" t="n">
        <v>20</v>
      </c>
      <c r="B21" s="6" t="s">
        <v>977</v>
      </c>
      <c r="C21" s="6" t="n">
        <v>1</v>
      </c>
      <c r="D21" s="6" t="s">
        <v>51</v>
      </c>
      <c r="E21" s="6" t="s">
        <v>55</v>
      </c>
      <c r="F21" s="6" t="n">
        <v>2</v>
      </c>
      <c r="G21" s="6" t="n">
        <v>18</v>
      </c>
      <c r="H21" s="6" t="s">
        <v>978</v>
      </c>
      <c r="I21" s="22" t="n">
        <v>250500</v>
      </c>
      <c r="J21" s="22" t="n">
        <v>6000</v>
      </c>
      <c r="K21" s="22" t="n">
        <v>19237.5</v>
      </c>
      <c r="L21" s="22" t="n">
        <v>275737.5</v>
      </c>
      <c r="M21" s="6" t="s">
        <v>57</v>
      </c>
      <c r="N21" s="6" t="s">
        <v>58</v>
      </c>
      <c r="O21" s="6"/>
      <c r="P21" s="6" t="s">
        <v>69</v>
      </c>
      <c r="Q21" s="6" t="str">
        <f aca="false">IF(P21="pass","No","Yes")</f>
        <v>No</v>
      </c>
      <c r="R21" s="6" t="s">
        <v>60</v>
      </c>
      <c r="S21" s="6"/>
      <c r="T21" s="6"/>
      <c r="U21" s="23" t="n">
        <v>3.353</v>
      </c>
      <c r="V21" s="6" t="s">
        <v>979</v>
      </c>
      <c r="W21" s="6" t="s">
        <v>980</v>
      </c>
      <c r="X21" s="6" t="s">
        <v>981</v>
      </c>
      <c r="Y21" s="6" t="s">
        <v>60</v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0</v>
      </c>
      <c r="AF21" s="6" t="n">
        <v>0</v>
      </c>
      <c r="AG21" s="6" t="n">
        <v>0</v>
      </c>
      <c r="AH21" s="6" t="n">
        <v>0</v>
      </c>
      <c r="AI21" s="6" t="s">
        <v>84</v>
      </c>
    </row>
    <row r="22" customFormat="false" ht="15" hidden="false" customHeight="false" outlineLevel="0" collapsed="false">
      <c r="A22" s="6" t="n">
        <v>21</v>
      </c>
      <c r="B22" s="6" t="s">
        <v>982</v>
      </c>
      <c r="C22" s="6" t="n">
        <v>1</v>
      </c>
      <c r="D22" s="6" t="s">
        <v>142</v>
      </c>
      <c r="E22" s="6" t="s">
        <v>74</v>
      </c>
      <c r="F22" s="6" t="n">
        <v>1</v>
      </c>
      <c r="G22" s="6" t="n">
        <v>22</v>
      </c>
      <c r="H22" s="6" t="s">
        <v>983</v>
      </c>
      <c r="I22" s="22" t="n">
        <v>209000</v>
      </c>
      <c r="J22" s="22" t="n">
        <v>9000</v>
      </c>
      <c r="K22" s="22" t="n">
        <v>16350</v>
      </c>
      <c r="L22" s="22" t="n">
        <v>234350</v>
      </c>
      <c r="M22" s="6" t="s">
        <v>984</v>
      </c>
      <c r="N22" s="6" t="s">
        <v>84</v>
      </c>
      <c r="O22" s="6" t="s">
        <v>985</v>
      </c>
      <c r="P22" s="6" t="s">
        <v>85</v>
      </c>
      <c r="Q22" s="6" t="str">
        <f aca="false">IF(P22="pass","No","Yes")</f>
        <v>Yes</v>
      </c>
      <c r="R22" s="6" t="s">
        <v>86</v>
      </c>
      <c r="S22" s="6" t="s">
        <v>985</v>
      </c>
      <c r="T22" s="6" t="s">
        <v>986</v>
      </c>
      <c r="U22" s="23" t="n">
        <v>6.2</v>
      </c>
      <c r="V22" s="6" t="s">
        <v>987</v>
      </c>
      <c r="W22" s="6" t="s">
        <v>988</v>
      </c>
      <c r="X22" s="6" t="s">
        <v>989</v>
      </c>
      <c r="Y22" s="6" t="s">
        <v>86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1</v>
      </c>
      <c r="AF22" s="6" t="n">
        <v>0</v>
      </c>
      <c r="AG22" s="6" t="n">
        <v>0</v>
      </c>
      <c r="AH22" s="6" t="n">
        <v>0</v>
      </c>
      <c r="AI22" s="6" t="s">
        <v>84</v>
      </c>
    </row>
    <row r="23" customFormat="false" ht="15" hidden="false" customHeight="false" outlineLevel="0" collapsed="false">
      <c r="A23" s="6" t="n">
        <v>22</v>
      </c>
      <c r="B23" s="6" t="s">
        <v>990</v>
      </c>
      <c r="C23" s="6" t="n">
        <v>1</v>
      </c>
      <c r="D23" s="6" t="s">
        <v>177</v>
      </c>
      <c r="E23" s="6" t="s">
        <v>81</v>
      </c>
      <c r="F23" s="6" t="n">
        <v>2</v>
      </c>
      <c r="G23" s="6" t="n">
        <v>1559</v>
      </c>
      <c r="H23" s="6" t="s">
        <v>991</v>
      </c>
      <c r="I23" s="22" t="n">
        <v>11871600</v>
      </c>
      <c r="J23" s="22" t="n">
        <v>4000</v>
      </c>
      <c r="K23" s="22" t="n">
        <v>890670</v>
      </c>
      <c r="L23" s="22" t="n">
        <v>12766270</v>
      </c>
      <c r="M23" s="6" t="s">
        <v>159</v>
      </c>
      <c r="N23" s="6" t="s">
        <v>84</v>
      </c>
      <c r="O23" s="6" t="s">
        <v>886</v>
      </c>
      <c r="P23" s="6" t="s">
        <v>85</v>
      </c>
      <c r="Q23" s="6" t="str">
        <f aca="false">IF(P23="pass","No","Yes")</f>
        <v>Yes</v>
      </c>
      <c r="R23" s="6" t="s">
        <v>86</v>
      </c>
      <c r="S23" s="6" t="s">
        <v>992</v>
      </c>
      <c r="T23" s="6" t="s">
        <v>993</v>
      </c>
      <c r="U23" s="23" t="n">
        <v>6.829</v>
      </c>
      <c r="V23" s="6" t="s">
        <v>994</v>
      </c>
      <c r="W23" s="6" t="s">
        <v>995</v>
      </c>
      <c r="X23" s="6" t="s">
        <v>996</v>
      </c>
      <c r="Y23" s="6" t="s">
        <v>86</v>
      </c>
      <c r="Z23" s="6" t="n">
        <v>0</v>
      </c>
      <c r="AA23" s="6" t="n">
        <v>0</v>
      </c>
      <c r="AB23" s="6" t="n">
        <v>1</v>
      </c>
      <c r="AC23" s="6" t="n">
        <v>1</v>
      </c>
      <c r="AD23" s="6" t="n">
        <v>0</v>
      </c>
      <c r="AE23" s="6" t="n">
        <v>0</v>
      </c>
      <c r="AF23" s="6" t="n">
        <v>0</v>
      </c>
      <c r="AG23" s="6" t="n">
        <v>0</v>
      </c>
      <c r="AH23" s="6" t="n">
        <v>1</v>
      </c>
      <c r="AI23" s="6" t="s">
        <v>84</v>
      </c>
    </row>
    <row r="24" customFormat="false" ht="15" hidden="false" customHeight="false" outlineLevel="0" collapsed="false">
      <c r="A24" s="6" t="n">
        <v>23</v>
      </c>
      <c r="B24" s="6" t="s">
        <v>997</v>
      </c>
      <c r="C24" s="6" t="n">
        <v>1</v>
      </c>
      <c r="D24" s="6" t="s">
        <v>142</v>
      </c>
      <c r="E24" s="6" t="s">
        <v>74</v>
      </c>
      <c r="F24" s="6" t="n">
        <v>2</v>
      </c>
      <c r="G24" s="6" t="n">
        <v>74</v>
      </c>
      <c r="H24" s="6" t="s">
        <v>998</v>
      </c>
      <c r="I24" s="22" t="n">
        <v>1496000</v>
      </c>
      <c r="J24" s="22" t="n">
        <v>9000</v>
      </c>
      <c r="K24" s="22" t="n">
        <v>112875</v>
      </c>
      <c r="L24" s="22" t="n">
        <v>1617875</v>
      </c>
      <c r="M24" s="6" t="s">
        <v>57</v>
      </c>
      <c r="N24" s="6" t="s">
        <v>58</v>
      </c>
      <c r="O24" s="6"/>
      <c r="P24" s="6" t="s">
        <v>69</v>
      </c>
      <c r="Q24" s="6" t="str">
        <f aca="false">IF(P24="pass","No","Yes")</f>
        <v>No</v>
      </c>
      <c r="R24" s="6" t="s">
        <v>60</v>
      </c>
      <c r="S24" s="6"/>
      <c r="T24" s="6"/>
      <c r="U24" s="23" t="n">
        <v>5.953</v>
      </c>
      <c r="V24" s="6" t="s">
        <v>999</v>
      </c>
      <c r="W24" s="6" t="s">
        <v>1000</v>
      </c>
      <c r="X24" s="6" t="s">
        <v>1001</v>
      </c>
      <c r="Y24" s="6" t="s">
        <v>60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0</v>
      </c>
      <c r="AF24" s="6" t="n">
        <v>0</v>
      </c>
      <c r="AG24" s="6" t="n">
        <v>0</v>
      </c>
      <c r="AH24" s="6" t="n">
        <v>0</v>
      </c>
      <c r="AI24" s="6" t="s">
        <v>84</v>
      </c>
    </row>
    <row r="25" customFormat="false" ht="15" hidden="false" customHeight="false" outlineLevel="0" collapsed="false">
      <c r="A25" s="6" t="n">
        <v>24</v>
      </c>
      <c r="B25" s="6" t="s">
        <v>1002</v>
      </c>
      <c r="C25" s="6" t="n">
        <v>1</v>
      </c>
      <c r="D25" s="6" t="s">
        <v>100</v>
      </c>
      <c r="E25" s="6" t="s">
        <v>67</v>
      </c>
      <c r="F25" s="6" t="n">
        <v>2</v>
      </c>
      <c r="G25" s="6" t="n">
        <v>16</v>
      </c>
      <c r="H25" s="6" t="s">
        <v>1003</v>
      </c>
      <c r="I25" s="22" t="n">
        <v>574100</v>
      </c>
      <c r="J25" s="22" t="n">
        <v>4500</v>
      </c>
      <c r="K25" s="22" t="n">
        <v>43395</v>
      </c>
      <c r="L25" s="22" t="n">
        <v>621995</v>
      </c>
      <c r="M25" s="6" t="s">
        <v>83</v>
      </c>
      <c r="N25" s="6" t="s">
        <v>84</v>
      </c>
      <c r="O25" s="6" t="s">
        <v>886</v>
      </c>
      <c r="P25" s="6" t="s">
        <v>85</v>
      </c>
      <c r="Q25" s="6" t="str">
        <f aca="false">IF(P25="pass","No","Yes")</f>
        <v>Yes</v>
      </c>
      <c r="R25" s="6" t="s">
        <v>86</v>
      </c>
      <c r="S25" s="6" t="s">
        <v>886</v>
      </c>
      <c r="T25" s="6" t="s">
        <v>438</v>
      </c>
      <c r="U25" s="23" t="n">
        <v>2.894</v>
      </c>
      <c r="V25" s="6" t="s">
        <v>1004</v>
      </c>
      <c r="W25" s="6" t="s">
        <v>1005</v>
      </c>
      <c r="X25" s="6" t="s">
        <v>1006</v>
      </c>
      <c r="Y25" s="6" t="s">
        <v>86</v>
      </c>
      <c r="Z25" s="6" t="n">
        <v>0</v>
      </c>
      <c r="AA25" s="6" t="n">
        <v>0</v>
      </c>
      <c r="AB25" s="6" t="n">
        <v>1</v>
      </c>
      <c r="AC25" s="6" t="n">
        <v>0</v>
      </c>
      <c r="AD25" s="6" t="n">
        <v>0</v>
      </c>
      <c r="AE25" s="6" t="n">
        <v>0</v>
      </c>
      <c r="AF25" s="6" t="n">
        <v>0</v>
      </c>
      <c r="AG25" s="6" t="n">
        <v>0</v>
      </c>
      <c r="AH25" s="6" t="n">
        <v>0</v>
      </c>
      <c r="AI25" s="6" t="s">
        <v>84</v>
      </c>
    </row>
    <row r="26" customFormat="false" ht="15" hidden="false" customHeight="false" outlineLevel="0" collapsed="false">
      <c r="A26" s="6" t="n">
        <v>25</v>
      </c>
      <c r="B26" s="6" t="s">
        <v>1007</v>
      </c>
      <c r="C26" s="6" t="n">
        <v>1</v>
      </c>
      <c r="D26" s="6" t="s">
        <v>112</v>
      </c>
      <c r="E26" s="6" t="s">
        <v>116</v>
      </c>
      <c r="F26" s="6" t="n">
        <v>3</v>
      </c>
      <c r="G26" s="6" t="n">
        <v>39</v>
      </c>
      <c r="H26" s="6" t="s">
        <v>1008</v>
      </c>
      <c r="I26" s="22" t="n">
        <v>944000</v>
      </c>
      <c r="J26" s="22" t="n">
        <v>15000</v>
      </c>
      <c r="K26" s="22" t="n">
        <v>71925</v>
      </c>
      <c r="L26" s="22" t="n">
        <v>1030925</v>
      </c>
      <c r="M26" s="6" t="s">
        <v>1009</v>
      </c>
      <c r="N26" s="6" t="s">
        <v>58</v>
      </c>
      <c r="O26" s="6"/>
      <c r="P26" s="6" t="s">
        <v>69</v>
      </c>
      <c r="Q26" s="6" t="str">
        <f aca="false">IF(P26="pass","No","Yes")</f>
        <v>No</v>
      </c>
      <c r="R26" s="6" t="s">
        <v>60</v>
      </c>
      <c r="S26" s="6"/>
      <c r="T26" s="6"/>
      <c r="U26" s="23" t="n">
        <v>5.086</v>
      </c>
      <c r="V26" s="6" t="s">
        <v>1010</v>
      </c>
      <c r="W26" s="6" t="s">
        <v>1011</v>
      </c>
      <c r="X26" s="6" t="s">
        <v>1012</v>
      </c>
      <c r="Y26" s="6" t="s">
        <v>60</v>
      </c>
      <c r="Z26" s="6" t="n">
        <v>0</v>
      </c>
      <c r="AA26" s="6" t="n">
        <v>0</v>
      </c>
      <c r="AB26" s="6" t="n">
        <v>0</v>
      </c>
      <c r="AC26" s="6" t="n">
        <v>0</v>
      </c>
      <c r="AD26" s="6" t="n">
        <v>0</v>
      </c>
      <c r="AE26" s="6" t="n">
        <v>0</v>
      </c>
      <c r="AF26" s="6" t="n">
        <v>0</v>
      </c>
      <c r="AG26" s="6" t="n">
        <v>0</v>
      </c>
      <c r="AH26" s="6" t="n">
        <v>0</v>
      </c>
      <c r="AI26" s="6" t="s">
        <v>84</v>
      </c>
    </row>
    <row r="27" customFormat="false" ht="15" hidden="false" customHeight="false" outlineLevel="0" collapsed="false">
      <c r="A27" s="6" t="n">
        <v>26</v>
      </c>
      <c r="B27" s="6" t="s">
        <v>1013</v>
      </c>
      <c r="C27" s="6" t="n">
        <v>1</v>
      </c>
      <c r="D27" s="6" t="s">
        <v>63</v>
      </c>
      <c r="E27" s="6" t="s">
        <v>67</v>
      </c>
      <c r="F27" s="6" t="n">
        <v>4</v>
      </c>
      <c r="G27" s="6" t="n">
        <v>170</v>
      </c>
      <c r="H27" s="6" t="s">
        <v>1014</v>
      </c>
      <c r="I27" s="22" t="n">
        <v>2159500</v>
      </c>
      <c r="J27" s="22" t="n">
        <v>4500</v>
      </c>
      <c r="K27" s="22" t="n">
        <v>162300</v>
      </c>
      <c r="L27" s="22" t="n">
        <v>2326300</v>
      </c>
      <c r="M27" s="6" t="s">
        <v>1009</v>
      </c>
      <c r="N27" s="6" t="s">
        <v>58</v>
      </c>
      <c r="O27" s="6"/>
      <c r="P27" s="6" t="s">
        <v>59</v>
      </c>
      <c r="Q27" s="6" t="str">
        <f aca="false">IF(P27="pass","No","Yes")</f>
        <v>Yes</v>
      </c>
      <c r="R27" s="6" t="s">
        <v>60</v>
      </c>
      <c r="S27" s="6" t="s">
        <v>915</v>
      </c>
      <c r="T27" s="6" t="s">
        <v>1015</v>
      </c>
      <c r="U27" s="23" t="n">
        <v>12.497</v>
      </c>
      <c r="V27" s="6" t="s">
        <v>1016</v>
      </c>
      <c r="W27" s="6" t="s">
        <v>1017</v>
      </c>
      <c r="X27" s="6" t="s">
        <v>1018</v>
      </c>
      <c r="Y27" s="6" t="s">
        <v>60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0</v>
      </c>
      <c r="AF27" s="6" t="n">
        <v>0</v>
      </c>
      <c r="AG27" s="6" t="n">
        <v>0</v>
      </c>
      <c r="AH27" s="6" t="n">
        <v>1</v>
      </c>
      <c r="AI27" s="6" t="s">
        <v>84</v>
      </c>
    </row>
    <row r="28" customFormat="false" ht="15" hidden="false" customHeight="false" outlineLevel="0" collapsed="false">
      <c r="A28" s="6" t="n">
        <v>27</v>
      </c>
      <c r="B28" s="6" t="s">
        <v>1019</v>
      </c>
      <c r="C28" s="6" t="n">
        <v>1</v>
      </c>
      <c r="D28" s="6" t="s">
        <v>137</v>
      </c>
      <c r="E28" s="6" t="s">
        <v>146</v>
      </c>
      <c r="F28" s="6" t="n">
        <v>2</v>
      </c>
      <c r="G28" s="6" t="n">
        <v>27</v>
      </c>
      <c r="H28" s="6" t="s">
        <v>1020</v>
      </c>
      <c r="I28" s="22" t="n">
        <v>666200</v>
      </c>
      <c r="J28" s="22" t="n">
        <v>0</v>
      </c>
      <c r="K28" s="22" t="n">
        <v>49965</v>
      </c>
      <c r="L28" s="22" t="n">
        <v>716165</v>
      </c>
      <c r="M28" s="6" t="s">
        <v>148</v>
      </c>
      <c r="N28" s="6" t="s">
        <v>84</v>
      </c>
      <c r="O28" s="6" t="s">
        <v>866</v>
      </c>
      <c r="P28" s="6" t="s">
        <v>85</v>
      </c>
      <c r="Q28" s="6" t="str">
        <f aca="false">IF(P28="pass","No","Yes")</f>
        <v>Yes</v>
      </c>
      <c r="R28" s="6" t="s">
        <v>86</v>
      </c>
      <c r="S28" s="6" t="s">
        <v>866</v>
      </c>
      <c r="T28" s="6" t="s">
        <v>150</v>
      </c>
      <c r="U28" s="23" t="n">
        <v>2.908</v>
      </c>
      <c r="V28" s="6" t="s">
        <v>1021</v>
      </c>
      <c r="W28" s="6" t="s">
        <v>1022</v>
      </c>
      <c r="X28" s="6" t="s">
        <v>1023</v>
      </c>
      <c r="Y28" s="6" t="s">
        <v>86</v>
      </c>
      <c r="Z28" s="6" t="n">
        <v>1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0</v>
      </c>
      <c r="AF28" s="6" t="n">
        <v>0</v>
      </c>
      <c r="AG28" s="6" t="n">
        <v>0</v>
      </c>
      <c r="AH28" s="6" t="n">
        <v>0</v>
      </c>
      <c r="AI28" s="6" t="s">
        <v>84</v>
      </c>
    </row>
    <row r="29" customFormat="false" ht="15" hidden="false" customHeight="false" outlineLevel="0" collapsed="false">
      <c r="A29" s="6" t="n">
        <v>28</v>
      </c>
      <c r="B29" s="6" t="s">
        <v>1024</v>
      </c>
      <c r="C29" s="6" t="n">
        <v>1</v>
      </c>
      <c r="D29" s="6" t="s">
        <v>51</v>
      </c>
      <c r="E29" s="6" t="s">
        <v>55</v>
      </c>
      <c r="F29" s="6" t="n">
        <v>3</v>
      </c>
      <c r="G29" s="6" t="n">
        <v>157</v>
      </c>
      <c r="H29" s="6" t="s">
        <v>1025</v>
      </c>
      <c r="I29" s="22" t="n">
        <v>1562000</v>
      </c>
      <c r="J29" s="22" t="n">
        <v>6000</v>
      </c>
      <c r="K29" s="22" t="n">
        <v>117600</v>
      </c>
      <c r="L29" s="22" t="n">
        <v>1685600</v>
      </c>
      <c r="M29" s="6" t="s">
        <v>927</v>
      </c>
      <c r="N29" s="6" t="s">
        <v>58</v>
      </c>
      <c r="O29" s="6"/>
      <c r="P29" s="6" t="s">
        <v>59</v>
      </c>
      <c r="Q29" s="6" t="str">
        <f aca="false">IF(P29="pass","No","Yes")</f>
        <v>Yes</v>
      </c>
      <c r="R29" s="6" t="s">
        <v>60</v>
      </c>
      <c r="S29" s="6" t="s">
        <v>915</v>
      </c>
      <c r="T29" s="6" t="s">
        <v>1026</v>
      </c>
      <c r="U29" s="23" t="n">
        <v>7.869</v>
      </c>
      <c r="V29" s="6" t="s">
        <v>1027</v>
      </c>
      <c r="W29" s="6" t="s">
        <v>1028</v>
      </c>
      <c r="X29" s="6" t="s">
        <v>1029</v>
      </c>
      <c r="Y29" s="6" t="s">
        <v>60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0</v>
      </c>
      <c r="AF29" s="6" t="n">
        <v>0</v>
      </c>
      <c r="AG29" s="6" t="n">
        <v>0</v>
      </c>
      <c r="AH29" s="6" t="n">
        <v>1</v>
      </c>
      <c r="AI29" s="6" t="s">
        <v>84</v>
      </c>
    </row>
    <row r="30" customFormat="false" ht="15" hidden="false" customHeight="false" outlineLevel="0" collapsed="false">
      <c r="A30" s="6" t="n">
        <v>29</v>
      </c>
      <c r="B30" s="6" t="s">
        <v>1030</v>
      </c>
      <c r="C30" s="6" t="n">
        <v>1</v>
      </c>
      <c r="D30" s="6" t="s">
        <v>89</v>
      </c>
      <c r="E30" s="6" t="s">
        <v>146</v>
      </c>
      <c r="F30" s="6" t="n">
        <v>1</v>
      </c>
      <c r="G30" s="6" t="n">
        <v>11</v>
      </c>
      <c r="H30" s="6" t="s">
        <v>1031</v>
      </c>
      <c r="I30" s="22" t="n">
        <v>129800</v>
      </c>
      <c r="J30" s="22" t="n">
        <v>0</v>
      </c>
      <c r="K30" s="22" t="n">
        <v>9735</v>
      </c>
      <c r="L30" s="22" t="n">
        <v>139535</v>
      </c>
      <c r="M30" s="6" t="s">
        <v>148</v>
      </c>
      <c r="N30" s="6" t="s">
        <v>84</v>
      </c>
      <c r="O30" s="6" t="s">
        <v>866</v>
      </c>
      <c r="P30" s="6" t="s">
        <v>85</v>
      </c>
      <c r="Q30" s="6" t="str">
        <f aca="false">IF(P30="pass","No","Yes")</f>
        <v>Yes</v>
      </c>
      <c r="R30" s="6" t="s">
        <v>86</v>
      </c>
      <c r="S30" s="6" t="s">
        <v>866</v>
      </c>
      <c r="T30" s="6" t="s">
        <v>150</v>
      </c>
      <c r="U30" s="23" t="n">
        <v>2.729</v>
      </c>
      <c r="V30" s="6" t="s">
        <v>1032</v>
      </c>
      <c r="W30" s="6" t="s">
        <v>1033</v>
      </c>
      <c r="X30" s="6" t="s">
        <v>1034</v>
      </c>
      <c r="Y30" s="6" t="s">
        <v>86</v>
      </c>
      <c r="Z30" s="6" t="n">
        <v>1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0</v>
      </c>
      <c r="AF30" s="6" t="n">
        <v>0</v>
      </c>
      <c r="AG30" s="6" t="n">
        <v>0</v>
      </c>
      <c r="AH30" s="6" t="n">
        <v>0</v>
      </c>
      <c r="AI30" s="6" t="s">
        <v>84</v>
      </c>
    </row>
    <row r="31" customFormat="false" ht="15" hidden="false" customHeight="false" outlineLevel="0" collapsed="false">
      <c r="A31" s="6" t="n">
        <v>30</v>
      </c>
      <c r="B31" s="6" t="s">
        <v>1035</v>
      </c>
      <c r="C31" s="6" t="n">
        <v>1</v>
      </c>
      <c r="D31" s="6" t="s">
        <v>198</v>
      </c>
      <c r="E31" s="6" t="s">
        <v>81</v>
      </c>
      <c r="F31" s="6" t="n">
        <v>1</v>
      </c>
      <c r="G31" s="6" t="n">
        <v>10</v>
      </c>
      <c r="H31" s="6" t="s">
        <v>1036</v>
      </c>
      <c r="I31" s="22" t="n">
        <v>310000</v>
      </c>
      <c r="J31" s="22" t="n">
        <v>4000</v>
      </c>
      <c r="K31" s="22" t="n">
        <v>23550</v>
      </c>
      <c r="L31" s="22" t="n">
        <v>337550</v>
      </c>
      <c r="M31" s="6" t="s">
        <v>57</v>
      </c>
      <c r="N31" s="6" t="s">
        <v>58</v>
      </c>
      <c r="O31" s="6"/>
      <c r="P31" s="6" t="s">
        <v>69</v>
      </c>
      <c r="Q31" s="6" t="str">
        <f aca="false">IF(P31="pass","No","Yes")</f>
        <v>No</v>
      </c>
      <c r="R31" s="6" t="s">
        <v>60</v>
      </c>
      <c r="S31" s="6"/>
      <c r="T31" s="6"/>
      <c r="U31" s="23" t="n">
        <v>3.945</v>
      </c>
      <c r="V31" s="6" t="s">
        <v>1037</v>
      </c>
      <c r="W31" s="6" t="s">
        <v>1038</v>
      </c>
      <c r="X31" s="6" t="s">
        <v>1039</v>
      </c>
      <c r="Y31" s="6" t="s">
        <v>60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0</v>
      </c>
      <c r="AF31" s="6" t="n">
        <v>0</v>
      </c>
      <c r="AG31" s="6" t="n">
        <v>0</v>
      </c>
      <c r="AH31" s="6" t="n">
        <v>0</v>
      </c>
      <c r="AI31" s="6" t="s">
        <v>84</v>
      </c>
    </row>
    <row r="32" customFormat="false" ht="15" hidden="false" customHeight="false" outlineLevel="0" collapsed="false">
      <c r="A32" s="6" t="n">
        <v>31</v>
      </c>
      <c r="B32" s="6" t="s">
        <v>1040</v>
      </c>
      <c r="C32" s="6" t="n">
        <v>1</v>
      </c>
      <c r="D32" s="6" t="s">
        <v>89</v>
      </c>
      <c r="E32" s="6" t="s">
        <v>67</v>
      </c>
      <c r="F32" s="6" t="n">
        <v>2</v>
      </c>
      <c r="G32" s="6" t="n">
        <v>56</v>
      </c>
      <c r="H32" s="6" t="s">
        <v>1041</v>
      </c>
      <c r="I32" s="22" t="n">
        <v>795200</v>
      </c>
      <c r="J32" s="22" t="n">
        <v>4500</v>
      </c>
      <c r="K32" s="22" t="n">
        <v>59977.5</v>
      </c>
      <c r="L32" s="22" t="n">
        <v>859677.5</v>
      </c>
      <c r="M32" s="6" t="s">
        <v>1042</v>
      </c>
      <c r="N32" s="6" t="s">
        <v>58</v>
      </c>
      <c r="O32" s="6"/>
      <c r="P32" s="6" t="s">
        <v>69</v>
      </c>
      <c r="Q32" s="6" t="str">
        <f aca="false">IF(P32="pass","No","Yes")</f>
        <v>No</v>
      </c>
      <c r="R32" s="6" t="s">
        <v>60</v>
      </c>
      <c r="S32" s="6"/>
      <c r="T32" s="6"/>
      <c r="U32" s="23" t="n">
        <v>3.751</v>
      </c>
      <c r="V32" s="6" t="s">
        <v>1043</v>
      </c>
      <c r="W32" s="6" t="s">
        <v>1044</v>
      </c>
      <c r="X32" s="6" t="s">
        <v>1045</v>
      </c>
      <c r="Y32" s="6" t="s">
        <v>60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  <c r="AH32" s="6" t="n">
        <v>0</v>
      </c>
      <c r="AI32" s="6" t="s">
        <v>84</v>
      </c>
    </row>
    <row r="33" customFormat="false" ht="15" hidden="false" customHeight="false" outlineLevel="0" collapsed="false">
      <c r="A33" s="6" t="n">
        <v>32</v>
      </c>
      <c r="B33" s="6" t="s">
        <v>1046</v>
      </c>
      <c r="C33" s="6" t="n">
        <v>1</v>
      </c>
      <c r="D33" s="6" t="s">
        <v>105</v>
      </c>
      <c r="E33" s="6" t="s">
        <v>81</v>
      </c>
      <c r="F33" s="6" t="n">
        <v>2</v>
      </c>
      <c r="G33" s="6" t="n">
        <v>1536</v>
      </c>
      <c r="H33" s="6" t="s">
        <v>1047</v>
      </c>
      <c r="I33" s="22" t="n">
        <v>11154400</v>
      </c>
      <c r="J33" s="22" t="n">
        <v>4000</v>
      </c>
      <c r="K33" s="22" t="n">
        <v>836880</v>
      </c>
      <c r="L33" s="22" t="n">
        <v>11995280</v>
      </c>
      <c r="M33" s="6" t="s">
        <v>159</v>
      </c>
      <c r="N33" s="6" t="s">
        <v>84</v>
      </c>
      <c r="O33" s="6" t="s">
        <v>886</v>
      </c>
      <c r="P33" s="6" t="s">
        <v>85</v>
      </c>
      <c r="Q33" s="6" t="str">
        <f aca="false">IF(P33="pass","No","Yes")</f>
        <v>Yes</v>
      </c>
      <c r="R33" s="6" t="s">
        <v>86</v>
      </c>
      <c r="S33" s="6" t="s">
        <v>992</v>
      </c>
      <c r="T33" s="6" t="s">
        <v>1048</v>
      </c>
      <c r="U33" s="23" t="n">
        <v>7.855</v>
      </c>
      <c r="V33" s="6" t="s">
        <v>1049</v>
      </c>
      <c r="W33" s="6" t="s">
        <v>1050</v>
      </c>
      <c r="X33" s="6" t="s">
        <v>1051</v>
      </c>
      <c r="Y33" s="6" t="s">
        <v>86</v>
      </c>
      <c r="Z33" s="6" t="n">
        <v>0</v>
      </c>
      <c r="AA33" s="6" t="n">
        <v>0</v>
      </c>
      <c r="AB33" s="6" t="n">
        <v>1</v>
      </c>
      <c r="AC33" s="6" t="n">
        <v>1</v>
      </c>
      <c r="AD33" s="6" t="n">
        <v>0</v>
      </c>
      <c r="AE33" s="6" t="n">
        <v>0</v>
      </c>
      <c r="AF33" s="6" t="n">
        <v>0</v>
      </c>
      <c r="AG33" s="6" t="n">
        <v>0</v>
      </c>
      <c r="AH33" s="6" t="n">
        <v>1</v>
      </c>
      <c r="AI33" s="6" t="s">
        <v>84</v>
      </c>
    </row>
    <row r="34" customFormat="false" ht="15" hidden="false" customHeight="false" outlineLevel="0" collapsed="false">
      <c r="A34" s="6" t="n">
        <v>33</v>
      </c>
      <c r="B34" s="6" t="s">
        <v>1052</v>
      </c>
      <c r="C34" s="6" t="n">
        <v>1</v>
      </c>
      <c r="D34" s="6" t="s">
        <v>142</v>
      </c>
      <c r="E34" s="6" t="s">
        <v>74</v>
      </c>
      <c r="F34" s="6" t="n">
        <v>2</v>
      </c>
      <c r="G34" s="6" t="n">
        <v>298</v>
      </c>
      <c r="H34" s="6" t="s">
        <v>1053</v>
      </c>
      <c r="I34" s="22" t="n">
        <v>2975000</v>
      </c>
      <c r="J34" s="22" t="n">
        <v>9000</v>
      </c>
      <c r="K34" s="22" t="n">
        <v>223800</v>
      </c>
      <c r="L34" s="22" t="n">
        <v>3207800</v>
      </c>
      <c r="M34" s="6" t="s">
        <v>927</v>
      </c>
      <c r="N34" s="6" t="s">
        <v>58</v>
      </c>
      <c r="O34" s="6"/>
      <c r="P34" s="6" t="s">
        <v>59</v>
      </c>
      <c r="Q34" s="6" t="str">
        <f aca="false">IF(P34="pass","No","Yes")</f>
        <v>Yes</v>
      </c>
      <c r="R34" s="6" t="s">
        <v>60</v>
      </c>
      <c r="S34" s="6" t="s">
        <v>915</v>
      </c>
      <c r="T34" s="6" t="s">
        <v>1054</v>
      </c>
      <c r="U34" s="23" t="n">
        <v>7.735</v>
      </c>
      <c r="V34" s="6" t="s">
        <v>1055</v>
      </c>
      <c r="W34" s="6" t="s">
        <v>1056</v>
      </c>
      <c r="X34" s="6" t="s">
        <v>1057</v>
      </c>
      <c r="Y34" s="6" t="s">
        <v>60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0</v>
      </c>
      <c r="AF34" s="6" t="n">
        <v>0</v>
      </c>
      <c r="AG34" s="6" t="n">
        <v>0</v>
      </c>
      <c r="AH34" s="6" t="n">
        <v>1</v>
      </c>
      <c r="AI34" s="6" t="s">
        <v>84</v>
      </c>
    </row>
    <row r="35" customFormat="false" ht="15" hidden="false" customHeight="false" outlineLevel="0" collapsed="false">
      <c r="A35" s="6" t="n">
        <v>34</v>
      </c>
      <c r="B35" s="6" t="s">
        <v>1058</v>
      </c>
      <c r="C35" s="6" t="n">
        <v>1</v>
      </c>
      <c r="D35" s="6" t="s">
        <v>177</v>
      </c>
      <c r="E35" s="6" t="s">
        <v>81</v>
      </c>
      <c r="F35" s="6" t="n">
        <v>2</v>
      </c>
      <c r="G35" s="6" t="n">
        <v>607</v>
      </c>
      <c r="H35" s="6" t="s">
        <v>1059</v>
      </c>
      <c r="I35" s="22" t="n">
        <v>5450300</v>
      </c>
      <c r="J35" s="22" t="n">
        <v>4000</v>
      </c>
      <c r="K35" s="22" t="n">
        <v>409072.5</v>
      </c>
      <c r="L35" s="22" t="n">
        <v>5863372.5</v>
      </c>
      <c r="M35" s="6" t="s">
        <v>159</v>
      </c>
      <c r="N35" s="6" t="s">
        <v>84</v>
      </c>
      <c r="O35" s="6" t="s">
        <v>886</v>
      </c>
      <c r="P35" s="6" t="s">
        <v>85</v>
      </c>
      <c r="Q35" s="6" t="str">
        <f aca="false">IF(P35="pass","No","Yes")</f>
        <v>Yes</v>
      </c>
      <c r="R35" s="6" t="s">
        <v>86</v>
      </c>
      <c r="S35" s="6" t="s">
        <v>934</v>
      </c>
      <c r="T35" s="6" t="s">
        <v>524</v>
      </c>
      <c r="U35" s="23" t="n">
        <v>3.544</v>
      </c>
      <c r="V35" s="6" t="s">
        <v>1060</v>
      </c>
      <c r="W35" s="6" t="s">
        <v>1061</v>
      </c>
      <c r="X35" s="6" t="s">
        <v>1062</v>
      </c>
      <c r="Y35" s="6" t="s">
        <v>86</v>
      </c>
      <c r="Z35" s="6" t="n">
        <v>0</v>
      </c>
      <c r="AA35" s="6" t="n">
        <v>0</v>
      </c>
      <c r="AB35" s="6" t="n">
        <v>1</v>
      </c>
      <c r="AC35" s="6" t="n">
        <v>1</v>
      </c>
      <c r="AD35" s="6" t="n">
        <v>0</v>
      </c>
      <c r="AE35" s="6" t="n">
        <v>0</v>
      </c>
      <c r="AF35" s="6" t="n">
        <v>0</v>
      </c>
      <c r="AG35" s="6" t="n">
        <v>0</v>
      </c>
      <c r="AH35" s="6" t="n">
        <v>0</v>
      </c>
      <c r="AI35" s="6" t="s">
        <v>84</v>
      </c>
    </row>
    <row r="36" customFormat="false" ht="15" hidden="false" customHeight="false" outlineLevel="0" collapsed="false">
      <c r="A36" s="6" t="n">
        <v>35</v>
      </c>
      <c r="B36" s="6" t="s">
        <v>1063</v>
      </c>
      <c r="C36" s="6" t="n">
        <v>1</v>
      </c>
      <c r="D36" s="6" t="s">
        <v>137</v>
      </c>
      <c r="E36" s="6" t="s">
        <v>55</v>
      </c>
      <c r="F36" s="6" t="n">
        <v>1</v>
      </c>
      <c r="G36" s="6" t="n">
        <v>8</v>
      </c>
      <c r="H36" s="6" t="s">
        <v>1064</v>
      </c>
      <c r="I36" s="22" t="n">
        <v>416000</v>
      </c>
      <c r="J36" s="22" t="n">
        <v>6000</v>
      </c>
      <c r="K36" s="22" t="n">
        <v>31650</v>
      </c>
      <c r="L36" s="22" t="n">
        <v>453650</v>
      </c>
      <c r="M36" s="6" t="s">
        <v>57</v>
      </c>
      <c r="N36" s="6" t="s">
        <v>58</v>
      </c>
      <c r="O36" s="6"/>
      <c r="P36" s="6" t="s">
        <v>69</v>
      </c>
      <c r="Q36" s="6" t="str">
        <f aca="false">IF(P36="pass","No","Yes")</f>
        <v>No</v>
      </c>
      <c r="R36" s="6" t="s">
        <v>60</v>
      </c>
      <c r="S36" s="6"/>
      <c r="T36" s="6"/>
      <c r="U36" s="23" t="n">
        <v>3.315</v>
      </c>
      <c r="V36" s="6" t="s">
        <v>1065</v>
      </c>
      <c r="W36" s="6" t="s">
        <v>1066</v>
      </c>
      <c r="X36" s="6" t="s">
        <v>1067</v>
      </c>
      <c r="Y36" s="6" t="s">
        <v>60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0</v>
      </c>
      <c r="AF36" s="6" t="n">
        <v>0</v>
      </c>
      <c r="AG36" s="6" t="n">
        <v>0</v>
      </c>
      <c r="AH36" s="6" t="n">
        <v>0</v>
      </c>
      <c r="AI36" s="6" t="s">
        <v>84</v>
      </c>
    </row>
    <row r="37" customFormat="false" ht="15" hidden="false" customHeight="false" outlineLevel="0" collapsed="false">
      <c r="A37" s="6" t="n">
        <v>36</v>
      </c>
      <c r="B37" s="6" t="s">
        <v>1068</v>
      </c>
      <c r="C37" s="6" t="n">
        <v>1</v>
      </c>
      <c r="D37" s="6" t="s">
        <v>89</v>
      </c>
      <c r="E37" s="6" t="s">
        <v>67</v>
      </c>
      <c r="F37" s="6" t="n">
        <v>3</v>
      </c>
      <c r="G37" s="6" t="n">
        <v>206</v>
      </c>
      <c r="H37" s="6" t="s">
        <v>1069</v>
      </c>
      <c r="I37" s="22" t="n">
        <v>2060200</v>
      </c>
      <c r="J37" s="22" t="n">
        <v>4500</v>
      </c>
      <c r="K37" s="22" t="n">
        <v>154852.5</v>
      </c>
      <c r="L37" s="22" t="n">
        <v>2219552.5</v>
      </c>
      <c r="M37" s="6" t="s">
        <v>927</v>
      </c>
      <c r="N37" s="6" t="s">
        <v>58</v>
      </c>
      <c r="O37" s="6"/>
      <c r="P37" s="6" t="s">
        <v>59</v>
      </c>
      <c r="Q37" s="6" t="str">
        <f aca="false">IF(P37="pass","No","Yes")</f>
        <v>Yes</v>
      </c>
      <c r="R37" s="6" t="s">
        <v>60</v>
      </c>
      <c r="S37" s="6" t="s">
        <v>915</v>
      </c>
      <c r="T37" s="6" t="s">
        <v>1070</v>
      </c>
      <c r="U37" s="23" t="n">
        <v>8.674</v>
      </c>
      <c r="V37" s="6" t="s">
        <v>1071</v>
      </c>
      <c r="W37" s="6" t="s">
        <v>1072</v>
      </c>
      <c r="X37" s="6" t="s">
        <v>1073</v>
      </c>
      <c r="Y37" s="6" t="s">
        <v>60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0</v>
      </c>
      <c r="AF37" s="6" t="n">
        <v>0</v>
      </c>
      <c r="AG37" s="6" t="n">
        <v>0</v>
      </c>
      <c r="AH37" s="6" t="n">
        <v>1</v>
      </c>
      <c r="AI37" s="6" t="s">
        <v>84</v>
      </c>
    </row>
    <row r="38" customFormat="false" ht="15" hidden="false" customHeight="false" outlineLevel="0" collapsed="false">
      <c r="A38" s="6" t="n">
        <v>37</v>
      </c>
      <c r="B38" s="6" t="s">
        <v>1074</v>
      </c>
      <c r="C38" s="6" t="n">
        <v>1</v>
      </c>
      <c r="D38" s="6" t="s">
        <v>186</v>
      </c>
      <c r="E38" s="6" t="s">
        <v>123</v>
      </c>
      <c r="F38" s="6" t="n">
        <v>1</v>
      </c>
      <c r="G38" s="6" t="n">
        <v>4</v>
      </c>
      <c r="H38" s="6" t="s">
        <v>1075</v>
      </c>
      <c r="I38" s="22" t="n">
        <v>152000</v>
      </c>
      <c r="J38" s="22" t="n">
        <v>5000</v>
      </c>
      <c r="K38" s="22" t="n">
        <v>11775</v>
      </c>
      <c r="L38" s="22" t="n">
        <v>168775</v>
      </c>
      <c r="M38" s="6" t="s">
        <v>984</v>
      </c>
      <c r="N38" s="6" t="s">
        <v>84</v>
      </c>
      <c r="O38" s="6" t="s">
        <v>985</v>
      </c>
      <c r="P38" s="6" t="s">
        <v>85</v>
      </c>
      <c r="Q38" s="6" t="str">
        <f aca="false">IF(P38="pass","No","Yes")</f>
        <v>Yes</v>
      </c>
      <c r="R38" s="6" t="s">
        <v>86</v>
      </c>
      <c r="S38" s="6" t="s">
        <v>985</v>
      </c>
      <c r="T38" s="6" t="s">
        <v>1076</v>
      </c>
      <c r="U38" s="23" t="n">
        <v>3.162</v>
      </c>
      <c r="V38" s="6" t="s">
        <v>1077</v>
      </c>
      <c r="W38" s="6" t="s">
        <v>1078</v>
      </c>
      <c r="X38" s="6" t="s">
        <v>1079</v>
      </c>
      <c r="Y38" s="6" t="s">
        <v>86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  <c r="AE38" s="6" t="n">
        <v>1</v>
      </c>
      <c r="AF38" s="6" t="n">
        <v>0</v>
      </c>
      <c r="AG38" s="6" t="n">
        <v>0</v>
      </c>
      <c r="AH38" s="6" t="n">
        <v>0</v>
      </c>
      <c r="AI38" s="6" t="s">
        <v>84</v>
      </c>
    </row>
    <row r="39" customFormat="false" ht="15" hidden="false" customHeight="false" outlineLevel="0" collapsed="false">
      <c r="A39" s="6" t="n">
        <v>38</v>
      </c>
      <c r="B39" s="6" t="s">
        <v>1080</v>
      </c>
      <c r="C39" s="6" t="n">
        <v>1</v>
      </c>
      <c r="D39" s="6" t="s">
        <v>63</v>
      </c>
      <c r="E39" s="6" t="s">
        <v>67</v>
      </c>
      <c r="F39" s="6" t="n">
        <v>2</v>
      </c>
      <c r="G39" s="6" t="n">
        <v>16</v>
      </c>
      <c r="H39" s="6" t="s">
        <v>1081</v>
      </c>
      <c r="I39" s="22" t="n">
        <v>832000</v>
      </c>
      <c r="J39" s="22" t="n">
        <v>4500</v>
      </c>
      <c r="K39" s="22" t="n">
        <v>62737.5</v>
      </c>
      <c r="L39" s="22" t="n">
        <v>899237.5</v>
      </c>
      <c r="M39" s="6" t="s">
        <v>272</v>
      </c>
      <c r="N39" s="6" t="s">
        <v>84</v>
      </c>
      <c r="O39" s="6" t="s">
        <v>879</v>
      </c>
      <c r="P39" s="6" t="s">
        <v>85</v>
      </c>
      <c r="Q39" s="6" t="str">
        <f aca="false">IF(P39="pass","No","Yes")</f>
        <v>Yes</v>
      </c>
      <c r="R39" s="6" t="s">
        <v>86</v>
      </c>
      <c r="S39" s="6" t="s">
        <v>879</v>
      </c>
      <c r="T39" s="6" t="s">
        <v>1082</v>
      </c>
      <c r="U39" s="23" t="n">
        <v>3.037</v>
      </c>
      <c r="V39" s="6" t="s">
        <v>1083</v>
      </c>
      <c r="W39" s="6" t="s">
        <v>1084</v>
      </c>
      <c r="X39" s="6" t="s">
        <v>1085</v>
      </c>
      <c r="Y39" s="6" t="s">
        <v>86</v>
      </c>
      <c r="Z39" s="6" t="n">
        <v>0</v>
      </c>
      <c r="AA39" s="6" t="n">
        <v>1</v>
      </c>
      <c r="AB39" s="6" t="n">
        <v>0</v>
      </c>
      <c r="AC39" s="6" t="n">
        <v>0</v>
      </c>
      <c r="AD39" s="6" t="n">
        <v>0</v>
      </c>
      <c r="AE39" s="6" t="n">
        <v>0</v>
      </c>
      <c r="AF39" s="6" t="n">
        <v>0</v>
      </c>
      <c r="AG39" s="6" t="n">
        <v>0</v>
      </c>
      <c r="AH39" s="6" t="n">
        <v>0</v>
      </c>
      <c r="AI39" s="6" t="s">
        <v>84</v>
      </c>
    </row>
    <row r="40" customFormat="false" ht="15" hidden="false" customHeight="false" outlineLevel="0" collapsed="false">
      <c r="A40" s="6" t="n">
        <v>39</v>
      </c>
      <c r="B40" s="6" t="s">
        <v>1086</v>
      </c>
      <c r="C40" s="6" t="n">
        <v>1</v>
      </c>
      <c r="D40" s="6" t="s">
        <v>77</v>
      </c>
      <c r="E40" s="6" t="s">
        <v>81</v>
      </c>
      <c r="F40" s="6" t="n">
        <v>3</v>
      </c>
      <c r="G40" s="6" t="n">
        <v>64</v>
      </c>
      <c r="H40" s="6" t="s">
        <v>1087</v>
      </c>
      <c r="I40" s="22" t="n">
        <v>1117400</v>
      </c>
      <c r="J40" s="22" t="n">
        <v>4000</v>
      </c>
      <c r="K40" s="22" t="n">
        <v>84105</v>
      </c>
      <c r="L40" s="22" t="n">
        <v>1205505</v>
      </c>
      <c r="M40" s="6" t="s">
        <v>132</v>
      </c>
      <c r="N40" s="6" t="s">
        <v>84</v>
      </c>
      <c r="O40" s="6" t="s">
        <v>879</v>
      </c>
      <c r="P40" s="6" t="s">
        <v>85</v>
      </c>
      <c r="Q40" s="6" t="str">
        <f aca="false">IF(P40="pass","No","Yes")</f>
        <v>Yes</v>
      </c>
      <c r="R40" s="6" t="s">
        <v>86</v>
      </c>
      <c r="S40" s="6" t="s">
        <v>880</v>
      </c>
      <c r="T40" s="6" t="s">
        <v>134</v>
      </c>
      <c r="U40" s="23" t="n">
        <v>3.76</v>
      </c>
      <c r="V40" s="6" t="s">
        <v>1088</v>
      </c>
      <c r="W40" s="6" t="s">
        <v>1089</v>
      </c>
      <c r="X40" s="6" t="s">
        <v>1090</v>
      </c>
      <c r="Y40" s="6" t="s">
        <v>86</v>
      </c>
      <c r="Z40" s="6" t="n">
        <v>0</v>
      </c>
      <c r="AA40" s="6" t="n">
        <v>1</v>
      </c>
      <c r="AB40" s="6" t="n">
        <v>0</v>
      </c>
      <c r="AC40" s="6" t="n">
        <v>1</v>
      </c>
      <c r="AD40" s="6" t="n">
        <v>0</v>
      </c>
      <c r="AE40" s="6" t="n">
        <v>0</v>
      </c>
      <c r="AF40" s="6" t="n">
        <v>0</v>
      </c>
      <c r="AG40" s="6" t="n">
        <v>0</v>
      </c>
      <c r="AH40" s="6" t="n">
        <v>0</v>
      </c>
      <c r="AI40" s="6" t="s">
        <v>84</v>
      </c>
    </row>
    <row r="41" customFormat="false" ht="15" hidden="false" customHeight="false" outlineLevel="0" collapsed="false">
      <c r="A41" s="6" t="n">
        <v>40</v>
      </c>
      <c r="B41" s="6" t="s">
        <v>1091</v>
      </c>
      <c r="C41" s="6" t="n">
        <v>1</v>
      </c>
      <c r="D41" s="6" t="s">
        <v>191</v>
      </c>
      <c r="E41" s="6" t="s">
        <v>116</v>
      </c>
      <c r="F41" s="6" t="n">
        <v>2</v>
      </c>
      <c r="G41" s="6" t="n">
        <v>27</v>
      </c>
      <c r="H41" s="6" t="s">
        <v>1092</v>
      </c>
      <c r="I41" s="22" t="n">
        <v>622800</v>
      </c>
      <c r="J41" s="22" t="n">
        <v>15000</v>
      </c>
      <c r="K41" s="22" t="n">
        <v>47835</v>
      </c>
      <c r="L41" s="22" t="n">
        <v>685635</v>
      </c>
      <c r="M41" s="6" t="s">
        <v>57</v>
      </c>
      <c r="N41" s="6" t="s">
        <v>58</v>
      </c>
      <c r="O41" s="6"/>
      <c r="P41" s="6" t="s">
        <v>69</v>
      </c>
      <c r="Q41" s="6" t="str">
        <f aca="false">IF(P41="pass","No","Yes")</f>
        <v>No</v>
      </c>
      <c r="R41" s="6" t="s">
        <v>60</v>
      </c>
      <c r="S41" s="6"/>
      <c r="T41" s="6"/>
      <c r="U41" s="23" t="n">
        <v>4.109</v>
      </c>
      <c r="V41" s="6" t="s">
        <v>1093</v>
      </c>
      <c r="W41" s="6" t="s">
        <v>1094</v>
      </c>
      <c r="X41" s="6" t="s">
        <v>1095</v>
      </c>
      <c r="Y41" s="6" t="s">
        <v>60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  <c r="AE41" s="6" t="n">
        <v>0</v>
      </c>
      <c r="AF41" s="6" t="n">
        <v>0</v>
      </c>
      <c r="AG41" s="6" t="n">
        <v>0</v>
      </c>
      <c r="AH41" s="6" t="n">
        <v>0</v>
      </c>
      <c r="AI41" s="6" t="s">
        <v>84</v>
      </c>
    </row>
    <row r="42" customFormat="false" ht="15" hidden="false" customHeight="false" outlineLevel="0" collapsed="false">
      <c r="A42" s="6" t="n">
        <v>41</v>
      </c>
      <c r="B42" s="6" t="s">
        <v>1096</v>
      </c>
      <c r="C42" s="6" t="n">
        <v>1</v>
      </c>
      <c r="D42" s="6" t="s">
        <v>186</v>
      </c>
      <c r="E42" s="6" t="s">
        <v>123</v>
      </c>
      <c r="F42" s="6" t="n">
        <v>3</v>
      </c>
      <c r="G42" s="6" t="n">
        <v>10</v>
      </c>
      <c r="H42" s="6" t="s">
        <v>1097</v>
      </c>
      <c r="I42" s="22" t="n">
        <v>298200</v>
      </c>
      <c r="J42" s="22" t="n">
        <v>5000</v>
      </c>
      <c r="K42" s="22" t="n">
        <v>22740</v>
      </c>
      <c r="L42" s="22" t="n">
        <v>325940</v>
      </c>
      <c r="M42" s="6" t="s">
        <v>1042</v>
      </c>
      <c r="N42" s="6" t="s">
        <v>58</v>
      </c>
      <c r="O42" s="6"/>
      <c r="P42" s="6" t="s">
        <v>69</v>
      </c>
      <c r="Q42" s="6" t="str">
        <f aca="false">IF(P42="pass","No","Yes")</f>
        <v>No</v>
      </c>
      <c r="R42" s="6" t="s">
        <v>60</v>
      </c>
      <c r="S42" s="6"/>
      <c r="T42" s="6"/>
      <c r="U42" s="23" t="n">
        <v>4.64</v>
      </c>
      <c r="V42" s="6" t="s">
        <v>1098</v>
      </c>
      <c r="W42" s="6" t="s">
        <v>1099</v>
      </c>
      <c r="X42" s="6" t="s">
        <v>1100</v>
      </c>
      <c r="Y42" s="6" t="s">
        <v>60</v>
      </c>
      <c r="Z42" s="6" t="n">
        <v>0</v>
      </c>
      <c r="AA42" s="6" t="n">
        <v>0</v>
      </c>
      <c r="AB42" s="6" t="n">
        <v>0</v>
      </c>
      <c r="AC42" s="6" t="n">
        <v>0</v>
      </c>
      <c r="AD42" s="6" t="n">
        <v>0</v>
      </c>
      <c r="AE42" s="6" t="n">
        <v>0</v>
      </c>
      <c r="AF42" s="6" t="n">
        <v>0</v>
      </c>
      <c r="AG42" s="6" t="n">
        <v>0</v>
      </c>
      <c r="AH42" s="6" t="n">
        <v>0</v>
      </c>
      <c r="AI42" s="6" t="s">
        <v>84</v>
      </c>
    </row>
    <row r="43" customFormat="false" ht="15" hidden="false" customHeight="false" outlineLevel="0" collapsed="false">
      <c r="A43" s="6" t="n">
        <v>42</v>
      </c>
      <c r="B43" s="6" t="s">
        <v>1101</v>
      </c>
      <c r="C43" s="6" t="n">
        <v>1</v>
      </c>
      <c r="D43" s="6" t="s">
        <v>127</v>
      </c>
      <c r="E43" s="6" t="s">
        <v>55</v>
      </c>
      <c r="F43" s="6" t="n">
        <v>4</v>
      </c>
      <c r="G43" s="6" t="n">
        <v>126</v>
      </c>
      <c r="H43" s="6" t="s">
        <v>1102</v>
      </c>
      <c r="I43" s="22" t="n">
        <v>1825600</v>
      </c>
      <c r="J43" s="22" t="n">
        <v>6000</v>
      </c>
      <c r="K43" s="22" t="n">
        <v>137370</v>
      </c>
      <c r="L43" s="22" t="n">
        <v>1968970</v>
      </c>
      <c r="M43" s="6" t="s">
        <v>1009</v>
      </c>
      <c r="N43" s="6" t="s">
        <v>58</v>
      </c>
      <c r="O43" s="6"/>
      <c r="P43" s="6" t="s">
        <v>69</v>
      </c>
      <c r="Q43" s="6" t="str">
        <f aca="false">IF(P43="pass","No","Yes")</f>
        <v>No</v>
      </c>
      <c r="R43" s="6" t="s">
        <v>60</v>
      </c>
      <c r="S43" s="6"/>
      <c r="T43" s="6"/>
      <c r="U43" s="23" t="n">
        <v>5.314</v>
      </c>
      <c r="V43" s="6" t="s">
        <v>1103</v>
      </c>
      <c r="W43" s="6" t="s">
        <v>1104</v>
      </c>
      <c r="X43" s="6" t="s">
        <v>1105</v>
      </c>
      <c r="Y43" s="6" t="s">
        <v>60</v>
      </c>
      <c r="Z43" s="6" t="n">
        <v>0</v>
      </c>
      <c r="AA43" s="6" t="n">
        <v>0</v>
      </c>
      <c r="AB43" s="6" t="n">
        <v>0</v>
      </c>
      <c r="AC43" s="6" t="n">
        <v>0</v>
      </c>
      <c r="AD43" s="6" t="n">
        <v>0</v>
      </c>
      <c r="AE43" s="6" t="n">
        <v>0</v>
      </c>
      <c r="AF43" s="6" t="n">
        <v>0</v>
      </c>
      <c r="AG43" s="6" t="n">
        <v>0</v>
      </c>
      <c r="AH43" s="6" t="n">
        <v>0</v>
      </c>
      <c r="AI43" s="6" t="s">
        <v>84</v>
      </c>
    </row>
    <row r="44" customFormat="false" ht="15" hidden="false" customHeight="false" outlineLevel="0" collapsed="false">
      <c r="A44" s="6" t="n">
        <v>43</v>
      </c>
      <c r="B44" s="6" t="s">
        <v>1106</v>
      </c>
      <c r="C44" s="6" t="n">
        <v>1</v>
      </c>
      <c r="D44" s="6" t="s">
        <v>100</v>
      </c>
      <c r="E44" s="6" t="s">
        <v>67</v>
      </c>
      <c r="F44" s="6" t="n">
        <v>1</v>
      </c>
      <c r="G44" s="6" t="n">
        <v>16</v>
      </c>
      <c r="H44" s="6" t="s">
        <v>1107</v>
      </c>
      <c r="I44" s="22" t="n">
        <v>137600</v>
      </c>
      <c r="J44" s="22" t="n">
        <v>4500</v>
      </c>
      <c r="K44" s="22" t="n">
        <v>10657.5</v>
      </c>
      <c r="L44" s="22" t="n">
        <v>152757.5</v>
      </c>
      <c r="M44" s="6" t="s">
        <v>960</v>
      </c>
      <c r="N44" s="6" t="s">
        <v>84</v>
      </c>
      <c r="O44" s="6" t="s">
        <v>961</v>
      </c>
      <c r="P44" s="6" t="s">
        <v>85</v>
      </c>
      <c r="Q44" s="6" t="str">
        <f aca="false">IF(P44="pass","No","Yes")</f>
        <v>Yes</v>
      </c>
      <c r="R44" s="6" t="s">
        <v>86</v>
      </c>
      <c r="S44" s="6" t="s">
        <v>961</v>
      </c>
      <c r="T44" s="6" t="s">
        <v>962</v>
      </c>
      <c r="U44" s="23" t="n">
        <v>4.532</v>
      </c>
      <c r="V44" s="6" t="s">
        <v>1108</v>
      </c>
      <c r="W44" s="6" t="s">
        <v>1109</v>
      </c>
      <c r="X44" s="6" t="s">
        <v>1110</v>
      </c>
      <c r="Y44" s="6" t="s">
        <v>86</v>
      </c>
      <c r="Z44" s="6" t="n">
        <v>0</v>
      </c>
      <c r="AA44" s="6" t="n">
        <v>0</v>
      </c>
      <c r="AB44" s="6" t="n">
        <v>0</v>
      </c>
      <c r="AC44" s="6" t="n">
        <v>0</v>
      </c>
      <c r="AD44" s="6" t="n">
        <v>1</v>
      </c>
      <c r="AE44" s="6" t="n">
        <v>0</v>
      </c>
      <c r="AF44" s="6" t="n">
        <v>0</v>
      </c>
      <c r="AG44" s="6" t="n">
        <v>0</v>
      </c>
      <c r="AH44" s="6" t="n">
        <v>0</v>
      </c>
      <c r="AI44" s="6" t="s">
        <v>84</v>
      </c>
    </row>
    <row r="45" customFormat="false" ht="15" hidden="false" customHeight="false" outlineLevel="0" collapsed="false">
      <c r="A45" s="6" t="n">
        <v>44</v>
      </c>
      <c r="B45" s="6" t="s">
        <v>1111</v>
      </c>
      <c r="C45" s="6" t="n">
        <v>1</v>
      </c>
      <c r="D45" s="6" t="s">
        <v>198</v>
      </c>
      <c r="E45" s="6" t="s">
        <v>81</v>
      </c>
      <c r="F45" s="6" t="n">
        <v>3</v>
      </c>
      <c r="G45" s="6" t="n">
        <v>135</v>
      </c>
      <c r="H45" s="6" t="s">
        <v>1112</v>
      </c>
      <c r="I45" s="22" t="n">
        <v>2074800</v>
      </c>
      <c r="J45" s="22" t="n">
        <v>4000</v>
      </c>
      <c r="K45" s="22" t="n">
        <v>155910</v>
      </c>
      <c r="L45" s="22" t="n">
        <v>2234710</v>
      </c>
      <c r="M45" s="6" t="s">
        <v>57</v>
      </c>
      <c r="N45" s="6" t="s">
        <v>58</v>
      </c>
      <c r="O45" s="6"/>
      <c r="P45" s="6" t="s">
        <v>59</v>
      </c>
      <c r="Q45" s="6" t="str">
        <f aca="false">IF(P45="pass","No","Yes")</f>
        <v>Yes</v>
      </c>
      <c r="R45" s="6" t="s">
        <v>60</v>
      </c>
      <c r="S45" s="6" t="s">
        <v>915</v>
      </c>
      <c r="T45" s="6" t="s">
        <v>1113</v>
      </c>
      <c r="U45" s="23" t="n">
        <v>9.259</v>
      </c>
      <c r="V45" s="6" t="s">
        <v>1114</v>
      </c>
      <c r="W45" s="6" t="s">
        <v>1115</v>
      </c>
      <c r="X45" s="6" t="s">
        <v>1116</v>
      </c>
      <c r="Y45" s="6" t="s">
        <v>60</v>
      </c>
      <c r="Z45" s="6" t="n">
        <v>0</v>
      </c>
      <c r="AA45" s="6" t="n">
        <v>0</v>
      </c>
      <c r="AB45" s="6" t="n">
        <v>0</v>
      </c>
      <c r="AC45" s="6" t="n">
        <v>0</v>
      </c>
      <c r="AD45" s="6" t="n">
        <v>0</v>
      </c>
      <c r="AE45" s="6" t="n">
        <v>0</v>
      </c>
      <c r="AF45" s="6" t="n">
        <v>0</v>
      </c>
      <c r="AG45" s="6" t="n">
        <v>0</v>
      </c>
      <c r="AH45" s="6" t="n">
        <v>1</v>
      </c>
      <c r="AI45" s="6" t="s">
        <v>84</v>
      </c>
    </row>
    <row r="46" customFormat="false" ht="15" hidden="false" customHeight="false" outlineLevel="0" collapsed="false">
      <c r="A46" s="6" t="n">
        <v>45</v>
      </c>
      <c r="B46" s="6" t="s">
        <v>1117</v>
      </c>
      <c r="C46" s="6" t="n">
        <v>1</v>
      </c>
      <c r="D46" s="6" t="s">
        <v>137</v>
      </c>
      <c r="E46" s="6" t="s">
        <v>55</v>
      </c>
      <c r="F46" s="6" t="n">
        <v>1</v>
      </c>
      <c r="G46" s="6" t="n">
        <v>64</v>
      </c>
      <c r="H46" s="6" t="s">
        <v>1118</v>
      </c>
      <c r="I46" s="22" t="n">
        <v>755200</v>
      </c>
      <c r="J46" s="22" t="n">
        <v>6000</v>
      </c>
      <c r="K46" s="22" t="n">
        <v>57090</v>
      </c>
      <c r="L46" s="22" t="n">
        <v>818290</v>
      </c>
      <c r="M46" s="6" t="s">
        <v>57</v>
      </c>
      <c r="N46" s="6" t="s">
        <v>58</v>
      </c>
      <c r="O46" s="6"/>
      <c r="P46" s="6" t="s">
        <v>69</v>
      </c>
      <c r="Q46" s="6" t="str">
        <f aca="false">IF(P46="pass","No","Yes")</f>
        <v>No</v>
      </c>
      <c r="R46" s="6" t="s">
        <v>60</v>
      </c>
      <c r="S46" s="6"/>
      <c r="T46" s="6"/>
      <c r="U46" s="23" t="n">
        <v>3.634</v>
      </c>
      <c r="V46" s="6" t="s">
        <v>1119</v>
      </c>
      <c r="W46" s="6" t="s">
        <v>1120</v>
      </c>
      <c r="X46" s="6" t="s">
        <v>1121</v>
      </c>
      <c r="Y46" s="6" t="s">
        <v>60</v>
      </c>
      <c r="Z46" s="6" t="n">
        <v>0</v>
      </c>
      <c r="AA46" s="6" t="n">
        <v>0</v>
      </c>
      <c r="AB46" s="6" t="n">
        <v>0</v>
      </c>
      <c r="AC46" s="6" t="n">
        <v>0</v>
      </c>
      <c r="AD46" s="6" t="n">
        <v>0</v>
      </c>
      <c r="AE46" s="6" t="n">
        <v>0</v>
      </c>
      <c r="AF46" s="6" t="n">
        <v>0</v>
      </c>
      <c r="AG46" s="6" t="n">
        <v>0</v>
      </c>
      <c r="AH46" s="6" t="n">
        <v>0</v>
      </c>
      <c r="AI46" s="6" t="s">
        <v>84</v>
      </c>
    </row>
    <row r="47" customFormat="false" ht="15" hidden="false" customHeight="false" outlineLevel="0" collapsed="false">
      <c r="A47" s="6" t="n">
        <v>46</v>
      </c>
      <c r="B47" s="6" t="s">
        <v>1122</v>
      </c>
      <c r="C47" s="6" t="n">
        <v>1</v>
      </c>
      <c r="D47" s="6" t="s">
        <v>166</v>
      </c>
      <c r="E47" s="6" t="s">
        <v>74</v>
      </c>
      <c r="F47" s="6" t="n">
        <v>3</v>
      </c>
      <c r="G47" s="6" t="n">
        <v>29</v>
      </c>
      <c r="H47" s="6" t="s">
        <v>1123</v>
      </c>
      <c r="I47" s="22" t="n">
        <v>467500</v>
      </c>
      <c r="J47" s="22" t="n">
        <v>9000</v>
      </c>
      <c r="K47" s="22" t="n">
        <v>35737.5</v>
      </c>
      <c r="L47" s="22" t="n">
        <v>512237.5</v>
      </c>
      <c r="M47" s="6" t="s">
        <v>272</v>
      </c>
      <c r="N47" s="6" t="s">
        <v>84</v>
      </c>
      <c r="O47" s="6" t="s">
        <v>879</v>
      </c>
      <c r="P47" s="6" t="s">
        <v>85</v>
      </c>
      <c r="Q47" s="6" t="str">
        <f aca="false">IF(P47="pass","No","Yes")</f>
        <v>Yes</v>
      </c>
      <c r="R47" s="6" t="s">
        <v>86</v>
      </c>
      <c r="S47" s="6" t="s">
        <v>879</v>
      </c>
      <c r="T47" s="6" t="s">
        <v>1124</v>
      </c>
      <c r="U47" s="23" t="n">
        <v>3.861</v>
      </c>
      <c r="V47" s="6" t="s">
        <v>1125</v>
      </c>
      <c r="W47" s="6" t="s">
        <v>1126</v>
      </c>
      <c r="X47" s="6" t="s">
        <v>1127</v>
      </c>
      <c r="Y47" s="6" t="s">
        <v>86</v>
      </c>
      <c r="Z47" s="6" t="n">
        <v>0</v>
      </c>
      <c r="AA47" s="6" t="n">
        <v>1</v>
      </c>
      <c r="AB47" s="6" t="n">
        <v>0</v>
      </c>
      <c r="AC47" s="6" t="n">
        <v>0</v>
      </c>
      <c r="AD47" s="6" t="n">
        <v>0</v>
      </c>
      <c r="AE47" s="6" t="n">
        <v>0</v>
      </c>
      <c r="AF47" s="6" t="n">
        <v>0</v>
      </c>
      <c r="AG47" s="6" t="n">
        <v>0</v>
      </c>
      <c r="AH47" s="6" t="n">
        <v>0</v>
      </c>
      <c r="AI47" s="6" t="s">
        <v>84</v>
      </c>
    </row>
    <row r="48" customFormat="false" ht="15" hidden="false" customHeight="false" outlineLevel="0" collapsed="false">
      <c r="A48" s="6" t="n">
        <v>47</v>
      </c>
      <c r="B48" s="6" t="s">
        <v>1128</v>
      </c>
      <c r="C48" s="6" t="n">
        <v>1</v>
      </c>
      <c r="D48" s="6" t="s">
        <v>142</v>
      </c>
      <c r="E48" s="6" t="s">
        <v>74</v>
      </c>
      <c r="F48" s="6" t="n">
        <v>3</v>
      </c>
      <c r="G48" s="6" t="n">
        <v>14</v>
      </c>
      <c r="H48" s="6" t="s">
        <v>1129</v>
      </c>
      <c r="I48" s="22" t="n">
        <v>576200</v>
      </c>
      <c r="J48" s="22" t="n">
        <v>9000</v>
      </c>
      <c r="K48" s="22" t="n">
        <v>43890</v>
      </c>
      <c r="L48" s="22" t="n">
        <v>629090</v>
      </c>
      <c r="M48" s="6" t="s">
        <v>57</v>
      </c>
      <c r="N48" s="6" t="s">
        <v>58</v>
      </c>
      <c r="O48" s="6"/>
      <c r="P48" s="6" t="s">
        <v>69</v>
      </c>
      <c r="Q48" s="6" t="str">
        <f aca="false">IF(P48="pass","No","Yes")</f>
        <v>No</v>
      </c>
      <c r="R48" s="6" t="s">
        <v>60</v>
      </c>
      <c r="S48" s="6"/>
      <c r="T48" s="6"/>
      <c r="U48" s="23" t="n">
        <v>5.13</v>
      </c>
      <c r="V48" s="6" t="s">
        <v>1130</v>
      </c>
      <c r="W48" s="6" t="s">
        <v>1131</v>
      </c>
      <c r="X48" s="6" t="s">
        <v>1132</v>
      </c>
      <c r="Y48" s="6" t="s">
        <v>60</v>
      </c>
      <c r="Z48" s="6" t="n">
        <v>0</v>
      </c>
      <c r="AA48" s="6" t="n">
        <v>0</v>
      </c>
      <c r="AB48" s="6" t="n">
        <v>0</v>
      </c>
      <c r="AC48" s="6" t="n">
        <v>0</v>
      </c>
      <c r="AD48" s="6" t="n">
        <v>0</v>
      </c>
      <c r="AE48" s="6" t="n">
        <v>0</v>
      </c>
      <c r="AF48" s="6" t="n">
        <v>0</v>
      </c>
      <c r="AG48" s="6" t="n">
        <v>0</v>
      </c>
      <c r="AH48" s="6" t="n">
        <v>0</v>
      </c>
      <c r="AI48" s="6" t="s">
        <v>84</v>
      </c>
    </row>
    <row r="49" customFormat="false" ht="15" hidden="false" customHeight="false" outlineLevel="0" collapsed="false">
      <c r="A49" s="6" t="n">
        <v>48</v>
      </c>
      <c r="B49" s="6" t="s">
        <v>1133</v>
      </c>
      <c r="C49" s="6" t="n">
        <v>1</v>
      </c>
      <c r="D49" s="6" t="s">
        <v>177</v>
      </c>
      <c r="E49" s="6" t="s">
        <v>81</v>
      </c>
      <c r="F49" s="6" t="n">
        <v>3</v>
      </c>
      <c r="G49" s="6" t="n">
        <v>190</v>
      </c>
      <c r="H49" s="6" t="s">
        <v>1134</v>
      </c>
      <c r="I49" s="22" t="n">
        <v>1848200</v>
      </c>
      <c r="J49" s="22" t="n">
        <v>4000</v>
      </c>
      <c r="K49" s="22" t="n">
        <v>138915</v>
      </c>
      <c r="L49" s="22" t="n">
        <v>1991115</v>
      </c>
      <c r="M49" s="6" t="s">
        <v>1042</v>
      </c>
      <c r="N49" s="6" t="s">
        <v>58</v>
      </c>
      <c r="O49" s="6"/>
      <c r="P49" s="6" t="s">
        <v>59</v>
      </c>
      <c r="Q49" s="6" t="str">
        <f aca="false">IF(P49="pass","No","Yes")</f>
        <v>Yes</v>
      </c>
      <c r="R49" s="6" t="s">
        <v>60</v>
      </c>
      <c r="S49" s="6" t="s">
        <v>915</v>
      </c>
      <c r="T49" s="6" t="s">
        <v>1135</v>
      </c>
      <c r="U49" s="23" t="n">
        <v>9.384</v>
      </c>
      <c r="V49" s="6" t="s">
        <v>1136</v>
      </c>
      <c r="W49" s="6" t="s">
        <v>1137</v>
      </c>
      <c r="X49" s="6" t="s">
        <v>1138</v>
      </c>
      <c r="Y49" s="6" t="s">
        <v>60</v>
      </c>
      <c r="Z49" s="6" t="n">
        <v>0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0</v>
      </c>
      <c r="AF49" s="6" t="n">
        <v>0</v>
      </c>
      <c r="AG49" s="6" t="n">
        <v>0</v>
      </c>
      <c r="AH49" s="6" t="n">
        <v>1</v>
      </c>
      <c r="AI49" s="6" t="s">
        <v>84</v>
      </c>
    </row>
    <row r="50" customFormat="false" ht="15" hidden="false" customHeight="false" outlineLevel="0" collapsed="false">
      <c r="A50" s="6" t="n">
        <v>49</v>
      </c>
      <c r="B50" s="6" t="s">
        <v>1139</v>
      </c>
      <c r="C50" s="6" t="n">
        <v>1</v>
      </c>
      <c r="D50" s="6" t="s">
        <v>127</v>
      </c>
      <c r="E50" s="6" t="s">
        <v>55</v>
      </c>
      <c r="F50" s="6" t="n">
        <v>1</v>
      </c>
      <c r="G50" s="6" t="n">
        <v>1</v>
      </c>
      <c r="H50" s="6" t="s">
        <v>1140</v>
      </c>
      <c r="I50" s="22" t="n">
        <v>38000</v>
      </c>
      <c r="J50" s="22" t="n">
        <v>6000</v>
      </c>
      <c r="K50" s="22" t="n">
        <v>3300</v>
      </c>
      <c r="L50" s="22" t="n">
        <v>47300</v>
      </c>
      <c r="M50" s="6" t="s">
        <v>94</v>
      </c>
      <c r="N50" s="6" t="s">
        <v>84</v>
      </c>
      <c r="O50" s="6" t="s">
        <v>909</v>
      </c>
      <c r="P50" s="6" t="s">
        <v>85</v>
      </c>
      <c r="Q50" s="6" t="str">
        <f aca="false">IF(P50="pass","No","Yes")</f>
        <v>Yes</v>
      </c>
      <c r="R50" s="6" t="s">
        <v>86</v>
      </c>
      <c r="S50" s="6" t="s">
        <v>909</v>
      </c>
      <c r="T50" s="6" t="s">
        <v>254</v>
      </c>
      <c r="U50" s="23" t="n">
        <v>4.468</v>
      </c>
      <c r="V50" s="6" t="s">
        <v>1141</v>
      </c>
      <c r="W50" s="6" t="s">
        <v>1142</v>
      </c>
      <c r="X50" s="6" t="s">
        <v>1143</v>
      </c>
      <c r="Y50" s="6" t="s">
        <v>86</v>
      </c>
      <c r="Z50" s="6" t="n">
        <v>0</v>
      </c>
      <c r="AA50" s="6" t="n">
        <v>0</v>
      </c>
      <c r="AB50" s="6" t="n">
        <v>0</v>
      </c>
      <c r="AC50" s="6" t="n">
        <v>0</v>
      </c>
      <c r="AD50" s="6" t="n">
        <v>0</v>
      </c>
      <c r="AE50" s="6" t="n">
        <v>0</v>
      </c>
      <c r="AF50" s="6" t="n">
        <v>1</v>
      </c>
      <c r="AG50" s="6" t="n">
        <v>0</v>
      </c>
      <c r="AH50" s="6" t="n">
        <v>0</v>
      </c>
      <c r="AI50" s="6" t="s">
        <v>84</v>
      </c>
    </row>
    <row r="51" customFormat="false" ht="15" hidden="false" customHeight="false" outlineLevel="0" collapsed="false">
      <c r="A51" s="6" t="n">
        <v>50</v>
      </c>
      <c r="B51" s="6" t="s">
        <v>1144</v>
      </c>
      <c r="C51" s="6" t="n">
        <v>1</v>
      </c>
      <c r="D51" s="6" t="s">
        <v>166</v>
      </c>
      <c r="E51" s="6" t="s">
        <v>74</v>
      </c>
      <c r="F51" s="6" t="n">
        <v>4</v>
      </c>
      <c r="G51" s="6" t="n">
        <v>235</v>
      </c>
      <c r="H51" s="6" t="s">
        <v>1145</v>
      </c>
      <c r="I51" s="22" t="n">
        <v>2526800</v>
      </c>
      <c r="J51" s="22" t="n">
        <v>9000</v>
      </c>
      <c r="K51" s="22" t="n">
        <v>190185</v>
      </c>
      <c r="L51" s="22" t="n">
        <v>2725985</v>
      </c>
      <c r="M51" s="6" t="s">
        <v>1009</v>
      </c>
      <c r="N51" s="6" t="s">
        <v>58</v>
      </c>
      <c r="O51" s="6"/>
      <c r="P51" s="6" t="s">
        <v>59</v>
      </c>
      <c r="Q51" s="6" t="str">
        <f aca="false">IF(P51="pass","No","Yes")</f>
        <v>Yes</v>
      </c>
      <c r="R51" s="6" t="s">
        <v>60</v>
      </c>
      <c r="S51" s="6" t="s">
        <v>915</v>
      </c>
      <c r="T51" s="6" t="s">
        <v>1146</v>
      </c>
      <c r="U51" s="23" t="n">
        <v>10.723</v>
      </c>
      <c r="V51" s="6" t="s">
        <v>1147</v>
      </c>
      <c r="W51" s="6" t="s">
        <v>1148</v>
      </c>
      <c r="X51" s="6" t="s">
        <v>1149</v>
      </c>
      <c r="Y51" s="6" t="s">
        <v>60</v>
      </c>
      <c r="Z51" s="6" t="n">
        <v>0</v>
      </c>
      <c r="AA51" s="6" t="n">
        <v>0</v>
      </c>
      <c r="AB51" s="6" t="n">
        <v>0</v>
      </c>
      <c r="AC51" s="6" t="n">
        <v>0</v>
      </c>
      <c r="AD51" s="6" t="n">
        <v>0</v>
      </c>
      <c r="AE51" s="6" t="n">
        <v>0</v>
      </c>
      <c r="AF51" s="6" t="n">
        <v>0</v>
      </c>
      <c r="AG51" s="6" t="n">
        <v>0</v>
      </c>
      <c r="AH51" s="6" t="n">
        <v>1</v>
      </c>
      <c r="AI51" s="6" t="s">
        <v>84</v>
      </c>
    </row>
    <row r="52" customFormat="false" ht="15" hidden="false" customHeight="false" outlineLevel="0" collapsed="false">
      <c r="A52" s="6" t="n">
        <v>51</v>
      </c>
      <c r="B52" s="6" t="s">
        <v>1150</v>
      </c>
      <c r="C52" s="6" t="n">
        <v>2</v>
      </c>
      <c r="D52" s="6" t="s">
        <v>186</v>
      </c>
      <c r="E52" s="6" t="s">
        <v>123</v>
      </c>
      <c r="F52" s="6" t="n">
        <v>3</v>
      </c>
      <c r="G52" s="6" t="n">
        <v>130</v>
      </c>
      <c r="H52" s="6" t="s">
        <v>1151</v>
      </c>
      <c r="I52" s="22" t="n">
        <v>1748500</v>
      </c>
      <c r="J52" s="22" t="n">
        <v>5000</v>
      </c>
      <c r="K52" s="22" t="n">
        <v>131512.5</v>
      </c>
      <c r="L52" s="22" t="n">
        <v>1885012.5</v>
      </c>
      <c r="M52" s="6" t="s">
        <v>984</v>
      </c>
      <c r="N52" s="6" t="s">
        <v>84</v>
      </c>
      <c r="O52" s="6" t="s">
        <v>985</v>
      </c>
      <c r="P52" s="6" t="s">
        <v>85</v>
      </c>
      <c r="Q52" s="6" t="str">
        <f aca="false">IF(P52="pass","No","Yes")</f>
        <v>Yes</v>
      </c>
      <c r="R52" s="6" t="s">
        <v>86</v>
      </c>
      <c r="S52" s="6" t="s">
        <v>985</v>
      </c>
      <c r="T52" s="6" t="s">
        <v>1152</v>
      </c>
      <c r="U52" s="23" t="n">
        <v>5.579</v>
      </c>
      <c r="V52" s="6" t="s">
        <v>1153</v>
      </c>
      <c r="W52" s="6" t="s">
        <v>1154</v>
      </c>
      <c r="X52" s="6" t="s">
        <v>1155</v>
      </c>
      <c r="Y52" s="6" t="s">
        <v>86</v>
      </c>
      <c r="Z52" s="6" t="n">
        <v>0</v>
      </c>
      <c r="AA52" s="6" t="n">
        <v>0</v>
      </c>
      <c r="AB52" s="6" t="n">
        <v>0</v>
      </c>
      <c r="AC52" s="6" t="n">
        <v>0</v>
      </c>
      <c r="AD52" s="6" t="n">
        <v>0</v>
      </c>
      <c r="AE52" s="6" t="n">
        <v>1</v>
      </c>
      <c r="AF52" s="6" t="n">
        <v>0</v>
      </c>
      <c r="AG52" s="6" t="n">
        <v>0</v>
      </c>
      <c r="AH52" s="6" t="n">
        <v>0</v>
      </c>
      <c r="AI52" s="6" t="s">
        <v>84</v>
      </c>
    </row>
    <row r="53" customFormat="false" ht="15" hidden="false" customHeight="false" outlineLevel="0" collapsed="false">
      <c r="A53" s="6" t="n">
        <v>52</v>
      </c>
      <c r="B53" s="6" t="s">
        <v>1156</v>
      </c>
      <c r="C53" s="6" t="n">
        <v>2</v>
      </c>
      <c r="D53" s="6" t="s">
        <v>186</v>
      </c>
      <c r="E53" s="6" t="s">
        <v>123</v>
      </c>
      <c r="F53" s="6" t="n">
        <v>2</v>
      </c>
      <c r="G53" s="6" t="n">
        <v>77</v>
      </c>
      <c r="H53" s="6" t="s">
        <v>1157</v>
      </c>
      <c r="I53" s="22" t="n">
        <v>837300</v>
      </c>
      <c r="J53" s="22" t="n">
        <v>5000</v>
      </c>
      <c r="K53" s="22" t="n">
        <v>63172.5</v>
      </c>
      <c r="L53" s="22" t="n">
        <v>905472.5</v>
      </c>
      <c r="M53" s="6" t="s">
        <v>984</v>
      </c>
      <c r="N53" s="6" t="s">
        <v>84</v>
      </c>
      <c r="O53" s="6" t="s">
        <v>985</v>
      </c>
      <c r="P53" s="6" t="s">
        <v>85</v>
      </c>
      <c r="Q53" s="6" t="str">
        <f aca="false">IF(P53="pass","No","Yes")</f>
        <v>Yes</v>
      </c>
      <c r="R53" s="6" t="s">
        <v>86</v>
      </c>
      <c r="S53" s="6" t="s">
        <v>985</v>
      </c>
      <c r="T53" s="6" t="s">
        <v>986</v>
      </c>
      <c r="U53" s="23" t="n">
        <v>8.672</v>
      </c>
      <c r="V53" s="6" t="s">
        <v>1158</v>
      </c>
      <c r="W53" s="6" t="s">
        <v>1159</v>
      </c>
      <c r="X53" s="6" t="s">
        <v>1160</v>
      </c>
      <c r="Y53" s="6" t="s">
        <v>86</v>
      </c>
      <c r="Z53" s="6" t="n">
        <v>0</v>
      </c>
      <c r="AA53" s="6" t="n">
        <v>0</v>
      </c>
      <c r="AB53" s="6" t="n">
        <v>0</v>
      </c>
      <c r="AC53" s="6" t="n">
        <v>0</v>
      </c>
      <c r="AD53" s="6" t="n">
        <v>0</v>
      </c>
      <c r="AE53" s="6" t="n">
        <v>1</v>
      </c>
      <c r="AF53" s="6" t="n">
        <v>0</v>
      </c>
      <c r="AG53" s="6" t="n">
        <v>0</v>
      </c>
      <c r="AH53" s="6" t="n">
        <v>0</v>
      </c>
      <c r="AI53" s="6" t="s">
        <v>84</v>
      </c>
    </row>
    <row r="54" customFormat="false" ht="15" hidden="false" customHeight="false" outlineLevel="0" collapsed="false">
      <c r="A54" s="6" t="n">
        <v>53</v>
      </c>
      <c r="B54" s="6" t="s">
        <v>1161</v>
      </c>
      <c r="C54" s="6" t="n">
        <v>2</v>
      </c>
      <c r="D54" s="6" t="s">
        <v>191</v>
      </c>
      <c r="E54" s="6" t="s">
        <v>116</v>
      </c>
      <c r="F54" s="6" t="n">
        <v>2</v>
      </c>
      <c r="G54" s="6" t="n">
        <v>143</v>
      </c>
      <c r="H54" s="6" t="s">
        <v>1162</v>
      </c>
      <c r="I54" s="22" t="n">
        <v>1282600</v>
      </c>
      <c r="J54" s="22" t="n">
        <v>15000</v>
      </c>
      <c r="K54" s="22" t="n">
        <v>97320</v>
      </c>
      <c r="L54" s="22" t="n">
        <v>1394920</v>
      </c>
      <c r="M54" s="6" t="s">
        <v>224</v>
      </c>
      <c r="N54" s="6" t="s">
        <v>84</v>
      </c>
      <c r="O54" s="6" t="s">
        <v>866</v>
      </c>
      <c r="P54" s="6" t="s">
        <v>85</v>
      </c>
      <c r="Q54" s="6" t="str">
        <f aca="false">IF(P54="pass","No","Yes")</f>
        <v>Yes</v>
      </c>
      <c r="R54" s="6" t="s">
        <v>86</v>
      </c>
      <c r="S54" s="6" t="s">
        <v>872</v>
      </c>
      <c r="T54" s="6" t="s">
        <v>1163</v>
      </c>
      <c r="U54" s="23" t="n">
        <v>13.255</v>
      </c>
      <c r="V54" s="6" t="s">
        <v>1164</v>
      </c>
      <c r="W54" s="6" t="s">
        <v>1165</v>
      </c>
      <c r="X54" s="6" t="s">
        <v>1166</v>
      </c>
      <c r="Y54" s="6" t="s">
        <v>86</v>
      </c>
      <c r="Z54" s="6" t="n">
        <v>1</v>
      </c>
      <c r="AA54" s="6" t="n">
        <v>0</v>
      </c>
      <c r="AB54" s="6" t="n">
        <v>0</v>
      </c>
      <c r="AC54" s="6" t="n">
        <v>0</v>
      </c>
      <c r="AD54" s="6" t="n">
        <v>0</v>
      </c>
      <c r="AE54" s="6" t="n">
        <v>0</v>
      </c>
      <c r="AF54" s="6" t="n">
        <v>0</v>
      </c>
      <c r="AG54" s="6" t="n">
        <v>0</v>
      </c>
      <c r="AH54" s="6" t="n">
        <v>1</v>
      </c>
      <c r="AI54" s="6" t="s">
        <v>58</v>
      </c>
    </row>
    <row r="55" customFormat="false" ht="15" hidden="false" customHeight="false" outlineLevel="0" collapsed="false">
      <c r="A55" s="6" t="n">
        <v>54</v>
      </c>
      <c r="B55" s="6" t="s">
        <v>1167</v>
      </c>
      <c r="C55" s="6" t="n">
        <v>2</v>
      </c>
      <c r="D55" s="6" t="s">
        <v>142</v>
      </c>
      <c r="E55" s="6" t="s">
        <v>74</v>
      </c>
      <c r="F55" s="6" t="n">
        <v>3</v>
      </c>
      <c r="G55" s="6" t="n">
        <v>76</v>
      </c>
      <c r="H55" s="6" t="s">
        <v>1168</v>
      </c>
      <c r="I55" s="22" t="n">
        <v>1390500</v>
      </c>
      <c r="J55" s="22" t="n">
        <v>9000</v>
      </c>
      <c r="K55" s="22" t="n">
        <v>104962.5</v>
      </c>
      <c r="L55" s="22" t="n">
        <v>1504462.5</v>
      </c>
      <c r="M55" s="6" t="s">
        <v>57</v>
      </c>
      <c r="N55" s="6" t="s">
        <v>58</v>
      </c>
      <c r="O55" s="6"/>
      <c r="P55" s="6" t="s">
        <v>69</v>
      </c>
      <c r="Q55" s="6" t="str">
        <f aca="false">IF(P55="pass","No","Yes")</f>
        <v>No</v>
      </c>
      <c r="R55" s="6" t="s">
        <v>60</v>
      </c>
      <c r="S55" s="6"/>
      <c r="T55" s="6"/>
      <c r="U55" s="23" t="n">
        <v>5.396</v>
      </c>
      <c r="V55" s="6" t="s">
        <v>1169</v>
      </c>
      <c r="W55" s="6" t="s">
        <v>1170</v>
      </c>
      <c r="X55" s="6" t="s">
        <v>1171</v>
      </c>
      <c r="Y55" s="6" t="s">
        <v>60</v>
      </c>
      <c r="Z55" s="6" t="n">
        <v>0</v>
      </c>
      <c r="AA55" s="6" t="n">
        <v>0</v>
      </c>
      <c r="AB55" s="6" t="n">
        <v>0</v>
      </c>
      <c r="AC55" s="6" t="n">
        <v>0</v>
      </c>
      <c r="AD55" s="6" t="n">
        <v>0</v>
      </c>
      <c r="AE55" s="6" t="n">
        <v>0</v>
      </c>
      <c r="AF55" s="6" t="n">
        <v>0</v>
      </c>
      <c r="AG55" s="6" t="n">
        <v>0</v>
      </c>
      <c r="AH55" s="6" t="n">
        <v>0</v>
      </c>
      <c r="AI55" s="6" t="s">
        <v>84</v>
      </c>
    </row>
    <row r="56" customFormat="false" ht="15" hidden="false" customHeight="false" outlineLevel="0" collapsed="false">
      <c r="A56" s="6" t="n">
        <v>55</v>
      </c>
      <c r="B56" s="6" t="s">
        <v>1172</v>
      </c>
      <c r="C56" s="6" t="n">
        <v>2</v>
      </c>
      <c r="D56" s="6" t="s">
        <v>119</v>
      </c>
      <c r="E56" s="6" t="s">
        <v>123</v>
      </c>
      <c r="F56" s="6" t="n">
        <v>2</v>
      </c>
      <c r="G56" s="6" t="n">
        <v>99</v>
      </c>
      <c r="H56" s="6" t="s">
        <v>1173</v>
      </c>
      <c r="I56" s="22" t="n">
        <v>706600</v>
      </c>
      <c r="J56" s="22" t="n">
        <v>5000</v>
      </c>
      <c r="K56" s="22" t="n">
        <v>53370</v>
      </c>
      <c r="L56" s="22" t="n">
        <v>764970</v>
      </c>
      <c r="M56" s="6" t="s">
        <v>57</v>
      </c>
      <c r="N56" s="6" t="s">
        <v>58</v>
      </c>
      <c r="O56" s="6"/>
      <c r="P56" s="6" t="s">
        <v>59</v>
      </c>
      <c r="Q56" s="6" t="str">
        <f aca="false">IF(P56="pass","No","Yes")</f>
        <v>Yes</v>
      </c>
      <c r="R56" s="6" t="s">
        <v>60</v>
      </c>
      <c r="S56" s="6" t="s">
        <v>915</v>
      </c>
      <c r="T56" s="6" t="s">
        <v>1174</v>
      </c>
      <c r="U56" s="23" t="n">
        <v>9.213</v>
      </c>
      <c r="V56" s="6" t="s">
        <v>1175</v>
      </c>
      <c r="W56" s="6" t="s">
        <v>1176</v>
      </c>
      <c r="X56" s="6" t="s">
        <v>1177</v>
      </c>
      <c r="Y56" s="6" t="s">
        <v>60</v>
      </c>
      <c r="Z56" s="6" t="n">
        <v>0</v>
      </c>
      <c r="AA56" s="6" t="n">
        <v>0</v>
      </c>
      <c r="AB56" s="6" t="n">
        <v>0</v>
      </c>
      <c r="AC56" s="6" t="n">
        <v>0</v>
      </c>
      <c r="AD56" s="6" t="n">
        <v>0</v>
      </c>
      <c r="AE56" s="6" t="n">
        <v>0</v>
      </c>
      <c r="AF56" s="6" t="n">
        <v>0</v>
      </c>
      <c r="AG56" s="6" t="n">
        <v>0</v>
      </c>
      <c r="AH56" s="6" t="n">
        <v>1</v>
      </c>
      <c r="AI56" s="6" t="s">
        <v>84</v>
      </c>
    </row>
    <row r="57" customFormat="false" ht="15" hidden="false" customHeight="false" outlineLevel="0" collapsed="false">
      <c r="A57" s="6" t="n">
        <v>56</v>
      </c>
      <c r="B57" s="6" t="s">
        <v>1178</v>
      </c>
      <c r="C57" s="6" t="n">
        <v>2</v>
      </c>
      <c r="D57" s="6" t="s">
        <v>70</v>
      </c>
      <c r="E57" s="6" t="s">
        <v>74</v>
      </c>
      <c r="F57" s="6" t="n">
        <v>3</v>
      </c>
      <c r="G57" s="6" t="n">
        <v>137</v>
      </c>
      <c r="H57" s="6" t="s">
        <v>1179</v>
      </c>
      <c r="I57" s="22" t="n">
        <v>1397900</v>
      </c>
      <c r="J57" s="22" t="n">
        <v>9000</v>
      </c>
      <c r="K57" s="22" t="n">
        <v>105517.5</v>
      </c>
      <c r="L57" s="22" t="n">
        <v>1512417.5</v>
      </c>
      <c r="M57" s="6" t="s">
        <v>1009</v>
      </c>
      <c r="N57" s="6" t="s">
        <v>58</v>
      </c>
      <c r="O57" s="6"/>
      <c r="P57" s="6" t="s">
        <v>59</v>
      </c>
      <c r="Q57" s="6" t="str">
        <f aca="false">IF(P57="pass","No","Yes")</f>
        <v>Yes</v>
      </c>
      <c r="R57" s="6" t="s">
        <v>60</v>
      </c>
      <c r="S57" s="6" t="s">
        <v>915</v>
      </c>
      <c r="T57" s="6" t="s">
        <v>1180</v>
      </c>
      <c r="U57" s="23" t="n">
        <v>11.995</v>
      </c>
      <c r="V57" s="6" t="s">
        <v>1181</v>
      </c>
      <c r="W57" s="6" t="s">
        <v>1182</v>
      </c>
      <c r="X57" s="6" t="s">
        <v>1183</v>
      </c>
      <c r="Y57" s="6" t="s">
        <v>60</v>
      </c>
      <c r="Z57" s="6" t="n">
        <v>0</v>
      </c>
      <c r="AA57" s="6" t="n">
        <v>0</v>
      </c>
      <c r="AB57" s="6" t="n">
        <v>0</v>
      </c>
      <c r="AC57" s="6" t="n">
        <v>0</v>
      </c>
      <c r="AD57" s="6" t="n">
        <v>0</v>
      </c>
      <c r="AE57" s="6" t="n">
        <v>0</v>
      </c>
      <c r="AF57" s="6" t="n">
        <v>0</v>
      </c>
      <c r="AG57" s="6" t="n">
        <v>0</v>
      </c>
      <c r="AH57" s="6" t="n">
        <v>1</v>
      </c>
      <c r="AI57" s="6" t="s">
        <v>84</v>
      </c>
    </row>
    <row r="58" customFormat="false" ht="15" hidden="false" customHeight="false" outlineLevel="0" collapsed="false">
      <c r="A58" s="6" t="n">
        <v>57</v>
      </c>
      <c r="B58" s="6" t="s">
        <v>1184</v>
      </c>
      <c r="C58" s="6" t="n">
        <v>2</v>
      </c>
      <c r="D58" s="6" t="s">
        <v>119</v>
      </c>
      <c r="E58" s="6" t="s">
        <v>123</v>
      </c>
      <c r="F58" s="6" t="n">
        <v>2</v>
      </c>
      <c r="G58" s="6" t="n">
        <v>99</v>
      </c>
      <c r="H58" s="6" t="s">
        <v>1173</v>
      </c>
      <c r="I58" s="22" t="n">
        <v>706600</v>
      </c>
      <c r="J58" s="22" t="n">
        <v>5000</v>
      </c>
      <c r="K58" s="22" t="n">
        <v>53370</v>
      </c>
      <c r="L58" s="22" t="n">
        <v>764970</v>
      </c>
      <c r="M58" s="6" t="s">
        <v>97</v>
      </c>
      <c r="N58" s="6" t="s">
        <v>84</v>
      </c>
      <c r="O58" s="6" t="s">
        <v>1185</v>
      </c>
      <c r="P58" s="6" t="s">
        <v>59</v>
      </c>
      <c r="Q58" s="6" t="str">
        <f aca="false">IF(P58="pass","No","Yes")</f>
        <v>Yes</v>
      </c>
      <c r="R58" s="6" t="s">
        <v>98</v>
      </c>
      <c r="S58" s="6" t="s">
        <v>1186</v>
      </c>
      <c r="T58" s="6" t="s">
        <v>1187</v>
      </c>
      <c r="U58" s="23" t="n">
        <v>8.36</v>
      </c>
      <c r="V58" s="6" t="s">
        <v>1188</v>
      </c>
      <c r="W58" s="6"/>
      <c r="X58" s="6" t="s">
        <v>1188</v>
      </c>
      <c r="Y58" s="6" t="s">
        <v>98</v>
      </c>
      <c r="Z58" s="6" t="n">
        <v>0</v>
      </c>
      <c r="AA58" s="6" t="n">
        <v>0</v>
      </c>
      <c r="AB58" s="6" t="n">
        <v>0</v>
      </c>
      <c r="AC58" s="6" t="n">
        <v>0</v>
      </c>
      <c r="AD58" s="6" t="n">
        <v>0</v>
      </c>
      <c r="AE58" s="6" t="n">
        <v>0</v>
      </c>
      <c r="AF58" s="6" t="n">
        <v>0</v>
      </c>
      <c r="AG58" s="6" t="n">
        <v>1</v>
      </c>
      <c r="AH58" s="6" t="n">
        <v>1</v>
      </c>
      <c r="AI58" s="6" t="s">
        <v>84</v>
      </c>
    </row>
    <row r="59" customFormat="false" ht="15" hidden="false" customHeight="false" outlineLevel="0" collapsed="false">
      <c r="A59" s="6" t="n">
        <v>58</v>
      </c>
      <c r="B59" s="6" t="s">
        <v>1189</v>
      </c>
      <c r="C59" s="6" t="n">
        <v>2</v>
      </c>
      <c r="D59" s="6" t="s">
        <v>70</v>
      </c>
      <c r="E59" s="6" t="s">
        <v>74</v>
      </c>
      <c r="F59" s="6" t="n">
        <v>1</v>
      </c>
      <c r="G59" s="6" t="n">
        <v>153</v>
      </c>
      <c r="H59" s="6" t="s">
        <v>1190</v>
      </c>
      <c r="I59" s="22" t="n">
        <v>1453500</v>
      </c>
      <c r="J59" s="22" t="n">
        <v>9000</v>
      </c>
      <c r="K59" s="22" t="n">
        <v>109687.5</v>
      </c>
      <c r="L59" s="22" t="n">
        <v>1572187.5</v>
      </c>
      <c r="M59" s="6" t="s">
        <v>57</v>
      </c>
      <c r="N59" s="6" t="s">
        <v>58</v>
      </c>
      <c r="O59" s="6"/>
      <c r="P59" s="6" t="s">
        <v>59</v>
      </c>
      <c r="Q59" s="6" t="str">
        <f aca="false">IF(P59="pass","No","Yes")</f>
        <v>Yes</v>
      </c>
      <c r="R59" s="6" t="s">
        <v>60</v>
      </c>
      <c r="S59" s="6" t="s">
        <v>915</v>
      </c>
      <c r="T59" s="6" t="s">
        <v>1191</v>
      </c>
      <c r="U59" s="23" t="n">
        <v>10.376</v>
      </c>
      <c r="V59" s="6" t="s">
        <v>1192</v>
      </c>
      <c r="W59" s="6" t="s">
        <v>1193</v>
      </c>
      <c r="X59" s="6" t="s">
        <v>1194</v>
      </c>
      <c r="Y59" s="6" t="s">
        <v>60</v>
      </c>
      <c r="Z59" s="6" t="n">
        <v>0</v>
      </c>
      <c r="AA59" s="6" t="n">
        <v>0</v>
      </c>
      <c r="AB59" s="6" t="n">
        <v>0</v>
      </c>
      <c r="AC59" s="6" t="n">
        <v>0</v>
      </c>
      <c r="AD59" s="6" t="n">
        <v>0</v>
      </c>
      <c r="AE59" s="6" t="n">
        <v>0</v>
      </c>
      <c r="AF59" s="6" t="n">
        <v>0</v>
      </c>
      <c r="AG59" s="6" t="n">
        <v>0</v>
      </c>
      <c r="AH59" s="6" t="n">
        <v>1</v>
      </c>
      <c r="AI59" s="6" t="s">
        <v>84</v>
      </c>
    </row>
    <row r="60" customFormat="false" ht="15" hidden="false" customHeight="false" outlineLevel="0" collapsed="false">
      <c r="A60" s="6" t="n">
        <v>59</v>
      </c>
      <c r="B60" s="6" t="s">
        <v>1195</v>
      </c>
      <c r="C60" s="6" t="n">
        <v>2</v>
      </c>
      <c r="D60" s="6" t="s">
        <v>77</v>
      </c>
      <c r="E60" s="6" t="s">
        <v>81</v>
      </c>
      <c r="F60" s="6" t="n">
        <v>2</v>
      </c>
      <c r="G60" s="6" t="n">
        <v>81</v>
      </c>
      <c r="H60" s="6" t="s">
        <v>1196</v>
      </c>
      <c r="I60" s="22" t="n">
        <v>586000</v>
      </c>
      <c r="J60" s="22" t="n">
        <v>4000</v>
      </c>
      <c r="K60" s="22" t="n">
        <v>44250</v>
      </c>
      <c r="L60" s="22" t="n">
        <v>634250</v>
      </c>
      <c r="M60" s="6" t="s">
        <v>1009</v>
      </c>
      <c r="N60" s="6" t="s">
        <v>58</v>
      </c>
      <c r="O60" s="6"/>
      <c r="P60" s="6" t="s">
        <v>59</v>
      </c>
      <c r="Q60" s="6" t="str">
        <f aca="false">IF(P60="pass","No","Yes")</f>
        <v>Yes</v>
      </c>
      <c r="R60" s="6" t="s">
        <v>60</v>
      </c>
      <c r="S60" s="6" t="s">
        <v>915</v>
      </c>
      <c r="T60" s="6" t="s">
        <v>1197</v>
      </c>
      <c r="U60" s="23" t="n">
        <v>9.636</v>
      </c>
      <c r="V60" s="6" t="s">
        <v>1198</v>
      </c>
      <c r="W60" s="6" t="s">
        <v>1199</v>
      </c>
      <c r="X60" s="6" t="s">
        <v>1200</v>
      </c>
      <c r="Y60" s="6" t="s">
        <v>60</v>
      </c>
      <c r="Z60" s="6" t="n">
        <v>0</v>
      </c>
      <c r="AA60" s="6" t="n">
        <v>0</v>
      </c>
      <c r="AB60" s="6" t="n">
        <v>0</v>
      </c>
      <c r="AC60" s="6" t="n">
        <v>0</v>
      </c>
      <c r="AD60" s="6" t="n">
        <v>0</v>
      </c>
      <c r="AE60" s="6" t="n">
        <v>0</v>
      </c>
      <c r="AF60" s="6" t="n">
        <v>0</v>
      </c>
      <c r="AG60" s="6" t="n">
        <v>0</v>
      </c>
      <c r="AH60" s="6" t="n">
        <v>1</v>
      </c>
      <c r="AI60" s="6" t="s">
        <v>84</v>
      </c>
    </row>
    <row r="61" customFormat="false" ht="15" hidden="false" customHeight="false" outlineLevel="0" collapsed="false">
      <c r="A61" s="6" t="n">
        <v>60</v>
      </c>
      <c r="B61" s="6" t="s">
        <v>1201</v>
      </c>
      <c r="C61" s="6" t="n">
        <v>2</v>
      </c>
      <c r="D61" s="6" t="s">
        <v>100</v>
      </c>
      <c r="E61" s="6" t="s">
        <v>146</v>
      </c>
      <c r="F61" s="6" t="n">
        <v>2</v>
      </c>
      <c r="G61" s="6" t="n">
        <v>73</v>
      </c>
      <c r="H61" s="6" t="s">
        <v>1202</v>
      </c>
      <c r="I61" s="22" t="n">
        <v>740900</v>
      </c>
      <c r="J61" s="22" t="n">
        <v>0</v>
      </c>
      <c r="K61" s="22" t="n">
        <v>55567.5</v>
      </c>
      <c r="L61" s="22" t="n">
        <v>796467.5</v>
      </c>
      <c r="M61" s="6" t="s">
        <v>148</v>
      </c>
      <c r="N61" s="6" t="s">
        <v>84</v>
      </c>
      <c r="O61" s="6" t="s">
        <v>866</v>
      </c>
      <c r="P61" s="6" t="s">
        <v>85</v>
      </c>
      <c r="Q61" s="6" t="str">
        <f aca="false">IF(P61="pass","No","Yes")</f>
        <v>Yes</v>
      </c>
      <c r="R61" s="6" t="s">
        <v>86</v>
      </c>
      <c r="S61" s="6" t="s">
        <v>866</v>
      </c>
      <c r="T61" s="6" t="s">
        <v>150</v>
      </c>
      <c r="U61" s="23" t="n">
        <v>4.31</v>
      </c>
      <c r="V61" s="6" t="s">
        <v>1203</v>
      </c>
      <c r="W61" s="6" t="s">
        <v>1204</v>
      </c>
      <c r="X61" s="6" t="s">
        <v>1205</v>
      </c>
      <c r="Y61" s="6" t="s">
        <v>86</v>
      </c>
      <c r="Z61" s="6" t="n">
        <v>1</v>
      </c>
      <c r="AA61" s="6" t="n">
        <v>0</v>
      </c>
      <c r="AB61" s="6" t="n">
        <v>0</v>
      </c>
      <c r="AC61" s="6" t="n">
        <v>0</v>
      </c>
      <c r="AD61" s="6" t="n">
        <v>0</v>
      </c>
      <c r="AE61" s="6" t="n">
        <v>0</v>
      </c>
      <c r="AF61" s="6" t="n">
        <v>0</v>
      </c>
      <c r="AG61" s="6" t="n">
        <v>0</v>
      </c>
      <c r="AH61" s="6" t="n">
        <v>0</v>
      </c>
      <c r="AI61" s="6" t="s">
        <v>84</v>
      </c>
    </row>
    <row r="62" customFormat="false" ht="15" hidden="false" customHeight="false" outlineLevel="0" collapsed="false">
      <c r="A62" s="6" t="n">
        <v>61</v>
      </c>
      <c r="B62" s="6" t="s">
        <v>1206</v>
      </c>
      <c r="C62" s="6" t="n">
        <v>2</v>
      </c>
      <c r="D62" s="6" t="s">
        <v>137</v>
      </c>
      <c r="E62" s="6" t="s">
        <v>55</v>
      </c>
      <c r="F62" s="6" t="n">
        <v>1</v>
      </c>
      <c r="G62" s="6" t="n">
        <v>7</v>
      </c>
      <c r="H62" s="6" t="s">
        <v>1207</v>
      </c>
      <c r="I62" s="22" t="n">
        <v>266000</v>
      </c>
      <c r="J62" s="22" t="n">
        <v>6000</v>
      </c>
      <c r="K62" s="22" t="n">
        <v>20400</v>
      </c>
      <c r="L62" s="22" t="n">
        <v>292400</v>
      </c>
      <c r="M62" s="6" t="s">
        <v>57</v>
      </c>
      <c r="N62" s="6" t="s">
        <v>58</v>
      </c>
      <c r="O62" s="6"/>
      <c r="P62" s="6" t="s">
        <v>69</v>
      </c>
      <c r="Q62" s="6" t="str">
        <f aca="false">IF(P62="pass","No","Yes")</f>
        <v>No</v>
      </c>
      <c r="R62" s="6" t="s">
        <v>60</v>
      </c>
      <c r="S62" s="6"/>
      <c r="T62" s="6"/>
      <c r="U62" s="23" t="n">
        <v>4.004</v>
      </c>
      <c r="V62" s="6" t="s">
        <v>1208</v>
      </c>
      <c r="W62" s="6" t="s">
        <v>1209</v>
      </c>
      <c r="X62" s="6" t="s">
        <v>1210</v>
      </c>
      <c r="Y62" s="6" t="s">
        <v>60</v>
      </c>
      <c r="Z62" s="6" t="n">
        <v>0</v>
      </c>
      <c r="AA62" s="6" t="n">
        <v>0</v>
      </c>
      <c r="AB62" s="6" t="n">
        <v>0</v>
      </c>
      <c r="AC62" s="6" t="n">
        <v>0</v>
      </c>
      <c r="AD62" s="6" t="n">
        <v>0</v>
      </c>
      <c r="AE62" s="6" t="n">
        <v>0</v>
      </c>
      <c r="AF62" s="6" t="n">
        <v>0</v>
      </c>
      <c r="AG62" s="6" t="n">
        <v>0</v>
      </c>
      <c r="AH62" s="6" t="n">
        <v>0</v>
      </c>
      <c r="AI62" s="6" t="s">
        <v>84</v>
      </c>
    </row>
    <row r="63" customFormat="false" ht="15" hidden="false" customHeight="false" outlineLevel="0" collapsed="false">
      <c r="A63" s="6" t="n">
        <v>62</v>
      </c>
      <c r="B63" s="6" t="s">
        <v>1211</v>
      </c>
      <c r="C63" s="6" t="n">
        <v>2</v>
      </c>
      <c r="D63" s="6" t="s">
        <v>177</v>
      </c>
      <c r="E63" s="6" t="s">
        <v>81</v>
      </c>
      <c r="F63" s="6" t="n">
        <v>2</v>
      </c>
      <c r="G63" s="6" t="n">
        <v>40</v>
      </c>
      <c r="H63" s="6" t="s">
        <v>1212</v>
      </c>
      <c r="I63" s="22" t="n">
        <v>816000</v>
      </c>
      <c r="J63" s="22" t="n">
        <v>4000</v>
      </c>
      <c r="K63" s="22" t="n">
        <v>61500</v>
      </c>
      <c r="L63" s="22" t="n">
        <v>881500</v>
      </c>
      <c r="M63" s="6" t="s">
        <v>57</v>
      </c>
      <c r="N63" s="6" t="s">
        <v>58</v>
      </c>
      <c r="O63" s="6"/>
      <c r="P63" s="6" t="s">
        <v>69</v>
      </c>
      <c r="Q63" s="6" t="str">
        <f aca="false">IF(P63="pass","No","Yes")</f>
        <v>No</v>
      </c>
      <c r="R63" s="6" t="s">
        <v>60</v>
      </c>
      <c r="S63" s="6"/>
      <c r="T63" s="6"/>
      <c r="U63" s="23" t="n">
        <v>7.672</v>
      </c>
      <c r="V63" s="6" t="s">
        <v>1213</v>
      </c>
      <c r="W63" s="6" t="s">
        <v>1214</v>
      </c>
      <c r="X63" s="6" t="s">
        <v>1215</v>
      </c>
      <c r="Y63" s="6" t="s">
        <v>60</v>
      </c>
      <c r="Z63" s="6" t="n">
        <v>0</v>
      </c>
      <c r="AA63" s="6" t="n">
        <v>0</v>
      </c>
      <c r="AB63" s="6" t="n">
        <v>0</v>
      </c>
      <c r="AC63" s="6" t="n">
        <v>0</v>
      </c>
      <c r="AD63" s="6" t="n">
        <v>0</v>
      </c>
      <c r="AE63" s="6" t="n">
        <v>0</v>
      </c>
      <c r="AF63" s="6" t="n">
        <v>0</v>
      </c>
      <c r="AG63" s="6" t="n">
        <v>0</v>
      </c>
      <c r="AH63" s="6" t="n">
        <v>0</v>
      </c>
      <c r="AI63" s="6" t="s">
        <v>84</v>
      </c>
    </row>
    <row r="64" customFormat="false" ht="15" hidden="false" customHeight="false" outlineLevel="0" collapsed="false">
      <c r="A64" s="6" t="n">
        <v>63</v>
      </c>
      <c r="B64" s="6" t="s">
        <v>1216</v>
      </c>
      <c r="C64" s="6" t="n">
        <v>2</v>
      </c>
      <c r="D64" s="6" t="s">
        <v>237</v>
      </c>
      <c r="E64" s="6" t="s">
        <v>116</v>
      </c>
      <c r="F64" s="6" t="n">
        <v>3</v>
      </c>
      <c r="G64" s="6" t="n">
        <v>76</v>
      </c>
      <c r="H64" s="6" t="s">
        <v>1217</v>
      </c>
      <c r="I64" s="22" t="n">
        <v>1097700</v>
      </c>
      <c r="J64" s="22" t="n">
        <v>15000</v>
      </c>
      <c r="K64" s="22" t="n">
        <v>83452.5</v>
      </c>
      <c r="L64" s="22" t="n">
        <v>1196152.5</v>
      </c>
      <c r="M64" s="6" t="s">
        <v>57</v>
      </c>
      <c r="N64" s="6" t="s">
        <v>58</v>
      </c>
      <c r="O64" s="6"/>
      <c r="P64" s="6" t="s">
        <v>69</v>
      </c>
      <c r="Q64" s="6" t="str">
        <f aca="false">IF(P64="pass","No","Yes")</f>
        <v>No</v>
      </c>
      <c r="R64" s="6" t="s">
        <v>60</v>
      </c>
      <c r="S64" s="6"/>
      <c r="T64" s="6"/>
      <c r="U64" s="23" t="n">
        <v>5.948</v>
      </c>
      <c r="V64" s="6" t="s">
        <v>1218</v>
      </c>
      <c r="W64" s="6" t="s">
        <v>1219</v>
      </c>
      <c r="X64" s="6" t="s">
        <v>1220</v>
      </c>
      <c r="Y64" s="6" t="s">
        <v>60</v>
      </c>
      <c r="Z64" s="6" t="n">
        <v>0</v>
      </c>
      <c r="AA64" s="6" t="n">
        <v>0</v>
      </c>
      <c r="AB64" s="6" t="n">
        <v>0</v>
      </c>
      <c r="AC64" s="6" t="n">
        <v>0</v>
      </c>
      <c r="AD64" s="6" t="n">
        <v>0</v>
      </c>
      <c r="AE64" s="6" t="n">
        <v>0</v>
      </c>
      <c r="AF64" s="6" t="n">
        <v>0</v>
      </c>
      <c r="AG64" s="6" t="n">
        <v>0</v>
      </c>
      <c r="AH64" s="6" t="n">
        <v>0</v>
      </c>
      <c r="AI64" s="6" t="s">
        <v>84</v>
      </c>
    </row>
    <row r="65" customFormat="false" ht="15" hidden="false" customHeight="false" outlineLevel="0" collapsed="false">
      <c r="A65" s="6" t="n">
        <v>64</v>
      </c>
      <c r="B65" s="6" t="s">
        <v>1221</v>
      </c>
      <c r="C65" s="6" t="n">
        <v>2</v>
      </c>
      <c r="D65" s="6" t="s">
        <v>198</v>
      </c>
      <c r="E65" s="6" t="s">
        <v>146</v>
      </c>
      <c r="F65" s="6" t="n">
        <v>3</v>
      </c>
      <c r="G65" s="6" t="n">
        <v>21</v>
      </c>
      <c r="H65" s="6" t="s">
        <v>1222</v>
      </c>
      <c r="I65" s="22" t="n">
        <v>744200</v>
      </c>
      <c r="J65" s="22" t="n">
        <v>0</v>
      </c>
      <c r="K65" s="22" t="n">
        <v>55815</v>
      </c>
      <c r="L65" s="22" t="n">
        <v>800015</v>
      </c>
      <c r="M65" s="6" t="s">
        <v>148</v>
      </c>
      <c r="N65" s="6" t="s">
        <v>84</v>
      </c>
      <c r="O65" s="6" t="s">
        <v>866</v>
      </c>
      <c r="P65" s="6" t="s">
        <v>85</v>
      </c>
      <c r="Q65" s="6" t="str">
        <f aca="false">IF(P65="pass","No","Yes")</f>
        <v>Yes</v>
      </c>
      <c r="R65" s="6" t="s">
        <v>86</v>
      </c>
      <c r="S65" s="6" t="s">
        <v>866</v>
      </c>
      <c r="T65" s="6" t="s">
        <v>150</v>
      </c>
      <c r="U65" s="23" t="n">
        <v>5.819</v>
      </c>
      <c r="V65" s="6" t="s">
        <v>1223</v>
      </c>
      <c r="W65" s="6" t="s">
        <v>1224</v>
      </c>
      <c r="X65" s="6" t="s">
        <v>1225</v>
      </c>
      <c r="Y65" s="6" t="s">
        <v>86</v>
      </c>
      <c r="Z65" s="6" t="n">
        <v>1</v>
      </c>
      <c r="AA65" s="6" t="n">
        <v>0</v>
      </c>
      <c r="AB65" s="6" t="n">
        <v>0</v>
      </c>
      <c r="AC65" s="6" t="n">
        <v>0</v>
      </c>
      <c r="AD65" s="6" t="n">
        <v>0</v>
      </c>
      <c r="AE65" s="6" t="n">
        <v>0</v>
      </c>
      <c r="AF65" s="6" t="n">
        <v>0</v>
      </c>
      <c r="AG65" s="6" t="n">
        <v>0</v>
      </c>
      <c r="AH65" s="6" t="n">
        <v>0</v>
      </c>
      <c r="AI65" s="6" t="s">
        <v>84</v>
      </c>
    </row>
    <row r="66" customFormat="false" ht="15" hidden="false" customHeight="false" outlineLevel="0" collapsed="false">
      <c r="A66" s="6" t="n">
        <v>65</v>
      </c>
      <c r="B66" s="6" t="s">
        <v>1226</v>
      </c>
      <c r="C66" s="6" t="n">
        <v>2</v>
      </c>
      <c r="D66" s="6" t="s">
        <v>137</v>
      </c>
      <c r="E66" s="6" t="s">
        <v>55</v>
      </c>
      <c r="F66" s="6" t="n">
        <v>2</v>
      </c>
      <c r="G66" s="6" t="n">
        <v>24</v>
      </c>
      <c r="H66" s="6" t="s">
        <v>1227</v>
      </c>
      <c r="I66" s="22" t="n">
        <v>844200</v>
      </c>
      <c r="J66" s="22" t="n">
        <v>6000</v>
      </c>
      <c r="K66" s="22" t="n">
        <v>63765</v>
      </c>
      <c r="L66" s="22" t="n">
        <v>913965</v>
      </c>
      <c r="M66" s="6" t="s">
        <v>57</v>
      </c>
      <c r="N66" s="6" t="s">
        <v>58</v>
      </c>
      <c r="O66" s="6"/>
      <c r="P66" s="6" t="s">
        <v>69</v>
      </c>
      <c r="Q66" s="6" t="str">
        <f aca="false">IF(P66="pass","No","Yes")</f>
        <v>No</v>
      </c>
      <c r="R66" s="6" t="s">
        <v>60</v>
      </c>
      <c r="S66" s="6"/>
      <c r="T66" s="6"/>
      <c r="U66" s="23" t="n">
        <v>5.606</v>
      </c>
      <c r="V66" s="6" t="s">
        <v>1228</v>
      </c>
      <c r="W66" s="6" t="s">
        <v>1229</v>
      </c>
      <c r="X66" s="6" t="s">
        <v>1230</v>
      </c>
      <c r="Y66" s="6" t="s">
        <v>60</v>
      </c>
      <c r="Z66" s="6" t="n">
        <v>0</v>
      </c>
      <c r="AA66" s="6" t="n">
        <v>0</v>
      </c>
      <c r="AB66" s="6" t="n">
        <v>0</v>
      </c>
      <c r="AC66" s="6" t="n">
        <v>0</v>
      </c>
      <c r="AD66" s="6" t="n">
        <v>0</v>
      </c>
      <c r="AE66" s="6" t="n">
        <v>0</v>
      </c>
      <c r="AF66" s="6" t="n">
        <v>0</v>
      </c>
      <c r="AG66" s="6" t="n">
        <v>0</v>
      </c>
      <c r="AH66" s="6" t="n">
        <v>0</v>
      </c>
      <c r="AI66" s="6" t="s">
        <v>84</v>
      </c>
    </row>
    <row r="67" customFormat="false" ht="15" hidden="false" customHeight="false" outlineLevel="0" collapsed="false">
      <c r="A67" s="6" t="n">
        <v>66</v>
      </c>
      <c r="B67" s="6" t="s">
        <v>1231</v>
      </c>
      <c r="C67" s="6" t="n">
        <v>2</v>
      </c>
      <c r="D67" s="6" t="s">
        <v>89</v>
      </c>
      <c r="E67" s="6" t="s">
        <v>67</v>
      </c>
      <c r="F67" s="6" t="n">
        <v>2</v>
      </c>
      <c r="G67" s="6" t="n">
        <v>120</v>
      </c>
      <c r="H67" s="6" t="s">
        <v>1232</v>
      </c>
      <c r="I67" s="22" t="n">
        <v>864000</v>
      </c>
      <c r="J67" s="22" t="n">
        <v>4500</v>
      </c>
      <c r="K67" s="22" t="n">
        <v>65137.5</v>
      </c>
      <c r="L67" s="22" t="n">
        <v>933637.5</v>
      </c>
      <c r="M67" s="6" t="s">
        <v>272</v>
      </c>
      <c r="N67" s="6" t="s">
        <v>84</v>
      </c>
      <c r="O67" s="6" t="s">
        <v>879</v>
      </c>
      <c r="P67" s="6" t="s">
        <v>85</v>
      </c>
      <c r="Q67" s="6" t="str">
        <f aca="false">IF(P67="pass","No","Yes")</f>
        <v>Yes</v>
      </c>
      <c r="R67" s="6" t="s">
        <v>86</v>
      </c>
      <c r="S67" s="6" t="s">
        <v>1233</v>
      </c>
      <c r="T67" s="6" t="s">
        <v>1234</v>
      </c>
      <c r="U67" s="23" t="n">
        <v>8.575</v>
      </c>
      <c r="V67" s="6" t="s">
        <v>1235</v>
      </c>
      <c r="W67" s="6" t="s">
        <v>1236</v>
      </c>
      <c r="X67" s="6" t="s">
        <v>1237</v>
      </c>
      <c r="Y67" s="6" t="s">
        <v>86</v>
      </c>
      <c r="Z67" s="6" t="n">
        <v>0</v>
      </c>
      <c r="AA67" s="6" t="n">
        <v>1</v>
      </c>
      <c r="AB67" s="6" t="n">
        <v>0</v>
      </c>
      <c r="AC67" s="6" t="n">
        <v>0</v>
      </c>
      <c r="AD67" s="6" t="n">
        <v>0</v>
      </c>
      <c r="AE67" s="6" t="n">
        <v>0</v>
      </c>
      <c r="AF67" s="6" t="n">
        <v>0</v>
      </c>
      <c r="AG67" s="6" t="n">
        <v>0</v>
      </c>
      <c r="AH67" s="6" t="n">
        <v>1</v>
      </c>
      <c r="AI67" s="6" t="s">
        <v>84</v>
      </c>
    </row>
    <row r="68" customFormat="false" ht="15" hidden="false" customHeight="false" outlineLevel="0" collapsed="false">
      <c r="A68" s="6" t="n">
        <v>67</v>
      </c>
      <c r="B68" s="6" t="s">
        <v>1238</v>
      </c>
      <c r="C68" s="6" t="n">
        <v>2</v>
      </c>
      <c r="D68" s="6" t="s">
        <v>51</v>
      </c>
      <c r="E68" s="6" t="s">
        <v>55</v>
      </c>
      <c r="F68" s="6" t="n">
        <v>4</v>
      </c>
      <c r="G68" s="6" t="n">
        <v>86</v>
      </c>
      <c r="H68" s="6" t="s">
        <v>1239</v>
      </c>
      <c r="I68" s="22" t="n">
        <v>1139900</v>
      </c>
      <c r="J68" s="22" t="n">
        <v>6000</v>
      </c>
      <c r="K68" s="22" t="n">
        <v>85942.5</v>
      </c>
      <c r="L68" s="22" t="n">
        <v>1231842.5</v>
      </c>
      <c r="M68" s="6" t="s">
        <v>83</v>
      </c>
      <c r="N68" s="6" t="s">
        <v>84</v>
      </c>
      <c r="O68" s="6" t="s">
        <v>886</v>
      </c>
      <c r="P68" s="6" t="s">
        <v>85</v>
      </c>
      <c r="Q68" s="6" t="str">
        <f aca="false">IF(P68="pass","No","Yes")</f>
        <v>Yes</v>
      </c>
      <c r="R68" s="6" t="s">
        <v>86</v>
      </c>
      <c r="S68" s="6" t="s">
        <v>886</v>
      </c>
      <c r="T68" s="6" t="s">
        <v>268</v>
      </c>
      <c r="U68" s="23" t="n">
        <v>7.518</v>
      </c>
      <c r="V68" s="6" t="s">
        <v>1240</v>
      </c>
      <c r="W68" s="6" t="s">
        <v>1241</v>
      </c>
      <c r="X68" s="6" t="s">
        <v>1242</v>
      </c>
      <c r="Y68" s="6" t="s">
        <v>86</v>
      </c>
      <c r="Z68" s="6" t="n">
        <v>0</v>
      </c>
      <c r="AA68" s="6" t="n">
        <v>0</v>
      </c>
      <c r="AB68" s="6" t="n">
        <v>1</v>
      </c>
      <c r="AC68" s="6" t="n">
        <v>0</v>
      </c>
      <c r="AD68" s="6" t="n">
        <v>0</v>
      </c>
      <c r="AE68" s="6" t="n">
        <v>0</v>
      </c>
      <c r="AF68" s="6" t="n">
        <v>0</v>
      </c>
      <c r="AG68" s="6" t="n">
        <v>0</v>
      </c>
      <c r="AH68" s="6" t="n">
        <v>0</v>
      </c>
      <c r="AI68" s="6" t="s">
        <v>84</v>
      </c>
    </row>
    <row r="69" customFormat="false" ht="15" hidden="false" customHeight="false" outlineLevel="0" collapsed="false">
      <c r="A69" s="6" t="n">
        <v>68</v>
      </c>
      <c r="B69" s="6" t="s">
        <v>1243</v>
      </c>
      <c r="C69" s="6" t="n">
        <v>2</v>
      </c>
      <c r="D69" s="6" t="s">
        <v>119</v>
      </c>
      <c r="E69" s="6" t="s">
        <v>123</v>
      </c>
      <c r="F69" s="6" t="n">
        <v>3</v>
      </c>
      <c r="G69" s="6" t="n">
        <v>155</v>
      </c>
      <c r="H69" s="6" t="s">
        <v>1244</v>
      </c>
      <c r="I69" s="22" t="n">
        <v>1659200</v>
      </c>
      <c r="J69" s="22" t="n">
        <v>5000</v>
      </c>
      <c r="K69" s="22" t="n">
        <v>124815</v>
      </c>
      <c r="L69" s="22" t="n">
        <v>1789015</v>
      </c>
      <c r="M69" s="6" t="s">
        <v>1042</v>
      </c>
      <c r="N69" s="6" t="s">
        <v>58</v>
      </c>
      <c r="O69" s="6"/>
      <c r="P69" s="6" t="s">
        <v>59</v>
      </c>
      <c r="Q69" s="6" t="str">
        <f aca="false">IF(P69="pass","No","Yes")</f>
        <v>Yes</v>
      </c>
      <c r="R69" s="6" t="s">
        <v>60</v>
      </c>
      <c r="S69" s="6" t="s">
        <v>915</v>
      </c>
      <c r="T69" s="6" t="s">
        <v>1245</v>
      </c>
      <c r="U69" s="23" t="n">
        <v>11.228</v>
      </c>
      <c r="V69" s="6" t="s">
        <v>1246</v>
      </c>
      <c r="W69" s="6" t="s">
        <v>1247</v>
      </c>
      <c r="X69" s="6" t="s">
        <v>1248</v>
      </c>
      <c r="Y69" s="6" t="s">
        <v>60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0</v>
      </c>
      <c r="AF69" s="6" t="n">
        <v>0</v>
      </c>
      <c r="AG69" s="6" t="n">
        <v>0</v>
      </c>
      <c r="AH69" s="6" t="n">
        <v>1</v>
      </c>
      <c r="AI69" s="6" t="s">
        <v>84</v>
      </c>
    </row>
    <row r="70" customFormat="false" ht="15" hidden="false" customHeight="false" outlineLevel="0" collapsed="false">
      <c r="A70" s="6" t="n">
        <v>69</v>
      </c>
      <c r="B70" s="6" t="s">
        <v>1249</v>
      </c>
      <c r="C70" s="6" t="n">
        <v>2</v>
      </c>
      <c r="D70" s="6" t="s">
        <v>154</v>
      </c>
      <c r="E70" s="6" t="s">
        <v>123</v>
      </c>
      <c r="F70" s="6" t="n">
        <v>2</v>
      </c>
      <c r="G70" s="6" t="n">
        <v>537</v>
      </c>
      <c r="H70" s="6" t="s">
        <v>1250</v>
      </c>
      <c r="I70" s="22" t="n">
        <v>2405100</v>
      </c>
      <c r="J70" s="22" t="n">
        <v>5000</v>
      </c>
      <c r="K70" s="22" t="n">
        <v>180757.5</v>
      </c>
      <c r="L70" s="22" t="n">
        <v>2590857.5</v>
      </c>
      <c r="M70" s="6" t="s">
        <v>159</v>
      </c>
      <c r="N70" s="6" t="s">
        <v>84</v>
      </c>
      <c r="O70" s="6" t="s">
        <v>886</v>
      </c>
      <c r="P70" s="6" t="s">
        <v>85</v>
      </c>
      <c r="Q70" s="6" t="str">
        <f aca="false">IF(P70="pass","No","Yes")</f>
        <v>Yes</v>
      </c>
      <c r="R70" s="6" t="s">
        <v>86</v>
      </c>
      <c r="S70" s="6" t="s">
        <v>934</v>
      </c>
      <c r="T70" s="6" t="s">
        <v>302</v>
      </c>
      <c r="U70" s="23" t="n">
        <v>5.49</v>
      </c>
      <c r="V70" s="6" t="s">
        <v>1251</v>
      </c>
      <c r="W70" s="6" t="s">
        <v>1252</v>
      </c>
      <c r="X70" s="6" t="s">
        <v>1253</v>
      </c>
      <c r="Y70" s="6" t="s">
        <v>86</v>
      </c>
      <c r="Z70" s="6" t="n">
        <v>0</v>
      </c>
      <c r="AA70" s="6" t="n">
        <v>0</v>
      </c>
      <c r="AB70" s="6" t="n">
        <v>1</v>
      </c>
      <c r="AC70" s="6" t="n">
        <v>1</v>
      </c>
      <c r="AD70" s="6" t="n">
        <v>0</v>
      </c>
      <c r="AE70" s="6" t="n">
        <v>0</v>
      </c>
      <c r="AF70" s="6" t="n">
        <v>0</v>
      </c>
      <c r="AG70" s="6" t="n">
        <v>0</v>
      </c>
      <c r="AH70" s="6" t="n">
        <v>0</v>
      </c>
      <c r="AI70" s="6" t="s">
        <v>84</v>
      </c>
    </row>
    <row r="71" customFormat="false" ht="15" hidden="false" customHeight="false" outlineLevel="0" collapsed="false">
      <c r="A71" s="6" t="n">
        <v>70</v>
      </c>
      <c r="B71" s="6" t="s">
        <v>1254</v>
      </c>
      <c r="C71" s="6" t="n">
        <v>2</v>
      </c>
      <c r="D71" s="6" t="s">
        <v>70</v>
      </c>
      <c r="E71" s="6" t="s">
        <v>74</v>
      </c>
      <c r="F71" s="6" t="n">
        <v>2</v>
      </c>
      <c r="G71" s="6" t="n">
        <v>81</v>
      </c>
      <c r="H71" s="6" t="s">
        <v>1255</v>
      </c>
      <c r="I71" s="22" t="n">
        <v>1153700</v>
      </c>
      <c r="J71" s="22" t="n">
        <v>9000</v>
      </c>
      <c r="K71" s="22" t="n">
        <v>87202.5</v>
      </c>
      <c r="L71" s="22" t="n">
        <v>1249902.5</v>
      </c>
      <c r="M71" s="6" t="s">
        <v>1042</v>
      </c>
      <c r="N71" s="6" t="s">
        <v>58</v>
      </c>
      <c r="O71" s="6"/>
      <c r="P71" s="6" t="s">
        <v>69</v>
      </c>
      <c r="Q71" s="6" t="str">
        <f aca="false">IF(P71="pass","No","Yes")</f>
        <v>No</v>
      </c>
      <c r="R71" s="6" t="s">
        <v>60</v>
      </c>
      <c r="S71" s="6"/>
      <c r="T71" s="6"/>
      <c r="U71" s="23" t="n">
        <v>5.598</v>
      </c>
      <c r="V71" s="6" t="s">
        <v>1256</v>
      </c>
      <c r="W71" s="6" t="s">
        <v>1257</v>
      </c>
      <c r="X71" s="6" t="s">
        <v>1258</v>
      </c>
      <c r="Y71" s="6" t="s">
        <v>60</v>
      </c>
      <c r="Z71" s="6" t="n">
        <v>0</v>
      </c>
      <c r="AA71" s="6" t="n">
        <v>0</v>
      </c>
      <c r="AB71" s="6" t="n">
        <v>0</v>
      </c>
      <c r="AC71" s="6" t="n">
        <v>0</v>
      </c>
      <c r="AD71" s="6" t="n">
        <v>0</v>
      </c>
      <c r="AE71" s="6" t="n">
        <v>0</v>
      </c>
      <c r="AF71" s="6" t="n">
        <v>0</v>
      </c>
      <c r="AG71" s="6" t="n">
        <v>0</v>
      </c>
      <c r="AH71" s="6" t="n">
        <v>0</v>
      </c>
      <c r="AI71" s="6" t="s">
        <v>84</v>
      </c>
    </row>
    <row r="72" customFormat="false" ht="15" hidden="false" customHeight="false" outlineLevel="0" collapsed="false">
      <c r="A72" s="6" t="n">
        <v>71</v>
      </c>
      <c r="B72" s="6" t="s">
        <v>1259</v>
      </c>
      <c r="C72" s="6" t="n">
        <v>2</v>
      </c>
      <c r="D72" s="6" t="s">
        <v>100</v>
      </c>
      <c r="E72" s="6" t="s">
        <v>67</v>
      </c>
      <c r="F72" s="6" t="n">
        <v>2</v>
      </c>
      <c r="G72" s="6" t="n">
        <v>182</v>
      </c>
      <c r="H72" s="6" t="s">
        <v>1260</v>
      </c>
      <c r="I72" s="22" t="n">
        <v>1897000</v>
      </c>
      <c r="J72" s="22" t="n">
        <v>4500</v>
      </c>
      <c r="K72" s="22" t="n">
        <v>142612.5</v>
      </c>
      <c r="L72" s="22" t="n">
        <v>2044112.5</v>
      </c>
      <c r="M72" s="6" t="s">
        <v>57</v>
      </c>
      <c r="N72" s="6" t="s">
        <v>58</v>
      </c>
      <c r="O72" s="6"/>
      <c r="P72" s="6" t="s">
        <v>59</v>
      </c>
      <c r="Q72" s="6" t="str">
        <f aca="false">IF(P72="pass","No","Yes")</f>
        <v>Yes</v>
      </c>
      <c r="R72" s="6" t="s">
        <v>60</v>
      </c>
      <c r="S72" s="6" t="s">
        <v>915</v>
      </c>
      <c r="T72" s="6" t="s">
        <v>1261</v>
      </c>
      <c r="U72" s="23" t="n">
        <v>10.546</v>
      </c>
      <c r="V72" s="6" t="s">
        <v>1262</v>
      </c>
      <c r="W72" s="6" t="s">
        <v>1263</v>
      </c>
      <c r="X72" s="6" t="s">
        <v>1264</v>
      </c>
      <c r="Y72" s="6" t="s">
        <v>60</v>
      </c>
      <c r="Z72" s="6" t="n">
        <v>0</v>
      </c>
      <c r="AA72" s="6" t="n">
        <v>0</v>
      </c>
      <c r="AB72" s="6" t="n">
        <v>0</v>
      </c>
      <c r="AC72" s="6" t="n">
        <v>0</v>
      </c>
      <c r="AD72" s="6" t="n">
        <v>0</v>
      </c>
      <c r="AE72" s="6" t="n">
        <v>0</v>
      </c>
      <c r="AF72" s="6" t="n">
        <v>0</v>
      </c>
      <c r="AG72" s="6" t="n">
        <v>0</v>
      </c>
      <c r="AH72" s="6" t="n">
        <v>1</v>
      </c>
      <c r="AI72" s="6" t="s">
        <v>84</v>
      </c>
    </row>
    <row r="73" customFormat="false" ht="15" hidden="false" customHeight="false" outlineLevel="0" collapsed="false">
      <c r="A73" s="6" t="n">
        <v>72</v>
      </c>
      <c r="B73" s="6" t="s">
        <v>1265</v>
      </c>
      <c r="C73" s="6" t="n">
        <v>2</v>
      </c>
      <c r="D73" s="6" t="s">
        <v>105</v>
      </c>
      <c r="E73" s="6" t="s">
        <v>81</v>
      </c>
      <c r="F73" s="6" t="n">
        <v>1</v>
      </c>
      <c r="G73" s="6" t="n">
        <v>11</v>
      </c>
      <c r="H73" s="6" t="s">
        <v>1266</v>
      </c>
      <c r="I73" s="22" t="n">
        <v>418000</v>
      </c>
      <c r="J73" s="22" t="n">
        <v>4000</v>
      </c>
      <c r="K73" s="22" t="n">
        <v>31650</v>
      </c>
      <c r="L73" s="22" t="n">
        <v>453650</v>
      </c>
      <c r="M73" s="6" t="s">
        <v>57</v>
      </c>
      <c r="N73" s="6" t="s">
        <v>58</v>
      </c>
      <c r="O73" s="6"/>
      <c r="P73" s="6" t="s">
        <v>69</v>
      </c>
      <c r="Q73" s="6" t="str">
        <f aca="false">IF(P73="pass","No","Yes")</f>
        <v>No</v>
      </c>
      <c r="R73" s="6" t="s">
        <v>60</v>
      </c>
      <c r="S73" s="6"/>
      <c r="T73" s="6"/>
      <c r="U73" s="23" t="n">
        <v>5.291</v>
      </c>
      <c r="V73" s="6" t="s">
        <v>1267</v>
      </c>
      <c r="W73" s="6" t="s">
        <v>1268</v>
      </c>
      <c r="X73" s="6" t="s">
        <v>1269</v>
      </c>
      <c r="Y73" s="6" t="s">
        <v>60</v>
      </c>
      <c r="Z73" s="6" t="n">
        <v>0</v>
      </c>
      <c r="AA73" s="6" t="n">
        <v>0</v>
      </c>
      <c r="AB73" s="6" t="n">
        <v>0</v>
      </c>
      <c r="AC73" s="6" t="n">
        <v>0</v>
      </c>
      <c r="AD73" s="6" t="n">
        <v>0</v>
      </c>
      <c r="AE73" s="6" t="n">
        <v>0</v>
      </c>
      <c r="AF73" s="6" t="n">
        <v>0</v>
      </c>
      <c r="AG73" s="6" t="n">
        <v>0</v>
      </c>
      <c r="AH73" s="6" t="n">
        <v>0</v>
      </c>
      <c r="AI73" s="6" t="s">
        <v>84</v>
      </c>
    </row>
    <row r="74" customFormat="false" ht="15" hidden="false" customHeight="false" outlineLevel="0" collapsed="false">
      <c r="A74" s="6" t="n">
        <v>73</v>
      </c>
      <c r="B74" s="6" t="s">
        <v>1270</v>
      </c>
      <c r="C74" s="6" t="n">
        <v>2</v>
      </c>
      <c r="D74" s="6" t="s">
        <v>127</v>
      </c>
      <c r="E74" s="6" t="s">
        <v>55</v>
      </c>
      <c r="F74" s="6" t="n">
        <v>3</v>
      </c>
      <c r="G74" s="6" t="n">
        <v>133</v>
      </c>
      <c r="H74" s="6" t="s">
        <v>1271</v>
      </c>
      <c r="I74" s="22" t="n">
        <v>1677200</v>
      </c>
      <c r="J74" s="22" t="n">
        <v>6000</v>
      </c>
      <c r="K74" s="22" t="n">
        <v>126240</v>
      </c>
      <c r="L74" s="22" t="n">
        <v>1809440</v>
      </c>
      <c r="M74" s="6" t="s">
        <v>57</v>
      </c>
      <c r="N74" s="6" t="s">
        <v>58</v>
      </c>
      <c r="O74" s="6"/>
      <c r="P74" s="6" t="s">
        <v>59</v>
      </c>
      <c r="Q74" s="6" t="str">
        <f aca="false">IF(P74="pass","No","Yes")</f>
        <v>Yes</v>
      </c>
      <c r="R74" s="6" t="s">
        <v>60</v>
      </c>
      <c r="S74" s="6" t="s">
        <v>915</v>
      </c>
      <c r="T74" s="6" t="s">
        <v>1272</v>
      </c>
      <c r="U74" s="23" t="n">
        <v>11.742</v>
      </c>
      <c r="V74" s="6" t="s">
        <v>1273</v>
      </c>
      <c r="W74" s="6" t="s">
        <v>1274</v>
      </c>
      <c r="X74" s="6" t="s">
        <v>1275</v>
      </c>
      <c r="Y74" s="6" t="s">
        <v>60</v>
      </c>
      <c r="Z74" s="6" t="n">
        <v>0</v>
      </c>
      <c r="AA74" s="6" t="n">
        <v>0</v>
      </c>
      <c r="AB74" s="6" t="n">
        <v>0</v>
      </c>
      <c r="AC74" s="6" t="n">
        <v>0</v>
      </c>
      <c r="AD74" s="6" t="n">
        <v>0</v>
      </c>
      <c r="AE74" s="6" t="n">
        <v>0</v>
      </c>
      <c r="AF74" s="6" t="n">
        <v>0</v>
      </c>
      <c r="AG74" s="6" t="n">
        <v>0</v>
      </c>
      <c r="AH74" s="6" t="n">
        <v>1</v>
      </c>
      <c r="AI74" s="6" t="s">
        <v>84</v>
      </c>
    </row>
    <row r="75" customFormat="false" ht="15" hidden="false" customHeight="false" outlineLevel="0" collapsed="false">
      <c r="A75" s="6" t="n">
        <v>74</v>
      </c>
      <c r="B75" s="6" t="s">
        <v>1276</v>
      </c>
      <c r="C75" s="6" t="n">
        <v>2</v>
      </c>
      <c r="D75" s="6" t="s">
        <v>63</v>
      </c>
      <c r="E75" s="6" t="s">
        <v>67</v>
      </c>
      <c r="F75" s="6" t="n">
        <v>3</v>
      </c>
      <c r="G75" s="6" t="n">
        <v>58</v>
      </c>
      <c r="H75" s="6" t="s">
        <v>1277</v>
      </c>
      <c r="I75" s="22" t="n">
        <v>1166800</v>
      </c>
      <c r="J75" s="22" t="n">
        <v>4500</v>
      </c>
      <c r="K75" s="22" t="n">
        <v>87847.5</v>
      </c>
      <c r="L75" s="22" t="n">
        <v>1259147.5</v>
      </c>
      <c r="M75" s="6" t="s">
        <v>272</v>
      </c>
      <c r="N75" s="6" t="s">
        <v>84</v>
      </c>
      <c r="O75" s="6" t="s">
        <v>879</v>
      </c>
      <c r="P75" s="6" t="s">
        <v>85</v>
      </c>
      <c r="Q75" s="6" t="str">
        <f aca="false">IF(P75="pass","No","Yes")</f>
        <v>Yes</v>
      </c>
      <c r="R75" s="6" t="s">
        <v>86</v>
      </c>
      <c r="S75" s="6" t="s">
        <v>879</v>
      </c>
      <c r="T75" s="6" t="s">
        <v>1278</v>
      </c>
      <c r="U75" s="23" t="n">
        <v>4.878</v>
      </c>
      <c r="V75" s="6" t="s">
        <v>1279</v>
      </c>
      <c r="W75" s="6" t="s">
        <v>1280</v>
      </c>
      <c r="X75" s="6" t="s">
        <v>1281</v>
      </c>
      <c r="Y75" s="6" t="s">
        <v>86</v>
      </c>
      <c r="Z75" s="6" t="n">
        <v>0</v>
      </c>
      <c r="AA75" s="6" t="n">
        <v>1</v>
      </c>
      <c r="AB75" s="6" t="n">
        <v>0</v>
      </c>
      <c r="AC75" s="6" t="n">
        <v>0</v>
      </c>
      <c r="AD75" s="6" t="n">
        <v>0</v>
      </c>
      <c r="AE75" s="6" t="n">
        <v>0</v>
      </c>
      <c r="AF75" s="6" t="n">
        <v>0</v>
      </c>
      <c r="AG75" s="6" t="n">
        <v>0</v>
      </c>
      <c r="AH75" s="6" t="n">
        <v>0</v>
      </c>
      <c r="AI75" s="6" t="s">
        <v>84</v>
      </c>
    </row>
    <row r="76" customFormat="false" ht="15" hidden="false" customHeight="false" outlineLevel="0" collapsed="false">
      <c r="A76" s="6" t="n">
        <v>75</v>
      </c>
      <c r="B76" s="6" t="s">
        <v>1282</v>
      </c>
      <c r="C76" s="6" t="n">
        <v>2</v>
      </c>
      <c r="D76" s="6" t="s">
        <v>213</v>
      </c>
      <c r="E76" s="6" t="s">
        <v>67</v>
      </c>
      <c r="F76" s="6" t="n">
        <v>1</v>
      </c>
      <c r="G76" s="6" t="n">
        <v>64</v>
      </c>
      <c r="H76" s="6" t="s">
        <v>1118</v>
      </c>
      <c r="I76" s="22" t="n">
        <v>755200</v>
      </c>
      <c r="J76" s="22" t="n">
        <v>4500</v>
      </c>
      <c r="K76" s="22" t="n">
        <v>56977.5</v>
      </c>
      <c r="L76" s="22" t="n">
        <v>816677.5</v>
      </c>
      <c r="M76" s="6" t="s">
        <v>960</v>
      </c>
      <c r="N76" s="6" t="s">
        <v>84</v>
      </c>
      <c r="O76" s="6" t="s">
        <v>961</v>
      </c>
      <c r="P76" s="6" t="s">
        <v>85</v>
      </c>
      <c r="Q76" s="6" t="str">
        <f aca="false">IF(P76="pass","No","Yes")</f>
        <v>Yes</v>
      </c>
      <c r="R76" s="6" t="s">
        <v>86</v>
      </c>
      <c r="S76" s="6" t="s">
        <v>961</v>
      </c>
      <c r="T76" s="6" t="s">
        <v>962</v>
      </c>
      <c r="U76" s="23" t="n">
        <v>3.775</v>
      </c>
      <c r="V76" s="6" t="s">
        <v>1283</v>
      </c>
      <c r="W76" s="6" t="s">
        <v>1284</v>
      </c>
      <c r="X76" s="6" t="s">
        <v>1285</v>
      </c>
      <c r="Y76" s="6" t="s">
        <v>86</v>
      </c>
      <c r="Z76" s="6" t="n">
        <v>0</v>
      </c>
      <c r="AA76" s="6" t="n">
        <v>0</v>
      </c>
      <c r="AB76" s="6" t="n">
        <v>0</v>
      </c>
      <c r="AC76" s="6" t="n">
        <v>0</v>
      </c>
      <c r="AD76" s="6" t="n">
        <v>1</v>
      </c>
      <c r="AE76" s="6" t="n">
        <v>0</v>
      </c>
      <c r="AF76" s="6" t="n">
        <v>0</v>
      </c>
      <c r="AG76" s="6" t="n">
        <v>0</v>
      </c>
      <c r="AH76" s="6" t="n">
        <v>0</v>
      </c>
      <c r="AI76" s="6" t="s">
        <v>84</v>
      </c>
    </row>
    <row r="77" customFormat="false" ht="15" hidden="false" customHeight="false" outlineLevel="0" collapsed="false">
      <c r="A77" s="6" t="n">
        <v>76</v>
      </c>
      <c r="B77" s="6" t="s">
        <v>1286</v>
      </c>
      <c r="C77" s="6" t="n">
        <v>2</v>
      </c>
      <c r="D77" s="6" t="s">
        <v>142</v>
      </c>
      <c r="E77" s="6" t="s">
        <v>74</v>
      </c>
      <c r="F77" s="6" t="n">
        <v>2</v>
      </c>
      <c r="G77" s="6" t="n">
        <v>3</v>
      </c>
      <c r="H77" s="6" t="s">
        <v>1287</v>
      </c>
      <c r="I77" s="22" t="n">
        <v>193200</v>
      </c>
      <c r="J77" s="22" t="n">
        <v>9000</v>
      </c>
      <c r="K77" s="22" t="n">
        <v>15165</v>
      </c>
      <c r="L77" s="22" t="n">
        <v>217365</v>
      </c>
      <c r="M77" s="6" t="s">
        <v>132</v>
      </c>
      <c r="N77" s="6" t="s">
        <v>84</v>
      </c>
      <c r="O77" s="6" t="s">
        <v>879</v>
      </c>
      <c r="P77" s="6" t="s">
        <v>85</v>
      </c>
      <c r="Q77" s="6" t="str">
        <f aca="false">IF(P77="pass","No","Yes")</f>
        <v>Yes</v>
      </c>
      <c r="R77" s="6" t="s">
        <v>86</v>
      </c>
      <c r="S77" s="6" t="s">
        <v>880</v>
      </c>
      <c r="T77" s="6" t="s">
        <v>134</v>
      </c>
      <c r="U77" s="23" t="n">
        <v>4.813</v>
      </c>
      <c r="V77" s="6" t="s">
        <v>1288</v>
      </c>
      <c r="W77" s="6" t="s">
        <v>1289</v>
      </c>
      <c r="X77" s="6" t="s">
        <v>1290</v>
      </c>
      <c r="Y77" s="6" t="s">
        <v>86</v>
      </c>
      <c r="Z77" s="6" t="n">
        <v>0</v>
      </c>
      <c r="AA77" s="6" t="n">
        <v>1</v>
      </c>
      <c r="AB77" s="6" t="n">
        <v>0</v>
      </c>
      <c r="AC77" s="6" t="n">
        <v>1</v>
      </c>
      <c r="AD77" s="6" t="n">
        <v>0</v>
      </c>
      <c r="AE77" s="6" t="n">
        <v>0</v>
      </c>
      <c r="AF77" s="6" t="n">
        <v>0</v>
      </c>
      <c r="AG77" s="6" t="n">
        <v>0</v>
      </c>
      <c r="AH77" s="6" t="n">
        <v>0</v>
      </c>
      <c r="AI77" s="6" t="s">
        <v>84</v>
      </c>
    </row>
    <row r="78" customFormat="false" ht="15" hidden="false" customHeight="false" outlineLevel="0" collapsed="false">
      <c r="A78" s="6" t="n">
        <v>77</v>
      </c>
      <c r="B78" s="6" t="s">
        <v>1291</v>
      </c>
      <c r="C78" s="6" t="n">
        <v>2</v>
      </c>
      <c r="D78" s="6" t="s">
        <v>127</v>
      </c>
      <c r="E78" s="6" t="s">
        <v>55</v>
      </c>
      <c r="F78" s="6" t="n">
        <v>3</v>
      </c>
      <c r="G78" s="6" t="n">
        <v>133</v>
      </c>
      <c r="H78" s="6" t="s">
        <v>1271</v>
      </c>
      <c r="I78" s="22" t="n">
        <v>1677200</v>
      </c>
      <c r="J78" s="22" t="n">
        <v>6000</v>
      </c>
      <c r="K78" s="22" t="n">
        <v>126240</v>
      </c>
      <c r="L78" s="22" t="n">
        <v>1809440</v>
      </c>
      <c r="M78" s="6" t="s">
        <v>97</v>
      </c>
      <c r="N78" s="6" t="s">
        <v>84</v>
      </c>
      <c r="O78" s="6" t="s">
        <v>1185</v>
      </c>
      <c r="P78" s="6" t="s">
        <v>59</v>
      </c>
      <c r="Q78" s="6" t="str">
        <f aca="false">IF(P78="pass","No","Yes")</f>
        <v>Yes</v>
      </c>
      <c r="R78" s="6" t="s">
        <v>98</v>
      </c>
      <c r="S78" s="6" t="s">
        <v>1186</v>
      </c>
      <c r="T78" s="6" t="s">
        <v>1292</v>
      </c>
      <c r="U78" s="23" t="n">
        <v>12.193</v>
      </c>
      <c r="V78" s="6" t="s">
        <v>1293</v>
      </c>
      <c r="W78" s="6"/>
      <c r="X78" s="6" t="s">
        <v>1293</v>
      </c>
      <c r="Y78" s="6" t="s">
        <v>98</v>
      </c>
      <c r="Z78" s="6" t="n">
        <v>0</v>
      </c>
      <c r="AA78" s="6" t="n">
        <v>0</v>
      </c>
      <c r="AB78" s="6" t="n">
        <v>0</v>
      </c>
      <c r="AC78" s="6" t="n">
        <v>0</v>
      </c>
      <c r="AD78" s="6" t="n">
        <v>0</v>
      </c>
      <c r="AE78" s="6" t="n">
        <v>0</v>
      </c>
      <c r="AF78" s="6" t="n">
        <v>0</v>
      </c>
      <c r="AG78" s="6" t="n">
        <v>1</v>
      </c>
      <c r="AH78" s="6" t="n">
        <v>1</v>
      </c>
      <c r="AI78" s="6" t="s">
        <v>84</v>
      </c>
    </row>
    <row r="79" customFormat="false" ht="15" hidden="false" customHeight="false" outlineLevel="0" collapsed="false">
      <c r="A79" s="6" t="n">
        <v>78</v>
      </c>
      <c r="B79" s="6" t="s">
        <v>1294</v>
      </c>
      <c r="C79" s="6" t="n">
        <v>2</v>
      </c>
      <c r="D79" s="6" t="s">
        <v>63</v>
      </c>
      <c r="E79" s="6" t="s">
        <v>67</v>
      </c>
      <c r="F79" s="6" t="n">
        <v>2</v>
      </c>
      <c r="G79" s="6" t="n">
        <v>45</v>
      </c>
      <c r="H79" s="6" t="s">
        <v>1295</v>
      </c>
      <c r="I79" s="22" t="n">
        <v>416700</v>
      </c>
      <c r="J79" s="22" t="n">
        <v>4500</v>
      </c>
      <c r="K79" s="22" t="n">
        <v>31590</v>
      </c>
      <c r="L79" s="22" t="n">
        <v>452790</v>
      </c>
      <c r="M79" s="6" t="s">
        <v>57</v>
      </c>
      <c r="N79" s="6" t="s">
        <v>58</v>
      </c>
      <c r="O79" s="6"/>
      <c r="P79" s="6" t="s">
        <v>69</v>
      </c>
      <c r="Q79" s="6" t="str">
        <f aca="false">IF(P79="pass","No","Yes")</f>
        <v>No</v>
      </c>
      <c r="R79" s="6" t="s">
        <v>60</v>
      </c>
      <c r="S79" s="6"/>
      <c r="T79" s="6"/>
      <c r="U79" s="23" t="n">
        <v>11.563</v>
      </c>
      <c r="V79" s="6" t="s">
        <v>1296</v>
      </c>
      <c r="W79" s="6" t="s">
        <v>1297</v>
      </c>
      <c r="X79" s="6" t="s">
        <v>1298</v>
      </c>
      <c r="Y79" s="6" t="s">
        <v>60</v>
      </c>
      <c r="Z79" s="6" t="n">
        <v>0</v>
      </c>
      <c r="AA79" s="6" t="n">
        <v>0</v>
      </c>
      <c r="AB79" s="6" t="n">
        <v>0</v>
      </c>
      <c r="AC79" s="6" t="n">
        <v>0</v>
      </c>
      <c r="AD79" s="6" t="n">
        <v>0</v>
      </c>
      <c r="AE79" s="6" t="n">
        <v>0</v>
      </c>
      <c r="AF79" s="6" t="n">
        <v>0</v>
      </c>
      <c r="AG79" s="6" t="n">
        <v>0</v>
      </c>
      <c r="AH79" s="6" t="n">
        <v>0</v>
      </c>
      <c r="AI79" s="6" t="s">
        <v>84</v>
      </c>
    </row>
    <row r="80" customFormat="false" ht="15" hidden="false" customHeight="false" outlineLevel="0" collapsed="false">
      <c r="A80" s="6" t="n">
        <v>79</v>
      </c>
      <c r="B80" s="6" t="s">
        <v>1299</v>
      </c>
      <c r="C80" s="6" t="n">
        <v>2</v>
      </c>
      <c r="D80" s="6" t="s">
        <v>77</v>
      </c>
      <c r="E80" s="6" t="s">
        <v>81</v>
      </c>
      <c r="F80" s="6" t="n">
        <v>1</v>
      </c>
      <c r="G80" s="6" t="n">
        <v>9</v>
      </c>
      <c r="H80" s="6" t="s">
        <v>1300</v>
      </c>
      <c r="I80" s="22" t="n">
        <v>468000</v>
      </c>
      <c r="J80" s="22" t="n">
        <v>4000</v>
      </c>
      <c r="K80" s="22" t="n">
        <v>35400</v>
      </c>
      <c r="L80" s="22" t="n">
        <v>507400</v>
      </c>
      <c r="M80" s="6" t="s">
        <v>57</v>
      </c>
      <c r="N80" s="6" t="s">
        <v>58</v>
      </c>
      <c r="O80" s="6"/>
      <c r="P80" s="6" t="s">
        <v>69</v>
      </c>
      <c r="Q80" s="6" t="str">
        <f aca="false">IF(P80="pass","No","Yes")</f>
        <v>No</v>
      </c>
      <c r="R80" s="6" t="s">
        <v>60</v>
      </c>
      <c r="S80" s="6"/>
      <c r="T80" s="6"/>
      <c r="U80" s="23" t="n">
        <v>4.614</v>
      </c>
      <c r="V80" s="6" t="s">
        <v>1301</v>
      </c>
      <c r="W80" s="6" t="s">
        <v>1302</v>
      </c>
      <c r="X80" s="6" t="s">
        <v>1303</v>
      </c>
      <c r="Y80" s="6" t="s">
        <v>60</v>
      </c>
      <c r="Z80" s="6" t="n">
        <v>0</v>
      </c>
      <c r="AA80" s="6" t="n">
        <v>0</v>
      </c>
      <c r="AB80" s="6" t="n">
        <v>0</v>
      </c>
      <c r="AC80" s="6" t="n">
        <v>0</v>
      </c>
      <c r="AD80" s="6" t="n">
        <v>0</v>
      </c>
      <c r="AE80" s="6" t="n">
        <v>0</v>
      </c>
      <c r="AF80" s="6" t="n">
        <v>0</v>
      </c>
      <c r="AG80" s="6" t="n">
        <v>0</v>
      </c>
      <c r="AH80" s="6" t="n">
        <v>0</v>
      </c>
      <c r="AI80" s="6" t="s">
        <v>84</v>
      </c>
    </row>
    <row r="81" customFormat="false" ht="15" hidden="false" customHeight="false" outlineLevel="0" collapsed="false">
      <c r="A81" s="6" t="n">
        <v>80</v>
      </c>
      <c r="B81" s="6" t="s">
        <v>1304</v>
      </c>
      <c r="C81" s="6" t="n">
        <v>2</v>
      </c>
      <c r="D81" s="6" t="s">
        <v>154</v>
      </c>
      <c r="E81" s="6" t="s">
        <v>123</v>
      </c>
      <c r="F81" s="6" t="n">
        <v>1</v>
      </c>
      <c r="G81" s="6" t="n">
        <v>100</v>
      </c>
      <c r="H81" s="6" t="s">
        <v>1305</v>
      </c>
      <c r="I81" s="22" t="n">
        <v>720000</v>
      </c>
      <c r="J81" s="22" t="n">
        <v>5000</v>
      </c>
      <c r="K81" s="22" t="n">
        <v>54375</v>
      </c>
      <c r="L81" s="22" t="n">
        <v>779375</v>
      </c>
      <c r="M81" s="6" t="s">
        <v>960</v>
      </c>
      <c r="N81" s="6" t="s">
        <v>84</v>
      </c>
      <c r="O81" s="6" t="s">
        <v>961</v>
      </c>
      <c r="P81" s="6" t="s">
        <v>85</v>
      </c>
      <c r="Q81" s="6" t="str">
        <f aca="false">IF(P81="pass","No","Yes")</f>
        <v>Yes</v>
      </c>
      <c r="R81" s="6" t="s">
        <v>86</v>
      </c>
      <c r="S81" s="6" t="s">
        <v>1306</v>
      </c>
      <c r="T81" s="6" t="s">
        <v>1307</v>
      </c>
      <c r="U81" s="23" t="n">
        <v>9.481</v>
      </c>
      <c r="V81" s="6" t="s">
        <v>1308</v>
      </c>
      <c r="W81" s="6" t="s">
        <v>1309</v>
      </c>
      <c r="X81" s="6" t="s">
        <v>1310</v>
      </c>
      <c r="Y81" s="6" t="s">
        <v>86</v>
      </c>
      <c r="Z81" s="6" t="n">
        <v>0</v>
      </c>
      <c r="AA81" s="6" t="n">
        <v>0</v>
      </c>
      <c r="AB81" s="6" t="n">
        <v>0</v>
      </c>
      <c r="AC81" s="6" t="n">
        <v>0</v>
      </c>
      <c r="AD81" s="6" t="n">
        <v>1</v>
      </c>
      <c r="AE81" s="6" t="n">
        <v>0</v>
      </c>
      <c r="AF81" s="6" t="n">
        <v>0</v>
      </c>
      <c r="AG81" s="6" t="n">
        <v>0</v>
      </c>
      <c r="AH81" s="6" t="n">
        <v>1</v>
      </c>
      <c r="AI81" s="6" t="s">
        <v>84</v>
      </c>
    </row>
    <row r="82" customFormat="false" ht="15" hidden="false" customHeight="false" outlineLevel="0" collapsed="false">
      <c r="A82" s="6" t="n">
        <v>81</v>
      </c>
      <c r="B82" s="6" t="s">
        <v>1311</v>
      </c>
      <c r="C82" s="6" t="n">
        <v>2</v>
      </c>
      <c r="D82" s="6" t="s">
        <v>186</v>
      </c>
      <c r="E82" s="6" t="s">
        <v>146</v>
      </c>
      <c r="F82" s="6" t="n">
        <v>1</v>
      </c>
      <c r="G82" s="6" t="n">
        <v>36</v>
      </c>
      <c r="H82" s="6" t="s">
        <v>1312</v>
      </c>
      <c r="I82" s="22" t="n">
        <v>450000</v>
      </c>
      <c r="J82" s="22" t="n">
        <v>0</v>
      </c>
      <c r="K82" s="22" t="n">
        <v>33750</v>
      </c>
      <c r="L82" s="22" t="n">
        <v>483750</v>
      </c>
      <c r="M82" s="6" t="s">
        <v>148</v>
      </c>
      <c r="N82" s="6" t="s">
        <v>84</v>
      </c>
      <c r="O82" s="6" t="s">
        <v>866</v>
      </c>
      <c r="P82" s="6" t="s">
        <v>85</v>
      </c>
      <c r="Q82" s="6" t="str">
        <f aca="false">IF(P82="pass","No","Yes")</f>
        <v>Yes</v>
      </c>
      <c r="R82" s="6" t="s">
        <v>86</v>
      </c>
      <c r="S82" s="6" t="s">
        <v>866</v>
      </c>
      <c r="T82" s="6" t="s">
        <v>150</v>
      </c>
      <c r="U82" s="23" t="n">
        <v>3.858</v>
      </c>
      <c r="V82" s="6" t="s">
        <v>1313</v>
      </c>
      <c r="W82" s="6" t="s">
        <v>1314</v>
      </c>
      <c r="X82" s="6" t="s">
        <v>1315</v>
      </c>
      <c r="Y82" s="6" t="s">
        <v>86</v>
      </c>
      <c r="Z82" s="6" t="n">
        <v>1</v>
      </c>
      <c r="AA82" s="6" t="n">
        <v>0</v>
      </c>
      <c r="AB82" s="6" t="n">
        <v>0</v>
      </c>
      <c r="AC82" s="6" t="n">
        <v>0</v>
      </c>
      <c r="AD82" s="6" t="n">
        <v>0</v>
      </c>
      <c r="AE82" s="6" t="n">
        <v>0</v>
      </c>
      <c r="AF82" s="6" t="n">
        <v>0</v>
      </c>
      <c r="AG82" s="6" t="n">
        <v>0</v>
      </c>
      <c r="AH82" s="6" t="n">
        <v>0</v>
      </c>
      <c r="AI82" s="6" t="s">
        <v>84</v>
      </c>
    </row>
    <row r="83" customFormat="false" ht="15" hidden="false" customHeight="false" outlineLevel="0" collapsed="false">
      <c r="A83" s="6" t="n">
        <v>82</v>
      </c>
      <c r="B83" s="6" t="s">
        <v>1316</v>
      </c>
      <c r="C83" s="6" t="n">
        <v>2</v>
      </c>
      <c r="D83" s="6" t="s">
        <v>77</v>
      </c>
      <c r="E83" s="6" t="s">
        <v>81</v>
      </c>
      <c r="F83" s="6" t="n">
        <v>4</v>
      </c>
      <c r="G83" s="6" t="n">
        <v>73</v>
      </c>
      <c r="H83" s="6" t="s">
        <v>1317</v>
      </c>
      <c r="I83" s="22" t="n">
        <v>1408000</v>
      </c>
      <c r="J83" s="22" t="n">
        <v>4000</v>
      </c>
      <c r="K83" s="22" t="n">
        <v>105900</v>
      </c>
      <c r="L83" s="22" t="n">
        <v>1517900</v>
      </c>
      <c r="M83" s="6" t="s">
        <v>152</v>
      </c>
      <c r="N83" s="6" t="s">
        <v>84</v>
      </c>
      <c r="O83" s="6" t="s">
        <v>886</v>
      </c>
      <c r="P83" s="6" t="s">
        <v>85</v>
      </c>
      <c r="Q83" s="6" t="str">
        <f aca="false">IF(P83="pass","No","Yes")</f>
        <v>Yes</v>
      </c>
      <c r="R83" s="6" t="s">
        <v>86</v>
      </c>
      <c r="S83" s="6" t="s">
        <v>886</v>
      </c>
      <c r="T83" s="6" t="s">
        <v>264</v>
      </c>
      <c r="U83" s="23" t="n">
        <v>8.82</v>
      </c>
      <c r="V83" s="6" t="s">
        <v>1318</v>
      </c>
      <c r="W83" s="6" t="s">
        <v>1319</v>
      </c>
      <c r="X83" s="6" t="s">
        <v>1320</v>
      </c>
      <c r="Y83" s="6" t="s">
        <v>86</v>
      </c>
      <c r="Z83" s="6" t="n">
        <v>0</v>
      </c>
      <c r="AA83" s="6" t="n">
        <v>0</v>
      </c>
      <c r="AB83" s="6" t="n">
        <v>1</v>
      </c>
      <c r="AC83" s="6" t="n">
        <v>0</v>
      </c>
      <c r="AD83" s="6" t="n">
        <v>0</v>
      </c>
      <c r="AE83" s="6" t="n">
        <v>0</v>
      </c>
      <c r="AF83" s="6" t="n">
        <v>0</v>
      </c>
      <c r="AG83" s="6" t="n">
        <v>0</v>
      </c>
      <c r="AH83" s="6" t="n">
        <v>0</v>
      </c>
      <c r="AI83" s="6" t="s">
        <v>84</v>
      </c>
    </row>
    <row r="84" customFormat="false" ht="15" hidden="false" customHeight="false" outlineLevel="0" collapsed="false">
      <c r="A84" s="6" t="n">
        <v>83</v>
      </c>
      <c r="B84" s="6" t="s">
        <v>1321</v>
      </c>
      <c r="C84" s="6" t="n">
        <v>2</v>
      </c>
      <c r="D84" s="6" t="s">
        <v>186</v>
      </c>
      <c r="E84" s="6" t="s">
        <v>123</v>
      </c>
      <c r="F84" s="6" t="n">
        <v>3</v>
      </c>
      <c r="G84" s="6" t="n">
        <v>115</v>
      </c>
      <c r="H84" s="6" t="s">
        <v>1322</v>
      </c>
      <c r="I84" s="22" t="n">
        <v>1200300</v>
      </c>
      <c r="J84" s="22" t="n">
        <v>5000</v>
      </c>
      <c r="K84" s="22" t="n">
        <v>90397.5</v>
      </c>
      <c r="L84" s="22" t="n">
        <v>1295697.5</v>
      </c>
      <c r="M84" s="6" t="s">
        <v>1042</v>
      </c>
      <c r="N84" s="6" t="s">
        <v>58</v>
      </c>
      <c r="O84" s="6"/>
      <c r="P84" s="6" t="s">
        <v>59</v>
      </c>
      <c r="Q84" s="6" t="str">
        <f aca="false">IF(P84="pass","No","Yes")</f>
        <v>Yes</v>
      </c>
      <c r="R84" s="6" t="s">
        <v>60</v>
      </c>
      <c r="S84" s="6" t="s">
        <v>915</v>
      </c>
      <c r="T84" s="6" t="s">
        <v>1323</v>
      </c>
      <c r="U84" s="23" t="n">
        <v>14.214</v>
      </c>
      <c r="V84" s="6" t="s">
        <v>1324</v>
      </c>
      <c r="W84" s="6" t="s">
        <v>1325</v>
      </c>
      <c r="X84" s="6" t="s">
        <v>1326</v>
      </c>
      <c r="Y84" s="6" t="s">
        <v>60</v>
      </c>
      <c r="Z84" s="6" t="n">
        <v>0</v>
      </c>
      <c r="AA84" s="6" t="n">
        <v>0</v>
      </c>
      <c r="AB84" s="6" t="n">
        <v>0</v>
      </c>
      <c r="AC84" s="6" t="n">
        <v>0</v>
      </c>
      <c r="AD84" s="6" t="n">
        <v>0</v>
      </c>
      <c r="AE84" s="6" t="n">
        <v>0</v>
      </c>
      <c r="AF84" s="6" t="n">
        <v>0</v>
      </c>
      <c r="AG84" s="6" t="n">
        <v>0</v>
      </c>
      <c r="AH84" s="6" t="n">
        <v>1</v>
      </c>
      <c r="AI84" s="6" t="s">
        <v>84</v>
      </c>
    </row>
    <row r="85" customFormat="false" ht="15" hidden="false" customHeight="false" outlineLevel="0" collapsed="false">
      <c r="A85" s="6" t="n">
        <v>84</v>
      </c>
      <c r="B85" s="6" t="s">
        <v>1327</v>
      </c>
      <c r="C85" s="6" t="n">
        <v>2</v>
      </c>
      <c r="D85" s="6" t="s">
        <v>177</v>
      </c>
      <c r="E85" s="6" t="s">
        <v>81</v>
      </c>
      <c r="F85" s="6" t="n">
        <v>3</v>
      </c>
      <c r="G85" s="6" t="n">
        <v>125</v>
      </c>
      <c r="H85" s="6" t="s">
        <v>1328</v>
      </c>
      <c r="I85" s="22" t="n">
        <v>1762800</v>
      </c>
      <c r="J85" s="22" t="n">
        <v>4000</v>
      </c>
      <c r="K85" s="22" t="n">
        <v>132510</v>
      </c>
      <c r="L85" s="22" t="n">
        <v>1899310</v>
      </c>
      <c r="M85" s="6" t="s">
        <v>57</v>
      </c>
      <c r="N85" s="6" t="s">
        <v>58</v>
      </c>
      <c r="O85" s="6"/>
      <c r="P85" s="6" t="s">
        <v>69</v>
      </c>
      <c r="Q85" s="6" t="str">
        <f aca="false">IF(P85="pass","No","Yes")</f>
        <v>No</v>
      </c>
      <c r="R85" s="6" t="s">
        <v>60</v>
      </c>
      <c r="S85" s="6"/>
      <c r="T85" s="6"/>
      <c r="U85" s="23" t="n">
        <v>6.756</v>
      </c>
      <c r="V85" s="6" t="s">
        <v>1329</v>
      </c>
      <c r="W85" s="6" t="s">
        <v>1330</v>
      </c>
      <c r="X85" s="6" t="s">
        <v>1331</v>
      </c>
      <c r="Y85" s="6" t="s">
        <v>60</v>
      </c>
      <c r="Z85" s="6" t="n">
        <v>0</v>
      </c>
      <c r="AA85" s="6" t="n">
        <v>0</v>
      </c>
      <c r="AB85" s="6" t="n">
        <v>0</v>
      </c>
      <c r="AC85" s="6" t="n">
        <v>0</v>
      </c>
      <c r="AD85" s="6" t="n">
        <v>0</v>
      </c>
      <c r="AE85" s="6" t="n">
        <v>0</v>
      </c>
      <c r="AF85" s="6" t="n">
        <v>0</v>
      </c>
      <c r="AG85" s="6" t="n">
        <v>0</v>
      </c>
      <c r="AH85" s="6" t="n">
        <v>0</v>
      </c>
      <c r="AI85" s="6" t="s">
        <v>84</v>
      </c>
    </row>
    <row r="86" customFormat="false" ht="15" hidden="false" customHeight="false" outlineLevel="0" collapsed="false">
      <c r="A86" s="6" t="n">
        <v>85</v>
      </c>
      <c r="B86" s="6" t="s">
        <v>1332</v>
      </c>
      <c r="C86" s="6" t="n">
        <v>2</v>
      </c>
      <c r="D86" s="6" t="s">
        <v>198</v>
      </c>
      <c r="E86" s="6" t="s">
        <v>81</v>
      </c>
      <c r="F86" s="6" t="n">
        <v>3</v>
      </c>
      <c r="G86" s="6" t="n">
        <v>338</v>
      </c>
      <c r="H86" s="6" t="s">
        <v>1333</v>
      </c>
      <c r="I86" s="22" t="n">
        <v>3963600</v>
      </c>
      <c r="J86" s="22" t="n">
        <v>4000</v>
      </c>
      <c r="K86" s="22" t="n">
        <v>297570</v>
      </c>
      <c r="L86" s="22" t="n">
        <v>4265170</v>
      </c>
      <c r="M86" s="6" t="s">
        <v>927</v>
      </c>
      <c r="N86" s="6" t="s">
        <v>58</v>
      </c>
      <c r="O86" s="6"/>
      <c r="P86" s="6" t="s">
        <v>59</v>
      </c>
      <c r="Q86" s="6" t="str">
        <f aca="false">IF(P86="pass","No","Yes")</f>
        <v>Yes</v>
      </c>
      <c r="R86" s="6" t="s">
        <v>60</v>
      </c>
      <c r="S86" s="6" t="s">
        <v>915</v>
      </c>
      <c r="T86" s="6" t="s">
        <v>1334</v>
      </c>
      <c r="U86" s="23" t="n">
        <v>14.285</v>
      </c>
      <c r="V86" s="6" t="s">
        <v>1335</v>
      </c>
      <c r="W86" s="6" t="s">
        <v>1336</v>
      </c>
      <c r="X86" s="6" t="s">
        <v>1337</v>
      </c>
      <c r="Y86" s="6" t="s">
        <v>60</v>
      </c>
      <c r="Z86" s="6" t="n">
        <v>0</v>
      </c>
      <c r="AA86" s="6" t="n">
        <v>0</v>
      </c>
      <c r="AB86" s="6" t="n">
        <v>0</v>
      </c>
      <c r="AC86" s="6" t="n">
        <v>0</v>
      </c>
      <c r="AD86" s="6" t="n">
        <v>0</v>
      </c>
      <c r="AE86" s="6" t="n">
        <v>0</v>
      </c>
      <c r="AF86" s="6" t="n">
        <v>0</v>
      </c>
      <c r="AG86" s="6" t="n">
        <v>0</v>
      </c>
      <c r="AH86" s="6" t="n">
        <v>1</v>
      </c>
      <c r="AI86" s="6" t="s">
        <v>84</v>
      </c>
    </row>
    <row r="87" customFormat="false" ht="15" hidden="false" customHeight="false" outlineLevel="0" collapsed="false">
      <c r="A87" s="6" t="n">
        <v>86</v>
      </c>
      <c r="B87" s="6" t="s">
        <v>1338</v>
      </c>
      <c r="C87" s="6" t="n">
        <v>2</v>
      </c>
      <c r="D87" s="6" t="s">
        <v>127</v>
      </c>
      <c r="E87" s="6" t="s">
        <v>55</v>
      </c>
      <c r="F87" s="6" t="n">
        <v>3</v>
      </c>
      <c r="G87" s="6" t="n">
        <v>1018</v>
      </c>
      <c r="H87" s="6" t="s">
        <v>1339</v>
      </c>
      <c r="I87" s="22" t="n">
        <v>12169800</v>
      </c>
      <c r="J87" s="22" t="n">
        <v>6000</v>
      </c>
      <c r="K87" s="22" t="n">
        <v>913185</v>
      </c>
      <c r="L87" s="22" t="n">
        <v>13088985</v>
      </c>
      <c r="M87" s="6" t="s">
        <v>159</v>
      </c>
      <c r="N87" s="6" t="s">
        <v>84</v>
      </c>
      <c r="O87" s="6" t="s">
        <v>886</v>
      </c>
      <c r="P87" s="6" t="s">
        <v>85</v>
      </c>
      <c r="Q87" s="6" t="str">
        <f aca="false">IF(P87="pass","No","Yes")</f>
        <v>Yes</v>
      </c>
      <c r="R87" s="6" t="s">
        <v>86</v>
      </c>
      <c r="S87" s="6" t="s">
        <v>934</v>
      </c>
      <c r="T87" s="6" t="s">
        <v>197</v>
      </c>
      <c r="U87" s="23" t="n">
        <v>7.259</v>
      </c>
      <c r="V87" s="6" t="s">
        <v>1340</v>
      </c>
      <c r="W87" s="6" t="s">
        <v>1341</v>
      </c>
      <c r="X87" s="6" t="s">
        <v>1342</v>
      </c>
      <c r="Y87" s="6" t="s">
        <v>86</v>
      </c>
      <c r="Z87" s="6" t="n">
        <v>0</v>
      </c>
      <c r="AA87" s="6" t="n">
        <v>0</v>
      </c>
      <c r="AB87" s="6" t="n">
        <v>1</v>
      </c>
      <c r="AC87" s="6" t="n">
        <v>1</v>
      </c>
      <c r="AD87" s="6" t="n">
        <v>0</v>
      </c>
      <c r="AE87" s="6" t="n">
        <v>0</v>
      </c>
      <c r="AF87" s="6" t="n">
        <v>0</v>
      </c>
      <c r="AG87" s="6" t="n">
        <v>0</v>
      </c>
      <c r="AH87" s="6" t="n">
        <v>0</v>
      </c>
      <c r="AI87" s="6" t="s">
        <v>84</v>
      </c>
    </row>
    <row r="88" customFormat="false" ht="15" hidden="false" customHeight="false" outlineLevel="0" collapsed="false">
      <c r="A88" s="6" t="n">
        <v>87</v>
      </c>
      <c r="B88" s="6" t="s">
        <v>1343</v>
      </c>
      <c r="C88" s="6" t="n">
        <v>2</v>
      </c>
      <c r="D88" s="6" t="s">
        <v>166</v>
      </c>
      <c r="E88" s="6" t="s">
        <v>74</v>
      </c>
      <c r="F88" s="6" t="n">
        <v>3</v>
      </c>
      <c r="G88" s="6" t="n">
        <v>8</v>
      </c>
      <c r="H88" s="6" t="s">
        <v>1344</v>
      </c>
      <c r="I88" s="22" t="n">
        <v>264200</v>
      </c>
      <c r="J88" s="22" t="n">
        <v>9000</v>
      </c>
      <c r="K88" s="22" t="n">
        <v>20490</v>
      </c>
      <c r="L88" s="22" t="n">
        <v>293690</v>
      </c>
      <c r="M88" s="6" t="s">
        <v>57</v>
      </c>
      <c r="N88" s="6" t="s">
        <v>58</v>
      </c>
      <c r="O88" s="6"/>
      <c r="P88" s="6" t="s">
        <v>69</v>
      </c>
      <c r="Q88" s="6" t="str">
        <f aca="false">IF(P88="pass","No","Yes")</f>
        <v>No</v>
      </c>
      <c r="R88" s="6" t="s">
        <v>60</v>
      </c>
      <c r="S88" s="6"/>
      <c r="T88" s="6"/>
      <c r="U88" s="23" t="n">
        <v>7.939</v>
      </c>
      <c r="V88" s="6" t="s">
        <v>1345</v>
      </c>
      <c r="W88" s="6" t="s">
        <v>1346</v>
      </c>
      <c r="X88" s="6" t="s">
        <v>1347</v>
      </c>
      <c r="Y88" s="6" t="s">
        <v>60</v>
      </c>
      <c r="Z88" s="6" t="n">
        <v>0</v>
      </c>
      <c r="AA88" s="6" t="n">
        <v>0</v>
      </c>
      <c r="AB88" s="6" t="n">
        <v>0</v>
      </c>
      <c r="AC88" s="6" t="n">
        <v>0</v>
      </c>
      <c r="AD88" s="6" t="n">
        <v>0</v>
      </c>
      <c r="AE88" s="6" t="n">
        <v>0</v>
      </c>
      <c r="AF88" s="6" t="n">
        <v>0</v>
      </c>
      <c r="AG88" s="6" t="n">
        <v>0</v>
      </c>
      <c r="AH88" s="6" t="n">
        <v>0</v>
      </c>
      <c r="AI88" s="6" t="s">
        <v>84</v>
      </c>
    </row>
    <row r="89" customFormat="false" ht="15" hidden="false" customHeight="false" outlineLevel="0" collapsed="false">
      <c r="A89" s="6" t="n">
        <v>88</v>
      </c>
      <c r="B89" s="6" t="s">
        <v>1348</v>
      </c>
      <c r="C89" s="6" t="n">
        <v>2</v>
      </c>
      <c r="D89" s="6" t="s">
        <v>142</v>
      </c>
      <c r="E89" s="6" t="s">
        <v>74</v>
      </c>
      <c r="F89" s="6" t="n">
        <v>2</v>
      </c>
      <c r="G89" s="6" t="n">
        <v>10</v>
      </c>
      <c r="H89" s="6" t="s">
        <v>1349</v>
      </c>
      <c r="I89" s="22" t="n">
        <v>256200</v>
      </c>
      <c r="J89" s="22" t="n">
        <v>9000</v>
      </c>
      <c r="K89" s="22" t="n">
        <v>19890</v>
      </c>
      <c r="L89" s="22" t="n">
        <v>285090</v>
      </c>
      <c r="M89" s="6" t="s">
        <v>57</v>
      </c>
      <c r="N89" s="6" t="s">
        <v>58</v>
      </c>
      <c r="O89" s="6"/>
      <c r="P89" s="6" t="s">
        <v>69</v>
      </c>
      <c r="Q89" s="6" t="str">
        <f aca="false">IF(P89="pass","No","Yes")</f>
        <v>No</v>
      </c>
      <c r="R89" s="6" t="s">
        <v>60</v>
      </c>
      <c r="S89" s="6"/>
      <c r="T89" s="6"/>
      <c r="U89" s="23" t="n">
        <v>6.597</v>
      </c>
      <c r="V89" s="6" t="s">
        <v>1350</v>
      </c>
      <c r="W89" s="6" t="s">
        <v>1351</v>
      </c>
      <c r="X89" s="6" t="s">
        <v>1352</v>
      </c>
      <c r="Y89" s="6" t="s">
        <v>60</v>
      </c>
      <c r="Z89" s="6" t="n">
        <v>0</v>
      </c>
      <c r="AA89" s="6" t="n">
        <v>0</v>
      </c>
      <c r="AB89" s="6" t="n">
        <v>0</v>
      </c>
      <c r="AC89" s="6" t="n">
        <v>0</v>
      </c>
      <c r="AD89" s="6" t="n">
        <v>0</v>
      </c>
      <c r="AE89" s="6" t="n">
        <v>0</v>
      </c>
      <c r="AF89" s="6" t="n">
        <v>0</v>
      </c>
      <c r="AG89" s="6" t="n">
        <v>0</v>
      </c>
      <c r="AH89" s="6" t="n">
        <v>0</v>
      </c>
      <c r="AI89" s="6" t="s">
        <v>84</v>
      </c>
    </row>
    <row r="90" customFormat="false" ht="15" hidden="false" customHeight="false" outlineLevel="0" collapsed="false">
      <c r="A90" s="6" t="n">
        <v>89</v>
      </c>
      <c r="B90" s="6" t="s">
        <v>1353</v>
      </c>
      <c r="C90" s="6" t="n">
        <v>2</v>
      </c>
      <c r="D90" s="6" t="s">
        <v>177</v>
      </c>
      <c r="E90" s="6" t="s">
        <v>81</v>
      </c>
      <c r="F90" s="6" t="n">
        <v>2</v>
      </c>
      <c r="G90" s="6" t="n">
        <v>123</v>
      </c>
      <c r="H90" s="6" t="s">
        <v>1354</v>
      </c>
      <c r="I90" s="22" t="n">
        <v>1157700</v>
      </c>
      <c r="J90" s="22" t="n">
        <v>4000</v>
      </c>
      <c r="K90" s="22" t="n">
        <v>87127.5</v>
      </c>
      <c r="L90" s="22" t="n">
        <v>1248827.5</v>
      </c>
      <c r="M90" s="6" t="s">
        <v>57</v>
      </c>
      <c r="N90" s="6" t="s">
        <v>58</v>
      </c>
      <c r="O90" s="6"/>
      <c r="P90" s="6" t="s">
        <v>69</v>
      </c>
      <c r="Q90" s="6" t="str">
        <f aca="false">IF(P90="pass","No","Yes")</f>
        <v>No</v>
      </c>
      <c r="R90" s="6" t="s">
        <v>60</v>
      </c>
      <c r="S90" s="6"/>
      <c r="T90" s="6"/>
      <c r="U90" s="23" t="n">
        <v>13.426</v>
      </c>
      <c r="V90" s="6" t="s">
        <v>1355</v>
      </c>
      <c r="W90" s="6" t="s">
        <v>1356</v>
      </c>
      <c r="X90" s="6" t="s">
        <v>1357</v>
      </c>
      <c r="Y90" s="6" t="s">
        <v>60</v>
      </c>
      <c r="Z90" s="6" t="n">
        <v>0</v>
      </c>
      <c r="AA90" s="6" t="n">
        <v>0</v>
      </c>
      <c r="AB90" s="6" t="n">
        <v>0</v>
      </c>
      <c r="AC90" s="6" t="n">
        <v>0</v>
      </c>
      <c r="AD90" s="6" t="n">
        <v>0</v>
      </c>
      <c r="AE90" s="6" t="n">
        <v>0</v>
      </c>
      <c r="AF90" s="6" t="n">
        <v>0</v>
      </c>
      <c r="AG90" s="6" t="n">
        <v>0</v>
      </c>
      <c r="AH90" s="6" t="n">
        <v>0</v>
      </c>
      <c r="AI90" s="6" t="s">
        <v>84</v>
      </c>
    </row>
    <row r="91" customFormat="false" ht="15" hidden="false" customHeight="false" outlineLevel="0" collapsed="false">
      <c r="A91" s="6" t="n">
        <v>90</v>
      </c>
      <c r="B91" s="6" t="s">
        <v>1358</v>
      </c>
      <c r="C91" s="6" t="n">
        <v>2</v>
      </c>
      <c r="D91" s="6" t="s">
        <v>119</v>
      </c>
      <c r="E91" s="6" t="s">
        <v>123</v>
      </c>
      <c r="F91" s="6" t="n">
        <v>2</v>
      </c>
      <c r="G91" s="6" t="n">
        <v>55</v>
      </c>
      <c r="H91" s="6" t="s">
        <v>1359</v>
      </c>
      <c r="I91" s="22" t="n">
        <v>519200</v>
      </c>
      <c r="J91" s="22" t="n">
        <v>5000</v>
      </c>
      <c r="K91" s="22" t="n">
        <v>39315</v>
      </c>
      <c r="L91" s="22" t="n">
        <v>563515</v>
      </c>
      <c r="M91" s="6" t="s">
        <v>960</v>
      </c>
      <c r="N91" s="6" t="s">
        <v>84</v>
      </c>
      <c r="O91" s="6" t="s">
        <v>961</v>
      </c>
      <c r="P91" s="6" t="s">
        <v>85</v>
      </c>
      <c r="Q91" s="6" t="str">
        <f aca="false">IF(P91="pass","No","Yes")</f>
        <v>Yes</v>
      </c>
      <c r="R91" s="6" t="s">
        <v>86</v>
      </c>
      <c r="S91" s="6" t="s">
        <v>961</v>
      </c>
      <c r="T91" s="6" t="s">
        <v>962</v>
      </c>
      <c r="U91" s="23" t="n">
        <v>11.471</v>
      </c>
      <c r="V91" s="6" t="s">
        <v>1360</v>
      </c>
      <c r="W91" s="6" t="s">
        <v>1361</v>
      </c>
      <c r="X91" s="6" t="s">
        <v>1362</v>
      </c>
      <c r="Y91" s="6" t="s">
        <v>86</v>
      </c>
      <c r="Z91" s="6" t="n">
        <v>0</v>
      </c>
      <c r="AA91" s="6" t="n">
        <v>0</v>
      </c>
      <c r="AB91" s="6" t="n">
        <v>0</v>
      </c>
      <c r="AC91" s="6" t="n">
        <v>0</v>
      </c>
      <c r="AD91" s="6" t="n">
        <v>1</v>
      </c>
      <c r="AE91" s="6" t="n">
        <v>0</v>
      </c>
      <c r="AF91" s="6" t="n">
        <v>0</v>
      </c>
      <c r="AG91" s="6" t="n">
        <v>0</v>
      </c>
      <c r="AH91" s="6" t="n">
        <v>0</v>
      </c>
      <c r="AI91" s="6" t="s">
        <v>84</v>
      </c>
    </row>
    <row r="92" customFormat="false" ht="15" hidden="false" customHeight="false" outlineLevel="0" collapsed="false">
      <c r="A92" s="6" t="n">
        <v>91</v>
      </c>
      <c r="B92" s="6" t="s">
        <v>1363</v>
      </c>
      <c r="C92" s="6" t="n">
        <v>2</v>
      </c>
      <c r="D92" s="6" t="s">
        <v>63</v>
      </c>
      <c r="E92" s="6" t="s">
        <v>67</v>
      </c>
      <c r="F92" s="6" t="n">
        <v>4</v>
      </c>
      <c r="G92" s="6" t="n">
        <v>601</v>
      </c>
      <c r="H92" s="6" t="s">
        <v>1364</v>
      </c>
      <c r="I92" s="22" t="n">
        <v>3507200</v>
      </c>
      <c r="J92" s="22" t="n">
        <v>4500</v>
      </c>
      <c r="K92" s="22" t="n">
        <v>263377.5</v>
      </c>
      <c r="L92" s="22" t="n">
        <v>3775077.5</v>
      </c>
      <c r="M92" s="6" t="s">
        <v>159</v>
      </c>
      <c r="N92" s="6" t="s">
        <v>84</v>
      </c>
      <c r="O92" s="6" t="s">
        <v>886</v>
      </c>
      <c r="P92" s="6" t="s">
        <v>85</v>
      </c>
      <c r="Q92" s="6" t="str">
        <f aca="false">IF(P92="pass","No","Yes")</f>
        <v>Yes</v>
      </c>
      <c r="R92" s="6" t="s">
        <v>86</v>
      </c>
      <c r="S92" s="6" t="s">
        <v>934</v>
      </c>
      <c r="T92" s="6" t="s">
        <v>302</v>
      </c>
      <c r="U92" s="23" t="n">
        <v>9.83</v>
      </c>
      <c r="V92" s="6" t="s">
        <v>1365</v>
      </c>
      <c r="W92" s="6" t="s">
        <v>1366</v>
      </c>
      <c r="X92" s="6" t="s">
        <v>1367</v>
      </c>
      <c r="Y92" s="6" t="s">
        <v>86</v>
      </c>
      <c r="Z92" s="6" t="n">
        <v>0</v>
      </c>
      <c r="AA92" s="6" t="n">
        <v>0</v>
      </c>
      <c r="AB92" s="6" t="n">
        <v>1</v>
      </c>
      <c r="AC92" s="6" t="n">
        <v>1</v>
      </c>
      <c r="AD92" s="6" t="n">
        <v>0</v>
      </c>
      <c r="AE92" s="6" t="n">
        <v>0</v>
      </c>
      <c r="AF92" s="6" t="n">
        <v>0</v>
      </c>
      <c r="AG92" s="6" t="n">
        <v>0</v>
      </c>
      <c r="AH92" s="6" t="n">
        <v>0</v>
      </c>
      <c r="AI92" s="6" t="s">
        <v>84</v>
      </c>
    </row>
    <row r="93" customFormat="false" ht="15" hidden="false" customHeight="false" outlineLevel="0" collapsed="false">
      <c r="A93" s="6" t="n">
        <v>92</v>
      </c>
      <c r="B93" s="6" t="s">
        <v>1368</v>
      </c>
      <c r="C93" s="6" t="n">
        <v>2</v>
      </c>
      <c r="D93" s="6" t="s">
        <v>186</v>
      </c>
      <c r="E93" s="6" t="s">
        <v>123</v>
      </c>
      <c r="F93" s="6" t="n">
        <v>1</v>
      </c>
      <c r="G93" s="6" t="n">
        <v>9</v>
      </c>
      <c r="H93" s="6" t="s">
        <v>1369</v>
      </c>
      <c r="I93" s="22" t="n">
        <v>342000</v>
      </c>
      <c r="J93" s="22" t="n">
        <v>5000</v>
      </c>
      <c r="K93" s="22" t="n">
        <v>26025</v>
      </c>
      <c r="L93" s="22" t="n">
        <v>373025</v>
      </c>
      <c r="M93" s="6" t="s">
        <v>984</v>
      </c>
      <c r="N93" s="6" t="s">
        <v>84</v>
      </c>
      <c r="O93" s="6" t="s">
        <v>985</v>
      </c>
      <c r="P93" s="6" t="s">
        <v>85</v>
      </c>
      <c r="Q93" s="6" t="str">
        <f aca="false">IF(P93="pass","No","Yes")</f>
        <v>Yes</v>
      </c>
      <c r="R93" s="6" t="s">
        <v>86</v>
      </c>
      <c r="S93" s="6" t="s">
        <v>985</v>
      </c>
      <c r="T93" s="6" t="s">
        <v>1152</v>
      </c>
      <c r="U93" s="23" t="n">
        <v>4.415</v>
      </c>
      <c r="V93" s="6" t="s">
        <v>1370</v>
      </c>
      <c r="W93" s="6" t="s">
        <v>1371</v>
      </c>
      <c r="X93" s="6" t="s">
        <v>1372</v>
      </c>
      <c r="Y93" s="6" t="s">
        <v>86</v>
      </c>
      <c r="Z93" s="6" t="n">
        <v>0</v>
      </c>
      <c r="AA93" s="6" t="n">
        <v>0</v>
      </c>
      <c r="AB93" s="6" t="n">
        <v>0</v>
      </c>
      <c r="AC93" s="6" t="n">
        <v>0</v>
      </c>
      <c r="AD93" s="6" t="n">
        <v>0</v>
      </c>
      <c r="AE93" s="6" t="n">
        <v>1</v>
      </c>
      <c r="AF93" s="6" t="n">
        <v>0</v>
      </c>
      <c r="AG93" s="6" t="n">
        <v>0</v>
      </c>
      <c r="AH93" s="6" t="n">
        <v>0</v>
      </c>
      <c r="AI93" s="6" t="s">
        <v>84</v>
      </c>
    </row>
    <row r="94" customFormat="false" ht="15" hidden="false" customHeight="false" outlineLevel="0" collapsed="false">
      <c r="A94" s="6" t="n">
        <v>93</v>
      </c>
      <c r="B94" s="6" t="s">
        <v>1373</v>
      </c>
      <c r="C94" s="6" t="n">
        <v>2</v>
      </c>
      <c r="D94" s="6" t="s">
        <v>77</v>
      </c>
      <c r="E94" s="6" t="s">
        <v>81</v>
      </c>
      <c r="F94" s="6" t="n">
        <v>2</v>
      </c>
      <c r="G94" s="6" t="n">
        <v>11</v>
      </c>
      <c r="H94" s="6" t="s">
        <v>1374</v>
      </c>
      <c r="I94" s="22" t="n">
        <v>476200</v>
      </c>
      <c r="J94" s="22" t="n">
        <v>4000</v>
      </c>
      <c r="K94" s="22" t="n">
        <v>36015</v>
      </c>
      <c r="L94" s="22" t="n">
        <v>516215</v>
      </c>
      <c r="M94" s="6" t="s">
        <v>57</v>
      </c>
      <c r="N94" s="6" t="s">
        <v>58</v>
      </c>
      <c r="O94" s="6"/>
      <c r="P94" s="6" t="s">
        <v>69</v>
      </c>
      <c r="Q94" s="6" t="str">
        <f aca="false">IF(P94="pass","No","Yes")</f>
        <v>No</v>
      </c>
      <c r="R94" s="6" t="s">
        <v>60</v>
      </c>
      <c r="S94" s="6"/>
      <c r="T94" s="6"/>
      <c r="U94" s="23" t="n">
        <v>7.434</v>
      </c>
      <c r="V94" s="6" t="s">
        <v>1375</v>
      </c>
      <c r="W94" s="6" t="s">
        <v>1376</v>
      </c>
      <c r="X94" s="6" t="s">
        <v>1377</v>
      </c>
      <c r="Y94" s="6" t="s">
        <v>60</v>
      </c>
      <c r="Z94" s="6" t="n">
        <v>0</v>
      </c>
      <c r="AA94" s="6" t="n">
        <v>0</v>
      </c>
      <c r="AB94" s="6" t="n">
        <v>0</v>
      </c>
      <c r="AC94" s="6" t="n">
        <v>0</v>
      </c>
      <c r="AD94" s="6" t="n">
        <v>0</v>
      </c>
      <c r="AE94" s="6" t="n">
        <v>0</v>
      </c>
      <c r="AF94" s="6" t="n">
        <v>0</v>
      </c>
      <c r="AG94" s="6" t="n">
        <v>0</v>
      </c>
      <c r="AH94" s="6" t="n">
        <v>0</v>
      </c>
      <c r="AI94" s="6" t="s">
        <v>84</v>
      </c>
    </row>
    <row r="95" customFormat="false" ht="15" hidden="false" customHeight="false" outlineLevel="0" collapsed="false">
      <c r="A95" s="6" t="n">
        <v>94</v>
      </c>
      <c r="B95" s="6" t="s">
        <v>1378</v>
      </c>
      <c r="C95" s="6" t="n">
        <v>2</v>
      </c>
      <c r="D95" s="6" t="s">
        <v>191</v>
      </c>
      <c r="E95" s="6" t="s">
        <v>116</v>
      </c>
      <c r="F95" s="6" t="n">
        <v>1</v>
      </c>
      <c r="G95" s="6" t="n">
        <v>70</v>
      </c>
      <c r="H95" s="6" t="s">
        <v>1379</v>
      </c>
      <c r="I95" s="22" t="n">
        <v>826000</v>
      </c>
      <c r="J95" s="22" t="n">
        <v>15000</v>
      </c>
      <c r="K95" s="22" t="n">
        <v>63075</v>
      </c>
      <c r="L95" s="22" t="n">
        <v>904075</v>
      </c>
      <c r="M95" s="6" t="s">
        <v>224</v>
      </c>
      <c r="N95" s="6" t="s">
        <v>84</v>
      </c>
      <c r="O95" s="6" t="s">
        <v>866</v>
      </c>
      <c r="P95" s="6" t="s">
        <v>85</v>
      </c>
      <c r="Q95" s="6" t="str">
        <f aca="false">IF(P95="pass","No","Yes")</f>
        <v>Yes</v>
      </c>
      <c r="R95" s="6" t="s">
        <v>86</v>
      </c>
      <c r="S95" s="6" t="s">
        <v>866</v>
      </c>
      <c r="T95" s="6" t="s">
        <v>225</v>
      </c>
      <c r="U95" s="23" t="n">
        <v>4.148</v>
      </c>
      <c r="V95" s="6" t="s">
        <v>1380</v>
      </c>
      <c r="W95" s="6" t="s">
        <v>1381</v>
      </c>
      <c r="X95" s="6" t="s">
        <v>1382</v>
      </c>
      <c r="Y95" s="6" t="s">
        <v>86</v>
      </c>
      <c r="Z95" s="6" t="n">
        <v>1</v>
      </c>
      <c r="AA95" s="6" t="n">
        <v>0</v>
      </c>
      <c r="AB95" s="6" t="n">
        <v>0</v>
      </c>
      <c r="AC95" s="6" t="n">
        <v>0</v>
      </c>
      <c r="AD95" s="6" t="n">
        <v>0</v>
      </c>
      <c r="AE95" s="6" t="n">
        <v>0</v>
      </c>
      <c r="AF95" s="6" t="n">
        <v>0</v>
      </c>
      <c r="AG95" s="6" t="n">
        <v>0</v>
      </c>
      <c r="AH95" s="6" t="n">
        <v>0</v>
      </c>
      <c r="AI95" s="6" t="s">
        <v>58</v>
      </c>
    </row>
    <row r="96" customFormat="false" ht="15" hidden="false" customHeight="false" outlineLevel="0" collapsed="false">
      <c r="A96" s="6" t="n">
        <v>95</v>
      </c>
      <c r="B96" s="6" t="s">
        <v>1383</v>
      </c>
      <c r="C96" s="6" t="n">
        <v>2</v>
      </c>
      <c r="D96" s="6" t="s">
        <v>191</v>
      </c>
      <c r="E96" s="6" t="s">
        <v>146</v>
      </c>
      <c r="F96" s="6" t="n">
        <v>2</v>
      </c>
      <c r="G96" s="6" t="n">
        <v>179</v>
      </c>
      <c r="H96" s="6" t="s">
        <v>1384</v>
      </c>
      <c r="I96" s="22" t="n">
        <v>1364400</v>
      </c>
      <c r="J96" s="22" t="n">
        <v>0</v>
      </c>
      <c r="K96" s="22" t="n">
        <v>102330</v>
      </c>
      <c r="L96" s="22" t="n">
        <v>1466730</v>
      </c>
      <c r="M96" s="6" t="s">
        <v>148</v>
      </c>
      <c r="N96" s="6" t="s">
        <v>84</v>
      </c>
      <c r="O96" s="6" t="s">
        <v>866</v>
      </c>
      <c r="P96" s="6" t="s">
        <v>85</v>
      </c>
      <c r="Q96" s="6" t="str">
        <f aca="false">IF(P96="pass","No","Yes")</f>
        <v>Yes</v>
      </c>
      <c r="R96" s="6" t="s">
        <v>86</v>
      </c>
      <c r="S96" s="6" t="s">
        <v>872</v>
      </c>
      <c r="T96" s="6" t="s">
        <v>1385</v>
      </c>
      <c r="U96" s="23" t="n">
        <v>11.765</v>
      </c>
      <c r="V96" s="6" t="s">
        <v>1386</v>
      </c>
      <c r="W96" s="6" t="s">
        <v>1387</v>
      </c>
      <c r="X96" s="6" t="s">
        <v>1388</v>
      </c>
      <c r="Y96" s="6" t="s">
        <v>86</v>
      </c>
      <c r="Z96" s="6" t="n">
        <v>1</v>
      </c>
      <c r="AA96" s="6" t="n">
        <v>0</v>
      </c>
      <c r="AB96" s="6" t="n">
        <v>0</v>
      </c>
      <c r="AC96" s="6" t="n">
        <v>0</v>
      </c>
      <c r="AD96" s="6" t="n">
        <v>0</v>
      </c>
      <c r="AE96" s="6" t="n">
        <v>0</v>
      </c>
      <c r="AF96" s="6" t="n">
        <v>0</v>
      </c>
      <c r="AG96" s="6" t="n">
        <v>0</v>
      </c>
      <c r="AH96" s="6" t="n">
        <v>1</v>
      </c>
      <c r="AI96" s="6" t="s">
        <v>84</v>
      </c>
    </row>
    <row r="97" customFormat="false" ht="15" hidden="false" customHeight="false" outlineLevel="0" collapsed="false">
      <c r="A97" s="6" t="n">
        <v>96</v>
      </c>
      <c r="B97" s="6" t="s">
        <v>1389</v>
      </c>
      <c r="C97" s="6" t="n">
        <v>2</v>
      </c>
      <c r="D97" s="6" t="s">
        <v>127</v>
      </c>
      <c r="E97" s="6" t="s">
        <v>55</v>
      </c>
      <c r="F97" s="6" t="n">
        <v>2</v>
      </c>
      <c r="G97" s="6" t="n">
        <v>80</v>
      </c>
      <c r="H97" s="6" t="s">
        <v>1390</v>
      </c>
      <c r="I97" s="22" t="n">
        <v>1158400</v>
      </c>
      <c r="J97" s="22" t="n">
        <v>6000</v>
      </c>
      <c r="K97" s="22" t="n">
        <v>87330</v>
      </c>
      <c r="L97" s="22" t="n">
        <v>1251730</v>
      </c>
      <c r="M97" s="6" t="s">
        <v>57</v>
      </c>
      <c r="N97" s="6" t="s">
        <v>58</v>
      </c>
      <c r="O97" s="6"/>
      <c r="P97" s="6" t="s">
        <v>69</v>
      </c>
      <c r="Q97" s="6" t="str">
        <f aca="false">IF(P97="pass","No","Yes")</f>
        <v>No</v>
      </c>
      <c r="R97" s="6" t="s">
        <v>60</v>
      </c>
      <c r="S97" s="6"/>
      <c r="T97" s="6"/>
      <c r="U97" s="23" t="n">
        <v>13.055</v>
      </c>
      <c r="V97" s="6" t="s">
        <v>1391</v>
      </c>
      <c r="W97" s="6" t="s">
        <v>1392</v>
      </c>
      <c r="X97" s="6" t="s">
        <v>1393</v>
      </c>
      <c r="Y97" s="6" t="s">
        <v>60</v>
      </c>
      <c r="Z97" s="6" t="n">
        <v>0</v>
      </c>
      <c r="AA97" s="6" t="n">
        <v>0</v>
      </c>
      <c r="AB97" s="6" t="n">
        <v>0</v>
      </c>
      <c r="AC97" s="6" t="n">
        <v>0</v>
      </c>
      <c r="AD97" s="6" t="n">
        <v>0</v>
      </c>
      <c r="AE97" s="6" t="n">
        <v>0</v>
      </c>
      <c r="AF97" s="6" t="n">
        <v>0</v>
      </c>
      <c r="AG97" s="6" t="n">
        <v>0</v>
      </c>
      <c r="AH97" s="6" t="n">
        <v>0</v>
      </c>
      <c r="AI97" s="6" t="s">
        <v>84</v>
      </c>
    </row>
    <row r="98" customFormat="false" ht="15" hidden="false" customHeight="false" outlineLevel="0" collapsed="false">
      <c r="A98" s="6" t="n">
        <v>97</v>
      </c>
      <c r="B98" s="6" t="s">
        <v>1394</v>
      </c>
      <c r="C98" s="6" t="n">
        <v>2</v>
      </c>
      <c r="D98" s="6" t="s">
        <v>105</v>
      </c>
      <c r="E98" s="6" t="s">
        <v>81</v>
      </c>
      <c r="F98" s="6" t="n">
        <v>3</v>
      </c>
      <c r="G98" s="6" t="n">
        <v>100</v>
      </c>
      <c r="H98" s="6" t="s">
        <v>1395</v>
      </c>
      <c r="I98" s="22" t="n">
        <v>1852400</v>
      </c>
      <c r="J98" s="22" t="n">
        <v>4000</v>
      </c>
      <c r="K98" s="22" t="n">
        <v>139230</v>
      </c>
      <c r="L98" s="22" t="n">
        <v>1995630</v>
      </c>
      <c r="M98" s="6" t="s">
        <v>57</v>
      </c>
      <c r="N98" s="6" t="s">
        <v>58</v>
      </c>
      <c r="O98" s="6"/>
      <c r="P98" s="6" t="s">
        <v>69</v>
      </c>
      <c r="Q98" s="6" t="str">
        <f aca="false">IF(P98="pass","No","Yes")</f>
        <v>No</v>
      </c>
      <c r="R98" s="6" t="s">
        <v>60</v>
      </c>
      <c r="S98" s="6"/>
      <c r="T98" s="6"/>
      <c r="U98" s="23" t="n">
        <v>14.294</v>
      </c>
      <c r="V98" s="6" t="s">
        <v>1396</v>
      </c>
      <c r="W98" s="6" t="s">
        <v>1397</v>
      </c>
      <c r="X98" s="6" t="s">
        <v>1398</v>
      </c>
      <c r="Y98" s="6" t="s">
        <v>60</v>
      </c>
      <c r="Z98" s="6" t="n">
        <v>0</v>
      </c>
      <c r="AA98" s="6" t="n">
        <v>0</v>
      </c>
      <c r="AB98" s="6" t="n">
        <v>0</v>
      </c>
      <c r="AC98" s="6" t="n">
        <v>0</v>
      </c>
      <c r="AD98" s="6" t="n">
        <v>0</v>
      </c>
      <c r="AE98" s="6" t="n">
        <v>0</v>
      </c>
      <c r="AF98" s="6" t="n">
        <v>0</v>
      </c>
      <c r="AG98" s="6" t="n">
        <v>0</v>
      </c>
      <c r="AH98" s="6" t="n">
        <v>0</v>
      </c>
      <c r="AI98" s="6" t="s">
        <v>84</v>
      </c>
    </row>
    <row r="99" customFormat="false" ht="15" hidden="false" customHeight="false" outlineLevel="0" collapsed="false">
      <c r="A99" s="6" t="n">
        <v>98</v>
      </c>
      <c r="B99" s="6" t="s">
        <v>1399</v>
      </c>
      <c r="C99" s="6" t="n">
        <v>2</v>
      </c>
      <c r="D99" s="6" t="s">
        <v>186</v>
      </c>
      <c r="E99" s="6" t="s">
        <v>123</v>
      </c>
      <c r="F99" s="6" t="n">
        <v>3</v>
      </c>
      <c r="G99" s="6" t="n">
        <v>244</v>
      </c>
      <c r="H99" s="6" t="s">
        <v>1400</v>
      </c>
      <c r="I99" s="22" t="n">
        <v>2422600</v>
      </c>
      <c r="J99" s="22" t="n">
        <v>5000</v>
      </c>
      <c r="K99" s="22" t="n">
        <v>182070</v>
      </c>
      <c r="L99" s="22" t="n">
        <v>2609670</v>
      </c>
      <c r="M99" s="6" t="s">
        <v>57</v>
      </c>
      <c r="N99" s="6" t="s">
        <v>58</v>
      </c>
      <c r="O99" s="6"/>
      <c r="P99" s="6" t="s">
        <v>59</v>
      </c>
      <c r="Q99" s="6" t="str">
        <f aca="false">IF(P99="pass","No","Yes")</f>
        <v>Yes</v>
      </c>
      <c r="R99" s="6" t="s">
        <v>60</v>
      </c>
      <c r="S99" s="6" t="s">
        <v>915</v>
      </c>
      <c r="T99" s="6" t="s">
        <v>1401</v>
      </c>
      <c r="U99" s="23" t="n">
        <v>14.929</v>
      </c>
      <c r="V99" s="6" t="s">
        <v>1402</v>
      </c>
      <c r="W99" s="6" t="s">
        <v>1403</v>
      </c>
      <c r="X99" s="6" t="s">
        <v>1404</v>
      </c>
      <c r="Y99" s="6" t="s">
        <v>60</v>
      </c>
      <c r="Z99" s="6" t="n">
        <v>0</v>
      </c>
      <c r="AA99" s="6" t="n">
        <v>0</v>
      </c>
      <c r="AB99" s="6" t="n">
        <v>0</v>
      </c>
      <c r="AC99" s="6" t="n">
        <v>0</v>
      </c>
      <c r="AD99" s="6" t="n">
        <v>0</v>
      </c>
      <c r="AE99" s="6" t="n">
        <v>0</v>
      </c>
      <c r="AF99" s="6" t="n">
        <v>0</v>
      </c>
      <c r="AG99" s="6" t="n">
        <v>0</v>
      </c>
      <c r="AH99" s="6" t="n">
        <v>1</v>
      </c>
      <c r="AI99" s="6" t="s">
        <v>84</v>
      </c>
    </row>
    <row r="100" customFormat="false" ht="15" hidden="false" customHeight="false" outlineLevel="0" collapsed="false">
      <c r="A100" s="6" t="n">
        <v>99</v>
      </c>
      <c r="B100" s="6" t="s">
        <v>1405</v>
      </c>
      <c r="C100" s="6" t="n">
        <v>2</v>
      </c>
      <c r="D100" s="6" t="s">
        <v>198</v>
      </c>
      <c r="E100" s="6" t="s">
        <v>81</v>
      </c>
      <c r="F100" s="6" t="n">
        <v>3</v>
      </c>
      <c r="G100" s="6" t="n">
        <v>146</v>
      </c>
      <c r="H100" s="6" t="s">
        <v>1406</v>
      </c>
      <c r="I100" s="22" t="n">
        <v>1432400</v>
      </c>
      <c r="J100" s="22" t="n">
        <v>4000</v>
      </c>
      <c r="K100" s="22" t="n">
        <v>107730</v>
      </c>
      <c r="L100" s="22" t="n">
        <v>1544130</v>
      </c>
      <c r="M100" s="6" t="s">
        <v>57</v>
      </c>
      <c r="N100" s="6" t="s">
        <v>58</v>
      </c>
      <c r="O100" s="6"/>
      <c r="P100" s="6" t="s">
        <v>59</v>
      </c>
      <c r="Q100" s="6" t="str">
        <f aca="false">IF(P100="pass","No","Yes")</f>
        <v>Yes</v>
      </c>
      <c r="R100" s="6" t="s">
        <v>60</v>
      </c>
      <c r="S100" s="6" t="s">
        <v>915</v>
      </c>
      <c r="T100" s="6" t="s">
        <v>1174</v>
      </c>
      <c r="U100" s="23" t="n">
        <v>14.492</v>
      </c>
      <c r="V100" s="6" t="s">
        <v>1407</v>
      </c>
      <c r="W100" s="6" t="s">
        <v>1408</v>
      </c>
      <c r="X100" s="6" t="s">
        <v>1409</v>
      </c>
      <c r="Y100" s="6" t="s">
        <v>60</v>
      </c>
      <c r="Z100" s="6" t="n">
        <v>0</v>
      </c>
      <c r="AA100" s="6" t="n">
        <v>0</v>
      </c>
      <c r="AB100" s="6" t="n">
        <v>0</v>
      </c>
      <c r="AC100" s="6" t="n">
        <v>0</v>
      </c>
      <c r="AD100" s="6" t="n">
        <v>0</v>
      </c>
      <c r="AE100" s="6" t="n">
        <v>0</v>
      </c>
      <c r="AF100" s="6" t="n">
        <v>0</v>
      </c>
      <c r="AG100" s="6" t="n">
        <v>0</v>
      </c>
      <c r="AH100" s="6" t="n">
        <v>1</v>
      </c>
      <c r="AI100" s="6" t="s">
        <v>84</v>
      </c>
    </row>
    <row r="101" customFormat="false" ht="15" hidden="false" customHeight="false" outlineLevel="0" collapsed="false">
      <c r="A101" s="6" t="n">
        <v>100</v>
      </c>
      <c r="B101" s="6" t="s">
        <v>1410</v>
      </c>
      <c r="C101" s="6" t="n">
        <v>2</v>
      </c>
      <c r="D101" s="6" t="s">
        <v>137</v>
      </c>
      <c r="E101" s="6" t="s">
        <v>55</v>
      </c>
      <c r="F101" s="6" t="n">
        <v>3</v>
      </c>
      <c r="G101" s="6" t="n">
        <v>191</v>
      </c>
      <c r="H101" s="6" t="s">
        <v>1411</v>
      </c>
      <c r="I101" s="22" t="n">
        <v>1792400</v>
      </c>
      <c r="J101" s="22" t="n">
        <v>6000</v>
      </c>
      <c r="K101" s="22" t="n">
        <v>134880</v>
      </c>
      <c r="L101" s="22" t="n">
        <v>1933280</v>
      </c>
      <c r="M101" s="6" t="s">
        <v>57</v>
      </c>
      <c r="N101" s="6" t="s">
        <v>58</v>
      </c>
      <c r="O101" s="6"/>
      <c r="P101" s="6" t="s">
        <v>59</v>
      </c>
      <c r="Q101" s="6" t="str">
        <f aca="false">IF(P101="pass","No","Yes")</f>
        <v>Yes</v>
      </c>
      <c r="R101" s="6" t="s">
        <v>60</v>
      </c>
      <c r="S101" s="6" t="s">
        <v>915</v>
      </c>
      <c r="T101" s="6" t="s">
        <v>232</v>
      </c>
      <c r="U101" s="23" t="n">
        <v>20.018</v>
      </c>
      <c r="V101" s="6" t="s">
        <v>1412</v>
      </c>
      <c r="W101" s="6" t="s">
        <v>1413</v>
      </c>
      <c r="X101" s="6" t="s">
        <v>1414</v>
      </c>
      <c r="Y101" s="6" t="s">
        <v>60</v>
      </c>
      <c r="Z101" s="6" t="n">
        <v>0</v>
      </c>
      <c r="AA101" s="6" t="n">
        <v>0</v>
      </c>
      <c r="AB101" s="6" t="n">
        <v>0</v>
      </c>
      <c r="AC101" s="6" t="n">
        <v>0</v>
      </c>
      <c r="AD101" s="6" t="n">
        <v>0</v>
      </c>
      <c r="AE101" s="6" t="n">
        <v>0</v>
      </c>
      <c r="AF101" s="6" t="n">
        <v>0</v>
      </c>
      <c r="AG101" s="6" t="n">
        <v>0</v>
      </c>
      <c r="AH101" s="6" t="n">
        <v>1</v>
      </c>
      <c r="AI101" s="6" t="s">
        <v>84</v>
      </c>
    </row>
    <row r="102" customFormat="false" ht="15" hidden="false" customHeight="false" outlineLevel="0" collapsed="false">
      <c r="A102" s="6" t="n">
        <v>101</v>
      </c>
      <c r="B102" s="6" t="s">
        <v>1415</v>
      </c>
      <c r="C102" s="6" t="n">
        <v>3</v>
      </c>
      <c r="D102" s="6" t="s">
        <v>213</v>
      </c>
      <c r="E102" s="6" t="s">
        <v>67</v>
      </c>
      <c r="F102" s="6" t="n">
        <v>1</v>
      </c>
      <c r="G102" s="6" t="n">
        <v>6</v>
      </c>
      <c r="H102" s="6" t="s">
        <v>1416</v>
      </c>
      <c r="I102" s="22" t="n">
        <v>228000</v>
      </c>
      <c r="J102" s="22" t="n">
        <v>4500</v>
      </c>
      <c r="K102" s="22" t="n">
        <v>17437.5</v>
      </c>
      <c r="L102" s="22" t="n">
        <v>249937.5</v>
      </c>
      <c r="M102" s="6" t="s">
        <v>57</v>
      </c>
      <c r="N102" s="6" t="s">
        <v>58</v>
      </c>
      <c r="O102" s="6"/>
      <c r="P102" s="6" t="s">
        <v>69</v>
      </c>
      <c r="Q102" s="6" t="str">
        <f aca="false">IF(P102="pass","No","Yes")</f>
        <v>No</v>
      </c>
      <c r="R102" s="6" t="s">
        <v>60</v>
      </c>
      <c r="S102" s="6"/>
      <c r="T102" s="6"/>
      <c r="U102" s="23" t="n">
        <v>5.39</v>
      </c>
      <c r="V102" s="6" t="s">
        <v>1417</v>
      </c>
      <c r="W102" s="6" t="s">
        <v>1418</v>
      </c>
      <c r="X102" s="6" t="s">
        <v>1419</v>
      </c>
      <c r="Y102" s="6" t="s">
        <v>60</v>
      </c>
      <c r="Z102" s="6" t="n">
        <v>0</v>
      </c>
      <c r="AA102" s="6" t="n">
        <v>0</v>
      </c>
      <c r="AB102" s="6" t="n">
        <v>0</v>
      </c>
      <c r="AC102" s="6" t="n">
        <v>0</v>
      </c>
      <c r="AD102" s="6" t="n">
        <v>0</v>
      </c>
      <c r="AE102" s="6" t="n">
        <v>0</v>
      </c>
      <c r="AF102" s="6" t="n">
        <v>0</v>
      </c>
      <c r="AG102" s="6" t="n">
        <v>0</v>
      </c>
      <c r="AH102" s="6" t="n">
        <v>0</v>
      </c>
      <c r="AI102" s="6" t="s">
        <v>84</v>
      </c>
    </row>
    <row r="103" customFormat="false" ht="15" hidden="false" customHeight="false" outlineLevel="0" collapsed="false">
      <c r="A103" s="6" t="n">
        <v>102</v>
      </c>
      <c r="B103" s="6" t="s">
        <v>1420</v>
      </c>
      <c r="C103" s="6" t="n">
        <v>3</v>
      </c>
      <c r="D103" s="6" t="s">
        <v>137</v>
      </c>
      <c r="E103" s="6" t="s">
        <v>55</v>
      </c>
      <c r="F103" s="6" t="n">
        <v>3</v>
      </c>
      <c r="G103" s="6" t="n">
        <v>1597</v>
      </c>
      <c r="H103" s="6" t="s">
        <v>1421</v>
      </c>
      <c r="I103" s="22" t="n">
        <v>11778500</v>
      </c>
      <c r="J103" s="22" t="n">
        <v>6000</v>
      </c>
      <c r="K103" s="22" t="n">
        <v>883837.5</v>
      </c>
      <c r="L103" s="22" t="n">
        <v>12668337.5</v>
      </c>
      <c r="M103" s="6" t="s">
        <v>159</v>
      </c>
      <c r="N103" s="6" t="s">
        <v>84</v>
      </c>
      <c r="O103" s="6" t="s">
        <v>886</v>
      </c>
      <c r="P103" s="6" t="s">
        <v>85</v>
      </c>
      <c r="Q103" s="6" t="str">
        <f aca="false">IF(P103="pass","No","Yes")</f>
        <v>Yes</v>
      </c>
      <c r="R103" s="6" t="s">
        <v>86</v>
      </c>
      <c r="S103" s="6" t="s">
        <v>992</v>
      </c>
      <c r="T103" s="6" t="s">
        <v>1422</v>
      </c>
      <c r="U103" s="23" t="n">
        <v>14.787</v>
      </c>
      <c r="V103" s="6" t="s">
        <v>1423</v>
      </c>
      <c r="W103" s="6" t="s">
        <v>1424</v>
      </c>
      <c r="X103" s="6" t="s">
        <v>1425</v>
      </c>
      <c r="Y103" s="6" t="s">
        <v>86</v>
      </c>
      <c r="Z103" s="6" t="n">
        <v>0</v>
      </c>
      <c r="AA103" s="6" t="n">
        <v>0</v>
      </c>
      <c r="AB103" s="6" t="n">
        <v>1</v>
      </c>
      <c r="AC103" s="6" t="n">
        <v>1</v>
      </c>
      <c r="AD103" s="6" t="n">
        <v>0</v>
      </c>
      <c r="AE103" s="6" t="n">
        <v>0</v>
      </c>
      <c r="AF103" s="6" t="n">
        <v>0</v>
      </c>
      <c r="AG103" s="6" t="n">
        <v>0</v>
      </c>
      <c r="AH103" s="6" t="n">
        <v>1</v>
      </c>
      <c r="AI103" s="6" t="s">
        <v>84</v>
      </c>
    </row>
    <row r="104" customFormat="false" ht="15" hidden="false" customHeight="false" outlineLevel="0" collapsed="false">
      <c r="A104" s="6" t="n">
        <v>103</v>
      </c>
      <c r="B104" s="6" t="s">
        <v>1426</v>
      </c>
      <c r="C104" s="6" t="n">
        <v>3</v>
      </c>
      <c r="D104" s="6" t="s">
        <v>142</v>
      </c>
      <c r="E104" s="6" t="s">
        <v>74</v>
      </c>
      <c r="F104" s="6" t="n">
        <v>2</v>
      </c>
      <c r="G104" s="6" t="n">
        <v>1152</v>
      </c>
      <c r="H104" s="6" t="s">
        <v>1427</v>
      </c>
      <c r="I104" s="22" t="n">
        <v>13092200</v>
      </c>
      <c r="J104" s="22" t="n">
        <v>9000</v>
      </c>
      <c r="K104" s="22" t="n">
        <v>982590</v>
      </c>
      <c r="L104" s="22" t="n">
        <v>14083790</v>
      </c>
      <c r="M104" s="6" t="s">
        <v>159</v>
      </c>
      <c r="N104" s="6" t="s">
        <v>84</v>
      </c>
      <c r="O104" s="6" t="s">
        <v>886</v>
      </c>
      <c r="P104" s="6" t="s">
        <v>85</v>
      </c>
      <c r="Q104" s="6" t="str">
        <f aca="false">IF(P104="pass","No","Yes")</f>
        <v>Yes</v>
      </c>
      <c r="R104" s="6" t="s">
        <v>86</v>
      </c>
      <c r="S104" s="6" t="s">
        <v>992</v>
      </c>
      <c r="T104" s="6" t="s">
        <v>1428</v>
      </c>
      <c r="U104" s="23" t="n">
        <v>13.508</v>
      </c>
      <c r="V104" s="6" t="s">
        <v>1429</v>
      </c>
      <c r="W104" s="6" t="s">
        <v>1430</v>
      </c>
      <c r="X104" s="6" t="s">
        <v>1431</v>
      </c>
      <c r="Y104" s="6" t="s">
        <v>86</v>
      </c>
      <c r="Z104" s="6" t="n">
        <v>0</v>
      </c>
      <c r="AA104" s="6" t="n">
        <v>0</v>
      </c>
      <c r="AB104" s="6" t="n">
        <v>1</v>
      </c>
      <c r="AC104" s="6" t="n">
        <v>1</v>
      </c>
      <c r="AD104" s="6" t="n">
        <v>0</v>
      </c>
      <c r="AE104" s="6" t="n">
        <v>0</v>
      </c>
      <c r="AF104" s="6" t="n">
        <v>0</v>
      </c>
      <c r="AG104" s="6" t="n">
        <v>0</v>
      </c>
      <c r="AH104" s="6" t="n">
        <v>1</v>
      </c>
      <c r="AI104" s="6" t="s">
        <v>84</v>
      </c>
    </row>
    <row r="105" customFormat="false" ht="15" hidden="false" customHeight="false" outlineLevel="0" collapsed="false">
      <c r="A105" s="6" t="n">
        <v>104</v>
      </c>
      <c r="B105" s="6" t="s">
        <v>1432</v>
      </c>
      <c r="C105" s="6" t="n">
        <v>3</v>
      </c>
      <c r="D105" s="6" t="s">
        <v>198</v>
      </c>
      <c r="E105" s="6" t="s">
        <v>81</v>
      </c>
      <c r="F105" s="6" t="n">
        <v>3</v>
      </c>
      <c r="G105" s="6" t="n">
        <v>98</v>
      </c>
      <c r="H105" s="6" t="s">
        <v>1433</v>
      </c>
      <c r="I105" s="22" t="n">
        <v>1245400</v>
      </c>
      <c r="J105" s="22" t="n">
        <v>4000</v>
      </c>
      <c r="K105" s="22" t="n">
        <v>93705</v>
      </c>
      <c r="L105" s="22" t="n">
        <v>1343105</v>
      </c>
      <c r="M105" s="6" t="s">
        <v>57</v>
      </c>
      <c r="N105" s="6" t="s">
        <v>58</v>
      </c>
      <c r="O105" s="6"/>
      <c r="P105" s="6" t="s">
        <v>69</v>
      </c>
      <c r="Q105" s="6" t="str">
        <f aca="false">IF(P105="pass","No","Yes")</f>
        <v>No</v>
      </c>
      <c r="R105" s="6" t="s">
        <v>60</v>
      </c>
      <c r="S105" s="6"/>
      <c r="T105" s="6"/>
      <c r="U105" s="23" t="n">
        <v>8.506</v>
      </c>
      <c r="V105" s="6" t="s">
        <v>1434</v>
      </c>
      <c r="W105" s="6" t="s">
        <v>1435</v>
      </c>
      <c r="X105" s="6" t="s">
        <v>1436</v>
      </c>
      <c r="Y105" s="6" t="s">
        <v>60</v>
      </c>
      <c r="Z105" s="6" t="n">
        <v>0</v>
      </c>
      <c r="AA105" s="6" t="n">
        <v>0</v>
      </c>
      <c r="AB105" s="6" t="n">
        <v>0</v>
      </c>
      <c r="AC105" s="6" t="n">
        <v>0</v>
      </c>
      <c r="AD105" s="6" t="n">
        <v>0</v>
      </c>
      <c r="AE105" s="6" t="n">
        <v>0</v>
      </c>
      <c r="AF105" s="6" t="n">
        <v>0</v>
      </c>
      <c r="AG105" s="6" t="n">
        <v>0</v>
      </c>
      <c r="AH105" s="6" t="n">
        <v>0</v>
      </c>
      <c r="AI105" s="6" t="s">
        <v>84</v>
      </c>
    </row>
    <row r="106" customFormat="false" ht="15" hidden="false" customHeight="false" outlineLevel="0" collapsed="false">
      <c r="A106" s="6" t="n">
        <v>105</v>
      </c>
      <c r="B106" s="6" t="s">
        <v>1437</v>
      </c>
      <c r="C106" s="6" t="n">
        <v>3</v>
      </c>
      <c r="D106" s="6" t="s">
        <v>137</v>
      </c>
      <c r="E106" s="6" t="s">
        <v>55</v>
      </c>
      <c r="F106" s="6" t="n">
        <v>4</v>
      </c>
      <c r="G106" s="6" t="n">
        <v>31</v>
      </c>
      <c r="H106" s="6" t="s">
        <v>1438</v>
      </c>
      <c r="I106" s="22" t="n">
        <v>421700</v>
      </c>
      <c r="J106" s="22" t="n">
        <v>6000</v>
      </c>
      <c r="K106" s="22" t="n">
        <v>32077.5</v>
      </c>
      <c r="L106" s="22" t="n">
        <v>459777.5</v>
      </c>
      <c r="M106" s="6" t="s">
        <v>152</v>
      </c>
      <c r="N106" s="6" t="s">
        <v>84</v>
      </c>
      <c r="O106" s="6" t="s">
        <v>886</v>
      </c>
      <c r="P106" s="6" t="s">
        <v>85</v>
      </c>
      <c r="Q106" s="6" t="str">
        <f aca="false">IF(P106="pass","No","Yes")</f>
        <v>Yes</v>
      </c>
      <c r="R106" s="6" t="s">
        <v>86</v>
      </c>
      <c r="S106" s="6" t="s">
        <v>886</v>
      </c>
      <c r="T106" s="6" t="s">
        <v>475</v>
      </c>
      <c r="U106" s="23" t="n">
        <v>9.416</v>
      </c>
      <c r="V106" s="6" t="s">
        <v>1439</v>
      </c>
      <c r="W106" s="6" t="s">
        <v>1440</v>
      </c>
      <c r="X106" s="6" t="s">
        <v>1441</v>
      </c>
      <c r="Y106" s="6" t="s">
        <v>86</v>
      </c>
      <c r="Z106" s="6" t="n">
        <v>0</v>
      </c>
      <c r="AA106" s="6" t="n">
        <v>0</v>
      </c>
      <c r="AB106" s="6" t="n">
        <v>1</v>
      </c>
      <c r="AC106" s="6" t="n">
        <v>0</v>
      </c>
      <c r="AD106" s="6" t="n">
        <v>0</v>
      </c>
      <c r="AE106" s="6" t="n">
        <v>0</v>
      </c>
      <c r="AF106" s="6" t="n">
        <v>0</v>
      </c>
      <c r="AG106" s="6" t="n">
        <v>0</v>
      </c>
      <c r="AH106" s="6" t="n">
        <v>0</v>
      </c>
      <c r="AI106" s="6" t="s">
        <v>84</v>
      </c>
    </row>
    <row r="107" customFormat="false" ht="15" hidden="false" customHeight="false" outlineLevel="0" collapsed="false">
      <c r="A107" s="6" t="n">
        <v>106</v>
      </c>
      <c r="B107" s="6" t="s">
        <v>1442</v>
      </c>
      <c r="C107" s="6" t="n">
        <v>3</v>
      </c>
      <c r="D107" s="6" t="s">
        <v>127</v>
      </c>
      <c r="E107" s="6" t="s">
        <v>55</v>
      </c>
      <c r="F107" s="6" t="n">
        <v>2</v>
      </c>
      <c r="G107" s="6" t="n">
        <v>19</v>
      </c>
      <c r="H107" s="6" t="s">
        <v>1443</v>
      </c>
      <c r="I107" s="22" t="n">
        <v>654200</v>
      </c>
      <c r="J107" s="22" t="n">
        <v>6000</v>
      </c>
      <c r="K107" s="22" t="n">
        <v>49515</v>
      </c>
      <c r="L107" s="22" t="n">
        <v>709715</v>
      </c>
      <c r="M107" s="6" t="s">
        <v>57</v>
      </c>
      <c r="N107" s="6" t="s">
        <v>58</v>
      </c>
      <c r="O107" s="6"/>
      <c r="P107" s="6" t="s">
        <v>69</v>
      </c>
      <c r="Q107" s="6" t="str">
        <f aca="false">IF(P107="pass","No","Yes")</f>
        <v>No</v>
      </c>
      <c r="R107" s="6" t="s">
        <v>60</v>
      </c>
      <c r="S107" s="6"/>
      <c r="T107" s="6"/>
      <c r="U107" s="23" t="n">
        <v>8.303</v>
      </c>
      <c r="V107" s="6" t="s">
        <v>1444</v>
      </c>
      <c r="W107" s="6" t="s">
        <v>1445</v>
      </c>
      <c r="X107" s="6" t="s">
        <v>1446</v>
      </c>
      <c r="Y107" s="6" t="s">
        <v>60</v>
      </c>
      <c r="Z107" s="6" t="n">
        <v>0</v>
      </c>
      <c r="AA107" s="6" t="n">
        <v>0</v>
      </c>
      <c r="AB107" s="6" t="n">
        <v>0</v>
      </c>
      <c r="AC107" s="6" t="n">
        <v>0</v>
      </c>
      <c r="AD107" s="6" t="n">
        <v>0</v>
      </c>
      <c r="AE107" s="6" t="n">
        <v>0</v>
      </c>
      <c r="AF107" s="6" t="n">
        <v>0</v>
      </c>
      <c r="AG107" s="6" t="n">
        <v>0</v>
      </c>
      <c r="AH107" s="6" t="n">
        <v>0</v>
      </c>
      <c r="AI107" s="6" t="s">
        <v>84</v>
      </c>
    </row>
    <row r="108" customFormat="false" ht="15" hidden="false" customHeight="false" outlineLevel="0" collapsed="false">
      <c r="A108" s="6" t="n">
        <v>107</v>
      </c>
      <c r="B108" s="6" t="s">
        <v>1447</v>
      </c>
      <c r="C108" s="6" t="n">
        <v>3</v>
      </c>
      <c r="D108" s="6" t="s">
        <v>142</v>
      </c>
      <c r="E108" s="6" t="s">
        <v>74</v>
      </c>
      <c r="F108" s="6" t="n">
        <v>3</v>
      </c>
      <c r="G108" s="6" t="n">
        <v>434</v>
      </c>
      <c r="H108" s="6" t="s">
        <v>1448</v>
      </c>
      <c r="I108" s="22" t="n">
        <v>5008800</v>
      </c>
      <c r="J108" s="22" t="n">
        <v>9000</v>
      </c>
      <c r="K108" s="22" t="n">
        <v>376335</v>
      </c>
      <c r="L108" s="22" t="n">
        <v>5394135</v>
      </c>
      <c r="M108" s="6" t="s">
        <v>171</v>
      </c>
      <c r="N108" s="6" t="s">
        <v>84</v>
      </c>
      <c r="O108" s="6" t="s">
        <v>892</v>
      </c>
      <c r="P108" s="6" t="s">
        <v>85</v>
      </c>
      <c r="Q108" s="6" t="str">
        <f aca="false">IF(P108="pass","No","Yes")</f>
        <v>Yes</v>
      </c>
      <c r="R108" s="6" t="s">
        <v>86</v>
      </c>
      <c r="S108" s="6" t="s">
        <v>892</v>
      </c>
      <c r="T108" s="6" t="s">
        <v>368</v>
      </c>
      <c r="U108" s="23" t="n">
        <v>14.759</v>
      </c>
      <c r="V108" s="6" t="s">
        <v>1449</v>
      </c>
      <c r="W108" s="6" t="s">
        <v>1450</v>
      </c>
      <c r="X108" s="6" t="s">
        <v>1451</v>
      </c>
      <c r="Y108" s="6" t="s">
        <v>86</v>
      </c>
      <c r="Z108" s="6" t="n">
        <v>0</v>
      </c>
      <c r="AA108" s="6" t="n">
        <v>0</v>
      </c>
      <c r="AB108" s="6" t="n">
        <v>0</v>
      </c>
      <c r="AC108" s="6" t="n">
        <v>1</v>
      </c>
      <c r="AD108" s="6" t="n">
        <v>0</v>
      </c>
      <c r="AE108" s="6" t="n">
        <v>0</v>
      </c>
      <c r="AF108" s="6" t="n">
        <v>0</v>
      </c>
      <c r="AG108" s="6" t="n">
        <v>0</v>
      </c>
      <c r="AH108" s="6" t="n">
        <v>0</v>
      </c>
      <c r="AI108" s="6" t="s">
        <v>84</v>
      </c>
    </row>
    <row r="109" customFormat="false" ht="15" hidden="false" customHeight="false" outlineLevel="0" collapsed="false">
      <c r="A109" s="6" t="n">
        <v>108</v>
      </c>
      <c r="B109" s="6" t="s">
        <v>1452</v>
      </c>
      <c r="C109" s="6" t="n">
        <v>3</v>
      </c>
      <c r="D109" s="6" t="s">
        <v>63</v>
      </c>
      <c r="E109" s="6" t="s">
        <v>67</v>
      </c>
      <c r="F109" s="6" t="n">
        <v>1</v>
      </c>
      <c r="G109" s="6" t="n">
        <v>13</v>
      </c>
      <c r="H109" s="6" t="s">
        <v>1453</v>
      </c>
      <c r="I109" s="22" t="n">
        <v>403000</v>
      </c>
      <c r="J109" s="22" t="n">
        <v>4500</v>
      </c>
      <c r="K109" s="22" t="n">
        <v>30562.5</v>
      </c>
      <c r="L109" s="22" t="n">
        <v>438062.5</v>
      </c>
      <c r="M109" s="6" t="s">
        <v>224</v>
      </c>
      <c r="N109" s="6" t="s">
        <v>84</v>
      </c>
      <c r="O109" s="6" t="s">
        <v>866</v>
      </c>
      <c r="P109" s="6" t="s">
        <v>85</v>
      </c>
      <c r="Q109" s="6" t="str">
        <f aca="false">IF(P109="pass","No","Yes")</f>
        <v>Yes</v>
      </c>
      <c r="R109" s="6" t="s">
        <v>86</v>
      </c>
      <c r="S109" s="6" t="s">
        <v>866</v>
      </c>
      <c r="T109" s="6" t="s">
        <v>225</v>
      </c>
      <c r="U109" s="23" t="n">
        <v>4.872</v>
      </c>
      <c r="V109" s="6" t="s">
        <v>1454</v>
      </c>
      <c r="W109" s="6" t="s">
        <v>1455</v>
      </c>
      <c r="X109" s="6" t="s">
        <v>1456</v>
      </c>
      <c r="Y109" s="6" t="s">
        <v>86</v>
      </c>
      <c r="Z109" s="6" t="n">
        <v>1</v>
      </c>
      <c r="AA109" s="6" t="n">
        <v>0</v>
      </c>
      <c r="AB109" s="6" t="n">
        <v>0</v>
      </c>
      <c r="AC109" s="6" t="n">
        <v>0</v>
      </c>
      <c r="AD109" s="6" t="n">
        <v>0</v>
      </c>
      <c r="AE109" s="6" t="n">
        <v>0</v>
      </c>
      <c r="AF109" s="6" t="n">
        <v>0</v>
      </c>
      <c r="AG109" s="6" t="n">
        <v>0</v>
      </c>
      <c r="AH109" s="6" t="n">
        <v>0</v>
      </c>
      <c r="AI109" s="6" t="s">
        <v>58</v>
      </c>
    </row>
    <row r="110" customFormat="false" ht="15" hidden="false" customHeight="false" outlineLevel="0" collapsed="false">
      <c r="A110" s="6" t="n">
        <v>109</v>
      </c>
      <c r="B110" s="6" t="s">
        <v>1457</v>
      </c>
      <c r="C110" s="6" t="n">
        <v>3</v>
      </c>
      <c r="D110" s="6" t="s">
        <v>154</v>
      </c>
      <c r="E110" s="6" t="s">
        <v>123</v>
      </c>
      <c r="F110" s="6" t="n">
        <v>1</v>
      </c>
      <c r="G110" s="6" t="n">
        <v>15</v>
      </c>
      <c r="H110" s="6" t="s">
        <v>1458</v>
      </c>
      <c r="I110" s="22" t="n">
        <v>780000</v>
      </c>
      <c r="J110" s="22" t="n">
        <v>5000</v>
      </c>
      <c r="K110" s="22" t="n">
        <v>58875</v>
      </c>
      <c r="L110" s="22" t="n">
        <v>843875</v>
      </c>
      <c r="M110" s="6" t="s">
        <v>57</v>
      </c>
      <c r="N110" s="6" t="s">
        <v>58</v>
      </c>
      <c r="O110" s="6"/>
      <c r="P110" s="6" t="s">
        <v>69</v>
      </c>
      <c r="Q110" s="6" t="str">
        <f aca="false">IF(P110="pass","No","Yes")</f>
        <v>No</v>
      </c>
      <c r="R110" s="6" t="s">
        <v>60</v>
      </c>
      <c r="S110" s="6"/>
      <c r="T110" s="6"/>
      <c r="U110" s="23" t="n">
        <v>5.58</v>
      </c>
      <c r="V110" s="6" t="s">
        <v>1459</v>
      </c>
      <c r="W110" s="6" t="s">
        <v>1460</v>
      </c>
      <c r="X110" s="6" t="s">
        <v>1461</v>
      </c>
      <c r="Y110" s="6" t="s">
        <v>60</v>
      </c>
      <c r="Z110" s="6" t="n">
        <v>0</v>
      </c>
      <c r="AA110" s="6" t="n">
        <v>0</v>
      </c>
      <c r="AB110" s="6" t="n">
        <v>0</v>
      </c>
      <c r="AC110" s="6" t="n">
        <v>0</v>
      </c>
      <c r="AD110" s="6" t="n">
        <v>0</v>
      </c>
      <c r="AE110" s="6" t="n">
        <v>0</v>
      </c>
      <c r="AF110" s="6" t="n">
        <v>0</v>
      </c>
      <c r="AG110" s="6" t="n">
        <v>0</v>
      </c>
      <c r="AH110" s="6" t="n">
        <v>0</v>
      </c>
      <c r="AI110" s="6" t="s">
        <v>84</v>
      </c>
    </row>
    <row r="111" customFormat="false" ht="15" hidden="false" customHeight="false" outlineLevel="0" collapsed="false">
      <c r="A111" s="6" t="n">
        <v>110</v>
      </c>
      <c r="B111" s="6" t="s">
        <v>1462</v>
      </c>
      <c r="C111" s="6" t="n">
        <v>3</v>
      </c>
      <c r="D111" s="6" t="s">
        <v>142</v>
      </c>
      <c r="E111" s="6" t="s">
        <v>74</v>
      </c>
      <c r="F111" s="6" t="n">
        <v>3</v>
      </c>
      <c r="G111" s="6" t="n">
        <v>132</v>
      </c>
      <c r="H111" s="6" t="s">
        <v>1463</v>
      </c>
      <c r="I111" s="22" t="n">
        <v>1554100</v>
      </c>
      <c r="J111" s="22" t="n">
        <v>9000</v>
      </c>
      <c r="K111" s="22" t="n">
        <v>117232.5</v>
      </c>
      <c r="L111" s="22" t="n">
        <v>1680332.5</v>
      </c>
      <c r="M111" s="6" t="s">
        <v>83</v>
      </c>
      <c r="N111" s="6" t="s">
        <v>84</v>
      </c>
      <c r="O111" s="6" t="s">
        <v>886</v>
      </c>
      <c r="P111" s="6" t="s">
        <v>85</v>
      </c>
      <c r="Q111" s="6" t="str">
        <f aca="false">IF(P111="pass","No","Yes")</f>
        <v>Yes</v>
      </c>
      <c r="R111" s="6" t="s">
        <v>86</v>
      </c>
      <c r="S111" s="6" t="s">
        <v>886</v>
      </c>
      <c r="T111" s="6" t="s">
        <v>304</v>
      </c>
      <c r="U111" s="23" t="n">
        <v>15.126</v>
      </c>
      <c r="V111" s="6" t="s">
        <v>1464</v>
      </c>
      <c r="W111" s="6" t="s">
        <v>1465</v>
      </c>
      <c r="X111" s="6" t="s">
        <v>1466</v>
      </c>
      <c r="Y111" s="6" t="s">
        <v>86</v>
      </c>
      <c r="Z111" s="6" t="n">
        <v>0</v>
      </c>
      <c r="AA111" s="6" t="n">
        <v>0</v>
      </c>
      <c r="AB111" s="6" t="n">
        <v>1</v>
      </c>
      <c r="AC111" s="6" t="n">
        <v>0</v>
      </c>
      <c r="AD111" s="6" t="n">
        <v>0</v>
      </c>
      <c r="AE111" s="6" t="n">
        <v>0</v>
      </c>
      <c r="AF111" s="6" t="n">
        <v>0</v>
      </c>
      <c r="AG111" s="6" t="n">
        <v>0</v>
      </c>
      <c r="AH111" s="6" t="n">
        <v>0</v>
      </c>
      <c r="AI111" s="6" t="s">
        <v>84</v>
      </c>
    </row>
    <row r="112" customFormat="false" ht="15" hidden="false" customHeight="false" outlineLevel="0" collapsed="false">
      <c r="A112" s="6" t="n">
        <v>111</v>
      </c>
      <c r="B112" s="6" t="s">
        <v>1467</v>
      </c>
      <c r="C112" s="6" t="n">
        <v>3</v>
      </c>
      <c r="D112" s="6" t="s">
        <v>177</v>
      </c>
      <c r="E112" s="6" t="s">
        <v>81</v>
      </c>
      <c r="F112" s="6" t="n">
        <v>2</v>
      </c>
      <c r="G112" s="6" t="n">
        <v>16</v>
      </c>
      <c r="H112" s="6" t="s">
        <v>1468</v>
      </c>
      <c r="I112" s="22" t="n">
        <v>706000</v>
      </c>
      <c r="J112" s="22" t="n">
        <v>4000</v>
      </c>
      <c r="K112" s="22" t="n">
        <v>53250</v>
      </c>
      <c r="L112" s="22" t="n">
        <v>763250</v>
      </c>
      <c r="M112" s="6" t="s">
        <v>57</v>
      </c>
      <c r="N112" s="6" t="s">
        <v>58</v>
      </c>
      <c r="O112" s="6"/>
      <c r="P112" s="6" t="s">
        <v>69</v>
      </c>
      <c r="Q112" s="6" t="str">
        <f aca="false">IF(P112="pass","No","Yes")</f>
        <v>No</v>
      </c>
      <c r="R112" s="6" t="s">
        <v>60</v>
      </c>
      <c r="S112" s="6"/>
      <c r="T112" s="6"/>
      <c r="U112" s="23" t="n">
        <v>7.918</v>
      </c>
      <c r="V112" s="6" t="s">
        <v>1469</v>
      </c>
      <c r="W112" s="6" t="s">
        <v>1470</v>
      </c>
      <c r="X112" s="6" t="s">
        <v>1471</v>
      </c>
      <c r="Y112" s="6" t="s">
        <v>60</v>
      </c>
      <c r="Z112" s="6" t="n">
        <v>0</v>
      </c>
      <c r="AA112" s="6" t="n">
        <v>0</v>
      </c>
      <c r="AB112" s="6" t="n">
        <v>0</v>
      </c>
      <c r="AC112" s="6" t="n">
        <v>0</v>
      </c>
      <c r="AD112" s="6" t="n">
        <v>0</v>
      </c>
      <c r="AE112" s="6" t="n">
        <v>0</v>
      </c>
      <c r="AF112" s="6" t="n">
        <v>0</v>
      </c>
      <c r="AG112" s="6" t="n">
        <v>0</v>
      </c>
      <c r="AH112" s="6" t="n">
        <v>0</v>
      </c>
      <c r="AI112" s="6" t="s">
        <v>84</v>
      </c>
    </row>
    <row r="113" customFormat="false" ht="15" hidden="false" customHeight="false" outlineLevel="0" collapsed="false">
      <c r="A113" s="6" t="n">
        <v>112</v>
      </c>
      <c r="B113" s="6" t="s">
        <v>1472</v>
      </c>
      <c r="C113" s="6" t="n">
        <v>3</v>
      </c>
      <c r="D113" s="6" t="s">
        <v>51</v>
      </c>
      <c r="E113" s="6" t="s">
        <v>55</v>
      </c>
      <c r="F113" s="6" t="n">
        <v>1</v>
      </c>
      <c r="G113" s="6" t="n">
        <v>4</v>
      </c>
      <c r="H113" s="6" t="s">
        <v>1473</v>
      </c>
      <c r="I113" s="22" t="n">
        <v>34400</v>
      </c>
      <c r="J113" s="22" t="n">
        <v>6000</v>
      </c>
      <c r="K113" s="22" t="n">
        <v>3030</v>
      </c>
      <c r="L113" s="22" t="n">
        <v>43430</v>
      </c>
      <c r="M113" s="6" t="s">
        <v>224</v>
      </c>
      <c r="N113" s="6" t="s">
        <v>84</v>
      </c>
      <c r="O113" s="6" t="s">
        <v>866</v>
      </c>
      <c r="P113" s="6" t="s">
        <v>85</v>
      </c>
      <c r="Q113" s="6" t="str">
        <f aca="false">IF(P113="pass","No","Yes")</f>
        <v>Yes</v>
      </c>
      <c r="R113" s="6" t="s">
        <v>86</v>
      </c>
      <c r="S113" s="6" t="s">
        <v>866</v>
      </c>
      <c r="T113" s="6" t="s">
        <v>225</v>
      </c>
      <c r="U113" s="23" t="n">
        <v>5.15</v>
      </c>
      <c r="V113" s="6" t="s">
        <v>1474</v>
      </c>
      <c r="W113" s="6" t="s">
        <v>1475</v>
      </c>
      <c r="X113" s="6" t="s">
        <v>1476</v>
      </c>
      <c r="Y113" s="6" t="s">
        <v>86</v>
      </c>
      <c r="Z113" s="6" t="n">
        <v>1</v>
      </c>
      <c r="AA113" s="6" t="n">
        <v>0</v>
      </c>
      <c r="AB113" s="6" t="n">
        <v>0</v>
      </c>
      <c r="AC113" s="6" t="n">
        <v>0</v>
      </c>
      <c r="AD113" s="6" t="n">
        <v>0</v>
      </c>
      <c r="AE113" s="6" t="n">
        <v>0</v>
      </c>
      <c r="AF113" s="6" t="n">
        <v>0</v>
      </c>
      <c r="AG113" s="6" t="n">
        <v>0</v>
      </c>
      <c r="AH113" s="6" t="n">
        <v>0</v>
      </c>
      <c r="AI113" s="6" t="s">
        <v>58</v>
      </c>
    </row>
    <row r="114" customFormat="false" ht="15" hidden="false" customHeight="false" outlineLevel="0" collapsed="false">
      <c r="A114" s="6" t="n">
        <v>113</v>
      </c>
      <c r="B114" s="6" t="s">
        <v>1477</v>
      </c>
      <c r="C114" s="6" t="n">
        <v>3</v>
      </c>
      <c r="D114" s="6" t="s">
        <v>63</v>
      </c>
      <c r="E114" s="6" t="s">
        <v>67</v>
      </c>
      <c r="F114" s="6" t="n">
        <v>4</v>
      </c>
      <c r="G114" s="6" t="n">
        <v>266</v>
      </c>
      <c r="H114" s="6" t="s">
        <v>1478</v>
      </c>
      <c r="I114" s="22" t="n">
        <v>2698800</v>
      </c>
      <c r="J114" s="22" t="n">
        <v>4500</v>
      </c>
      <c r="K114" s="22" t="n">
        <v>202747.5</v>
      </c>
      <c r="L114" s="22" t="n">
        <v>2906047.5</v>
      </c>
      <c r="M114" s="6" t="s">
        <v>83</v>
      </c>
      <c r="N114" s="6" t="s">
        <v>84</v>
      </c>
      <c r="O114" s="6" t="s">
        <v>886</v>
      </c>
      <c r="P114" s="6" t="s">
        <v>85</v>
      </c>
      <c r="Q114" s="6" t="str">
        <f aca="false">IF(P114="pass","No","Yes")</f>
        <v>Yes</v>
      </c>
      <c r="R114" s="6" t="s">
        <v>86</v>
      </c>
      <c r="S114" s="6" t="s">
        <v>1479</v>
      </c>
      <c r="T114" s="6" t="s">
        <v>1480</v>
      </c>
      <c r="U114" s="23" t="n">
        <v>24.052</v>
      </c>
      <c r="V114" s="6" t="s">
        <v>1481</v>
      </c>
      <c r="W114" s="6" t="s">
        <v>1482</v>
      </c>
      <c r="X114" s="6" t="s">
        <v>1483</v>
      </c>
      <c r="Y114" s="6" t="s">
        <v>86</v>
      </c>
      <c r="Z114" s="6" t="n">
        <v>0</v>
      </c>
      <c r="AA114" s="6" t="n">
        <v>0</v>
      </c>
      <c r="AB114" s="6" t="n">
        <v>1</v>
      </c>
      <c r="AC114" s="6" t="n">
        <v>0</v>
      </c>
      <c r="AD114" s="6" t="n">
        <v>0</v>
      </c>
      <c r="AE114" s="6" t="n">
        <v>0</v>
      </c>
      <c r="AF114" s="6" t="n">
        <v>0</v>
      </c>
      <c r="AG114" s="6" t="n">
        <v>0</v>
      </c>
      <c r="AH114" s="6" t="n">
        <v>1</v>
      </c>
      <c r="AI114" s="6" t="s">
        <v>84</v>
      </c>
    </row>
    <row r="115" customFormat="false" ht="15" hidden="false" customHeight="false" outlineLevel="0" collapsed="false">
      <c r="A115" s="6" t="n">
        <v>114</v>
      </c>
      <c r="B115" s="6" t="s">
        <v>1484</v>
      </c>
      <c r="C115" s="6" t="n">
        <v>3</v>
      </c>
      <c r="D115" s="6" t="s">
        <v>137</v>
      </c>
      <c r="E115" s="6" t="s">
        <v>55</v>
      </c>
      <c r="F115" s="6" t="n">
        <v>2</v>
      </c>
      <c r="G115" s="6" t="n">
        <v>10</v>
      </c>
      <c r="H115" s="6" t="s">
        <v>1485</v>
      </c>
      <c r="I115" s="22" t="n">
        <v>102800</v>
      </c>
      <c r="J115" s="22" t="n">
        <v>6000</v>
      </c>
      <c r="K115" s="22" t="n">
        <v>8160</v>
      </c>
      <c r="L115" s="22" t="n">
        <v>116960</v>
      </c>
      <c r="M115" s="6" t="s">
        <v>94</v>
      </c>
      <c r="N115" s="6" t="s">
        <v>84</v>
      </c>
      <c r="O115" s="6" t="s">
        <v>909</v>
      </c>
      <c r="P115" s="6" t="s">
        <v>85</v>
      </c>
      <c r="Q115" s="6" t="str">
        <f aca="false">IF(P115="pass","No","Yes")</f>
        <v>Yes</v>
      </c>
      <c r="R115" s="6" t="s">
        <v>86</v>
      </c>
      <c r="S115" s="6" t="s">
        <v>909</v>
      </c>
      <c r="T115" s="6" t="s">
        <v>254</v>
      </c>
      <c r="U115" s="23" t="n">
        <v>14.309</v>
      </c>
      <c r="V115" s="6" t="s">
        <v>1486</v>
      </c>
      <c r="W115" s="6" t="s">
        <v>1487</v>
      </c>
      <c r="X115" s="6" t="s">
        <v>1488</v>
      </c>
      <c r="Y115" s="6" t="s">
        <v>86</v>
      </c>
      <c r="Z115" s="6" t="n">
        <v>0</v>
      </c>
      <c r="AA115" s="6" t="n">
        <v>0</v>
      </c>
      <c r="AB115" s="6" t="n">
        <v>0</v>
      </c>
      <c r="AC115" s="6" t="n">
        <v>0</v>
      </c>
      <c r="AD115" s="6" t="n">
        <v>0</v>
      </c>
      <c r="AE115" s="6" t="n">
        <v>0</v>
      </c>
      <c r="AF115" s="6" t="n">
        <v>1</v>
      </c>
      <c r="AG115" s="6" t="n">
        <v>0</v>
      </c>
      <c r="AH115" s="6" t="n">
        <v>0</v>
      </c>
      <c r="AI115" s="6" t="s">
        <v>84</v>
      </c>
    </row>
    <row r="116" customFormat="false" ht="15" hidden="false" customHeight="false" outlineLevel="0" collapsed="false">
      <c r="A116" s="6" t="n">
        <v>115</v>
      </c>
      <c r="B116" s="6" t="s">
        <v>1489</v>
      </c>
      <c r="C116" s="6" t="n">
        <v>3</v>
      </c>
      <c r="D116" s="6" t="s">
        <v>77</v>
      </c>
      <c r="E116" s="6" t="s">
        <v>81</v>
      </c>
      <c r="F116" s="6" t="n">
        <v>3</v>
      </c>
      <c r="G116" s="6" t="n">
        <v>100</v>
      </c>
      <c r="H116" s="6" t="s">
        <v>1490</v>
      </c>
      <c r="I116" s="22" t="n">
        <v>2055400</v>
      </c>
      <c r="J116" s="22" t="n">
        <v>4000</v>
      </c>
      <c r="K116" s="22" t="n">
        <v>154455</v>
      </c>
      <c r="L116" s="22" t="n">
        <v>2213855</v>
      </c>
      <c r="M116" s="6" t="s">
        <v>57</v>
      </c>
      <c r="N116" s="6" t="s">
        <v>58</v>
      </c>
      <c r="O116" s="6"/>
      <c r="P116" s="6" t="s">
        <v>69</v>
      </c>
      <c r="Q116" s="6" t="str">
        <f aca="false">IF(P116="pass","No","Yes")</f>
        <v>No</v>
      </c>
      <c r="R116" s="6" t="s">
        <v>60</v>
      </c>
      <c r="S116" s="6"/>
      <c r="T116" s="6"/>
      <c r="U116" s="23" t="n">
        <v>10.227</v>
      </c>
      <c r="V116" s="6" t="s">
        <v>1491</v>
      </c>
      <c r="W116" s="6" t="s">
        <v>1492</v>
      </c>
      <c r="X116" s="6" t="s">
        <v>1493</v>
      </c>
      <c r="Y116" s="6" t="s">
        <v>60</v>
      </c>
      <c r="Z116" s="6" t="n">
        <v>0</v>
      </c>
      <c r="AA116" s="6" t="n">
        <v>0</v>
      </c>
      <c r="AB116" s="6" t="n">
        <v>0</v>
      </c>
      <c r="AC116" s="6" t="n">
        <v>0</v>
      </c>
      <c r="AD116" s="6" t="n">
        <v>0</v>
      </c>
      <c r="AE116" s="6" t="n">
        <v>0</v>
      </c>
      <c r="AF116" s="6" t="n">
        <v>0</v>
      </c>
      <c r="AG116" s="6" t="n">
        <v>0</v>
      </c>
      <c r="AH116" s="6" t="n">
        <v>0</v>
      </c>
      <c r="AI116" s="6" t="s">
        <v>84</v>
      </c>
    </row>
    <row r="117" customFormat="false" ht="15" hidden="false" customHeight="false" outlineLevel="0" collapsed="false">
      <c r="A117" s="6" t="n">
        <v>116</v>
      </c>
      <c r="B117" s="6" t="s">
        <v>1494</v>
      </c>
      <c r="C117" s="6" t="n">
        <v>3</v>
      </c>
      <c r="D117" s="6" t="s">
        <v>77</v>
      </c>
      <c r="E117" s="6" t="s">
        <v>81</v>
      </c>
      <c r="F117" s="6" t="n">
        <v>3</v>
      </c>
      <c r="G117" s="6" t="n">
        <v>57</v>
      </c>
      <c r="H117" s="6" t="s">
        <v>1495</v>
      </c>
      <c r="I117" s="22" t="n">
        <v>616200</v>
      </c>
      <c r="J117" s="22" t="n">
        <v>4000</v>
      </c>
      <c r="K117" s="22" t="n">
        <v>46515</v>
      </c>
      <c r="L117" s="22" t="n">
        <v>666715</v>
      </c>
      <c r="M117" s="6" t="s">
        <v>1042</v>
      </c>
      <c r="N117" s="6" t="s">
        <v>58</v>
      </c>
      <c r="O117" s="6"/>
      <c r="P117" s="6" t="s">
        <v>69</v>
      </c>
      <c r="Q117" s="6" t="str">
        <f aca="false">IF(P117="pass","No","Yes")</f>
        <v>No</v>
      </c>
      <c r="R117" s="6" t="s">
        <v>60</v>
      </c>
      <c r="S117" s="6"/>
      <c r="T117" s="6"/>
      <c r="U117" s="23" t="n">
        <v>17.651</v>
      </c>
      <c r="V117" s="6" t="s">
        <v>1496</v>
      </c>
      <c r="W117" s="6" t="s">
        <v>1497</v>
      </c>
      <c r="X117" s="6" t="s">
        <v>1498</v>
      </c>
      <c r="Y117" s="6" t="s">
        <v>60</v>
      </c>
      <c r="Z117" s="6" t="n">
        <v>0</v>
      </c>
      <c r="AA117" s="6" t="n">
        <v>0</v>
      </c>
      <c r="AB117" s="6" t="n">
        <v>0</v>
      </c>
      <c r="AC117" s="6" t="n">
        <v>0</v>
      </c>
      <c r="AD117" s="6" t="n">
        <v>0</v>
      </c>
      <c r="AE117" s="6" t="n">
        <v>0</v>
      </c>
      <c r="AF117" s="6" t="n">
        <v>0</v>
      </c>
      <c r="AG117" s="6" t="n">
        <v>0</v>
      </c>
      <c r="AH117" s="6" t="n">
        <v>0</v>
      </c>
      <c r="AI117" s="6" t="s">
        <v>84</v>
      </c>
    </row>
    <row r="118" customFormat="false" ht="15" hidden="false" customHeight="false" outlineLevel="0" collapsed="false">
      <c r="A118" s="6" t="n">
        <v>117</v>
      </c>
      <c r="B118" s="6" t="s">
        <v>1499</v>
      </c>
      <c r="C118" s="6" t="n">
        <v>3</v>
      </c>
      <c r="D118" s="6" t="s">
        <v>127</v>
      </c>
      <c r="E118" s="6" t="s">
        <v>55</v>
      </c>
      <c r="F118" s="6" t="n">
        <v>2</v>
      </c>
      <c r="G118" s="6" t="n">
        <v>29</v>
      </c>
      <c r="H118" s="6" t="s">
        <v>1500</v>
      </c>
      <c r="I118" s="22" t="n">
        <v>1102000</v>
      </c>
      <c r="J118" s="22" t="n">
        <v>6000</v>
      </c>
      <c r="K118" s="22" t="n">
        <v>83100</v>
      </c>
      <c r="L118" s="22" t="n">
        <v>1191100</v>
      </c>
      <c r="M118" s="6" t="s">
        <v>272</v>
      </c>
      <c r="N118" s="6" t="s">
        <v>84</v>
      </c>
      <c r="O118" s="6" t="s">
        <v>879</v>
      </c>
      <c r="P118" s="6" t="s">
        <v>85</v>
      </c>
      <c r="Q118" s="6" t="str">
        <f aca="false">IF(P118="pass","No","Yes")</f>
        <v>Yes</v>
      </c>
      <c r="R118" s="6" t="s">
        <v>86</v>
      </c>
      <c r="S118" s="6" t="s">
        <v>879</v>
      </c>
      <c r="T118" s="6" t="s">
        <v>1501</v>
      </c>
      <c r="U118" s="23" t="n">
        <v>5.752</v>
      </c>
      <c r="V118" s="6" t="s">
        <v>1502</v>
      </c>
      <c r="W118" s="6" t="s">
        <v>1503</v>
      </c>
      <c r="X118" s="6" t="s">
        <v>1504</v>
      </c>
      <c r="Y118" s="6" t="s">
        <v>86</v>
      </c>
      <c r="Z118" s="6" t="n">
        <v>0</v>
      </c>
      <c r="AA118" s="6" t="n">
        <v>1</v>
      </c>
      <c r="AB118" s="6" t="n">
        <v>0</v>
      </c>
      <c r="AC118" s="6" t="n">
        <v>0</v>
      </c>
      <c r="AD118" s="6" t="n">
        <v>0</v>
      </c>
      <c r="AE118" s="6" t="n">
        <v>0</v>
      </c>
      <c r="AF118" s="6" t="n">
        <v>0</v>
      </c>
      <c r="AG118" s="6" t="n">
        <v>0</v>
      </c>
      <c r="AH118" s="6" t="n">
        <v>0</v>
      </c>
      <c r="AI118" s="6" t="s">
        <v>84</v>
      </c>
    </row>
    <row r="119" customFormat="false" ht="15" hidden="false" customHeight="false" outlineLevel="0" collapsed="false">
      <c r="A119" s="6" t="n">
        <v>118</v>
      </c>
      <c r="B119" s="6" t="s">
        <v>1505</v>
      </c>
      <c r="C119" s="6" t="n">
        <v>3</v>
      </c>
      <c r="D119" s="6" t="s">
        <v>186</v>
      </c>
      <c r="E119" s="6" t="s">
        <v>123</v>
      </c>
      <c r="F119" s="6" t="n">
        <v>4</v>
      </c>
      <c r="G119" s="6" t="n">
        <v>202</v>
      </c>
      <c r="H119" s="6" t="s">
        <v>1506</v>
      </c>
      <c r="I119" s="22" t="n">
        <v>1877900</v>
      </c>
      <c r="J119" s="22" t="n">
        <v>5000</v>
      </c>
      <c r="K119" s="22" t="n">
        <v>141217.5</v>
      </c>
      <c r="L119" s="22" t="n">
        <v>2024117.5</v>
      </c>
      <c r="M119" s="6" t="s">
        <v>83</v>
      </c>
      <c r="N119" s="6" t="s">
        <v>84</v>
      </c>
      <c r="O119" s="6" t="s">
        <v>886</v>
      </c>
      <c r="P119" s="6" t="s">
        <v>85</v>
      </c>
      <c r="Q119" s="6" t="str">
        <f aca="false">IF(P119="pass","No","Yes")</f>
        <v>Yes</v>
      </c>
      <c r="R119" s="6" t="s">
        <v>86</v>
      </c>
      <c r="S119" s="6" t="s">
        <v>1479</v>
      </c>
      <c r="T119" s="6" t="s">
        <v>1507</v>
      </c>
      <c r="U119" s="23" t="n">
        <v>18.635</v>
      </c>
      <c r="V119" s="6" t="s">
        <v>1508</v>
      </c>
      <c r="W119" s="6" t="s">
        <v>1509</v>
      </c>
      <c r="X119" s="6" t="s">
        <v>1510</v>
      </c>
      <c r="Y119" s="6" t="s">
        <v>86</v>
      </c>
      <c r="Z119" s="6" t="n">
        <v>0</v>
      </c>
      <c r="AA119" s="6" t="n">
        <v>0</v>
      </c>
      <c r="AB119" s="6" t="n">
        <v>1</v>
      </c>
      <c r="AC119" s="6" t="n">
        <v>0</v>
      </c>
      <c r="AD119" s="6" t="n">
        <v>0</v>
      </c>
      <c r="AE119" s="6" t="n">
        <v>0</v>
      </c>
      <c r="AF119" s="6" t="n">
        <v>0</v>
      </c>
      <c r="AG119" s="6" t="n">
        <v>0</v>
      </c>
      <c r="AH119" s="6" t="n">
        <v>1</v>
      </c>
      <c r="AI119" s="6" t="s">
        <v>84</v>
      </c>
    </row>
    <row r="120" customFormat="false" ht="15" hidden="false" customHeight="false" outlineLevel="0" collapsed="false">
      <c r="A120" s="6" t="n">
        <v>119</v>
      </c>
      <c r="B120" s="6" t="s">
        <v>1511</v>
      </c>
      <c r="C120" s="6" t="n">
        <v>3</v>
      </c>
      <c r="D120" s="6" t="s">
        <v>119</v>
      </c>
      <c r="E120" s="6" t="s">
        <v>123</v>
      </c>
      <c r="F120" s="6" t="n">
        <v>3</v>
      </c>
      <c r="G120" s="6" t="n">
        <v>836</v>
      </c>
      <c r="H120" s="6" t="s">
        <v>1512</v>
      </c>
      <c r="I120" s="22" t="n">
        <v>8240000</v>
      </c>
      <c r="J120" s="22" t="n">
        <v>5000</v>
      </c>
      <c r="K120" s="22" t="n">
        <v>618375</v>
      </c>
      <c r="L120" s="22" t="n">
        <v>8863375</v>
      </c>
      <c r="M120" s="6" t="s">
        <v>171</v>
      </c>
      <c r="N120" s="6" t="s">
        <v>84</v>
      </c>
      <c r="O120" s="6" t="s">
        <v>892</v>
      </c>
      <c r="P120" s="6" t="s">
        <v>85</v>
      </c>
      <c r="Q120" s="6" t="str">
        <f aca="false">IF(P120="pass","No","Yes")</f>
        <v>Yes</v>
      </c>
      <c r="R120" s="6" t="s">
        <v>86</v>
      </c>
      <c r="S120" s="6" t="s">
        <v>893</v>
      </c>
      <c r="T120" s="6" t="s">
        <v>1513</v>
      </c>
      <c r="U120" s="23" t="n">
        <v>15.834</v>
      </c>
      <c r="V120" s="6" t="s">
        <v>1514</v>
      </c>
      <c r="W120" s="6" t="s">
        <v>1515</v>
      </c>
      <c r="X120" s="6" t="s">
        <v>1516</v>
      </c>
      <c r="Y120" s="6" t="s">
        <v>86</v>
      </c>
      <c r="Z120" s="6" t="n">
        <v>0</v>
      </c>
      <c r="AA120" s="6" t="n">
        <v>0</v>
      </c>
      <c r="AB120" s="6" t="n">
        <v>0</v>
      </c>
      <c r="AC120" s="6" t="n">
        <v>1</v>
      </c>
      <c r="AD120" s="6" t="n">
        <v>0</v>
      </c>
      <c r="AE120" s="6" t="n">
        <v>0</v>
      </c>
      <c r="AF120" s="6" t="n">
        <v>0</v>
      </c>
      <c r="AG120" s="6" t="n">
        <v>0</v>
      </c>
      <c r="AH120" s="6" t="n">
        <v>1</v>
      </c>
      <c r="AI120" s="6" t="s">
        <v>84</v>
      </c>
    </row>
    <row r="121" customFormat="false" ht="15" hidden="false" customHeight="false" outlineLevel="0" collapsed="false">
      <c r="A121" s="6" t="n">
        <v>120</v>
      </c>
      <c r="B121" s="6" t="s">
        <v>1517</v>
      </c>
      <c r="C121" s="6" t="n">
        <v>3</v>
      </c>
      <c r="D121" s="6" t="s">
        <v>51</v>
      </c>
      <c r="E121" s="6" t="s">
        <v>55</v>
      </c>
      <c r="F121" s="6" t="n">
        <v>3</v>
      </c>
      <c r="G121" s="6" t="n">
        <v>28</v>
      </c>
      <c r="H121" s="6" t="s">
        <v>1518</v>
      </c>
      <c r="I121" s="22" t="n">
        <v>477400</v>
      </c>
      <c r="J121" s="22" t="n">
        <v>6000</v>
      </c>
      <c r="K121" s="22" t="n">
        <v>36255</v>
      </c>
      <c r="L121" s="22" t="n">
        <v>519655</v>
      </c>
      <c r="M121" s="6" t="s">
        <v>57</v>
      </c>
      <c r="N121" s="6" t="s">
        <v>58</v>
      </c>
      <c r="O121" s="6"/>
      <c r="P121" s="6" t="s">
        <v>69</v>
      </c>
      <c r="Q121" s="6" t="str">
        <f aca="false">IF(P121="pass","No","Yes")</f>
        <v>No</v>
      </c>
      <c r="R121" s="6" t="s">
        <v>60</v>
      </c>
      <c r="S121" s="6"/>
      <c r="T121" s="6"/>
      <c r="U121" s="23" t="n">
        <v>17.153</v>
      </c>
      <c r="V121" s="6" t="s">
        <v>1519</v>
      </c>
      <c r="W121" s="6" t="s">
        <v>1520</v>
      </c>
      <c r="X121" s="6" t="s">
        <v>1521</v>
      </c>
      <c r="Y121" s="6" t="s">
        <v>60</v>
      </c>
      <c r="Z121" s="6" t="n">
        <v>0</v>
      </c>
      <c r="AA121" s="6" t="n">
        <v>0</v>
      </c>
      <c r="AB121" s="6" t="n">
        <v>0</v>
      </c>
      <c r="AC121" s="6" t="n">
        <v>0</v>
      </c>
      <c r="AD121" s="6" t="n">
        <v>0</v>
      </c>
      <c r="AE121" s="6" t="n">
        <v>0</v>
      </c>
      <c r="AF121" s="6" t="n">
        <v>0</v>
      </c>
      <c r="AG121" s="6" t="n">
        <v>0</v>
      </c>
      <c r="AH121" s="6" t="n">
        <v>0</v>
      </c>
      <c r="AI121" s="6" t="s">
        <v>84</v>
      </c>
    </row>
    <row r="122" customFormat="false" ht="15" hidden="false" customHeight="false" outlineLevel="0" collapsed="false">
      <c r="A122" s="6" t="n">
        <v>121</v>
      </c>
      <c r="B122" s="6" t="s">
        <v>1522</v>
      </c>
      <c r="C122" s="6" t="n">
        <v>3</v>
      </c>
      <c r="D122" s="6" t="s">
        <v>63</v>
      </c>
      <c r="E122" s="6" t="s">
        <v>67</v>
      </c>
      <c r="F122" s="6" t="n">
        <v>2</v>
      </c>
      <c r="G122" s="6" t="n">
        <v>20</v>
      </c>
      <c r="H122" s="6" t="s">
        <v>1523</v>
      </c>
      <c r="I122" s="22" t="n">
        <v>348400</v>
      </c>
      <c r="J122" s="22" t="n">
        <v>4500</v>
      </c>
      <c r="K122" s="22" t="n">
        <v>26467.5</v>
      </c>
      <c r="L122" s="22" t="n">
        <v>379367.5</v>
      </c>
      <c r="M122" s="6" t="s">
        <v>57</v>
      </c>
      <c r="N122" s="6" t="s">
        <v>58</v>
      </c>
      <c r="O122" s="6"/>
      <c r="P122" s="6" t="s">
        <v>69</v>
      </c>
      <c r="Q122" s="6" t="str">
        <f aca="false">IF(P122="pass","No","Yes")</f>
        <v>No</v>
      </c>
      <c r="R122" s="6" t="s">
        <v>60</v>
      </c>
      <c r="S122" s="6"/>
      <c r="T122" s="6"/>
      <c r="U122" s="23" t="n">
        <v>8.284</v>
      </c>
      <c r="V122" s="6" t="s">
        <v>1524</v>
      </c>
      <c r="W122" s="6" t="s">
        <v>1525</v>
      </c>
      <c r="X122" s="6" t="s">
        <v>1526</v>
      </c>
      <c r="Y122" s="6" t="s">
        <v>60</v>
      </c>
      <c r="Z122" s="6" t="n">
        <v>0</v>
      </c>
      <c r="AA122" s="6" t="n">
        <v>0</v>
      </c>
      <c r="AB122" s="6" t="n">
        <v>0</v>
      </c>
      <c r="AC122" s="6" t="n">
        <v>0</v>
      </c>
      <c r="AD122" s="6" t="n">
        <v>0</v>
      </c>
      <c r="AE122" s="6" t="n">
        <v>0</v>
      </c>
      <c r="AF122" s="6" t="n">
        <v>0</v>
      </c>
      <c r="AG122" s="6" t="n">
        <v>0</v>
      </c>
      <c r="AH122" s="6" t="n">
        <v>0</v>
      </c>
      <c r="AI122" s="6" t="s">
        <v>84</v>
      </c>
    </row>
    <row r="123" customFormat="false" ht="15" hidden="false" customHeight="false" outlineLevel="0" collapsed="false">
      <c r="A123" s="6" t="n">
        <v>122</v>
      </c>
      <c r="B123" s="6" t="s">
        <v>1527</v>
      </c>
      <c r="C123" s="6" t="n">
        <v>3</v>
      </c>
      <c r="D123" s="6" t="s">
        <v>137</v>
      </c>
      <c r="E123" s="6" t="s">
        <v>55</v>
      </c>
      <c r="F123" s="6" t="n">
        <v>3</v>
      </c>
      <c r="G123" s="6" t="n">
        <v>114</v>
      </c>
      <c r="H123" s="6" t="s">
        <v>1528</v>
      </c>
      <c r="I123" s="22" t="n">
        <v>1110200</v>
      </c>
      <c r="J123" s="22" t="n">
        <v>6000</v>
      </c>
      <c r="K123" s="22" t="n">
        <v>83715</v>
      </c>
      <c r="L123" s="22" t="n">
        <v>1199915</v>
      </c>
      <c r="M123" s="6" t="s">
        <v>57</v>
      </c>
      <c r="N123" s="6" t="s">
        <v>58</v>
      </c>
      <c r="O123" s="6"/>
      <c r="P123" s="6" t="s">
        <v>69</v>
      </c>
      <c r="Q123" s="6" t="str">
        <f aca="false">IF(P123="pass","No","Yes")</f>
        <v>No</v>
      </c>
      <c r="R123" s="6" t="s">
        <v>60</v>
      </c>
      <c r="S123" s="6"/>
      <c r="T123" s="6"/>
      <c r="U123" s="23" t="n">
        <v>17.611</v>
      </c>
      <c r="V123" s="6" t="s">
        <v>1529</v>
      </c>
      <c r="W123" s="6" t="s">
        <v>1530</v>
      </c>
      <c r="X123" s="6" t="s">
        <v>1531</v>
      </c>
      <c r="Y123" s="6" t="s">
        <v>60</v>
      </c>
      <c r="Z123" s="6" t="n">
        <v>0</v>
      </c>
      <c r="AA123" s="6" t="n">
        <v>0</v>
      </c>
      <c r="AB123" s="6" t="n">
        <v>0</v>
      </c>
      <c r="AC123" s="6" t="n">
        <v>0</v>
      </c>
      <c r="AD123" s="6" t="n">
        <v>0</v>
      </c>
      <c r="AE123" s="6" t="n">
        <v>0</v>
      </c>
      <c r="AF123" s="6" t="n">
        <v>0</v>
      </c>
      <c r="AG123" s="6" t="n">
        <v>0</v>
      </c>
      <c r="AH123" s="6" t="n">
        <v>0</v>
      </c>
      <c r="AI123" s="6" t="s">
        <v>84</v>
      </c>
    </row>
    <row r="124" customFormat="false" ht="15" hidden="false" customHeight="false" outlineLevel="0" collapsed="false">
      <c r="A124" s="6" t="n">
        <v>123</v>
      </c>
      <c r="B124" s="6" t="s">
        <v>1532</v>
      </c>
      <c r="C124" s="6" t="n">
        <v>3</v>
      </c>
      <c r="D124" s="6" t="s">
        <v>127</v>
      </c>
      <c r="E124" s="6" t="s">
        <v>55</v>
      </c>
      <c r="F124" s="6" t="n">
        <v>1</v>
      </c>
      <c r="G124" s="6" t="n">
        <v>9</v>
      </c>
      <c r="H124" s="6" t="s">
        <v>1533</v>
      </c>
      <c r="I124" s="22" t="n">
        <v>130500</v>
      </c>
      <c r="J124" s="22" t="n">
        <v>6000</v>
      </c>
      <c r="K124" s="22" t="n">
        <v>10237.5</v>
      </c>
      <c r="L124" s="22" t="n">
        <v>146737.5</v>
      </c>
      <c r="M124" s="6" t="s">
        <v>57</v>
      </c>
      <c r="N124" s="6" t="s">
        <v>58</v>
      </c>
      <c r="O124" s="6"/>
      <c r="P124" s="6" t="s">
        <v>69</v>
      </c>
      <c r="Q124" s="6" t="str">
        <f aca="false">IF(P124="pass","No","Yes")</f>
        <v>No</v>
      </c>
      <c r="R124" s="6" t="s">
        <v>60</v>
      </c>
      <c r="S124" s="6"/>
      <c r="T124" s="6"/>
      <c r="U124" s="23" t="n">
        <v>5.643</v>
      </c>
      <c r="V124" s="6" t="s">
        <v>1534</v>
      </c>
      <c r="W124" s="6" t="s">
        <v>1535</v>
      </c>
      <c r="X124" s="6" t="s">
        <v>1536</v>
      </c>
      <c r="Y124" s="6" t="s">
        <v>60</v>
      </c>
      <c r="Z124" s="6" t="n">
        <v>0</v>
      </c>
      <c r="AA124" s="6" t="n">
        <v>0</v>
      </c>
      <c r="AB124" s="6" t="n">
        <v>0</v>
      </c>
      <c r="AC124" s="6" t="n">
        <v>0</v>
      </c>
      <c r="AD124" s="6" t="n">
        <v>0</v>
      </c>
      <c r="AE124" s="6" t="n">
        <v>0</v>
      </c>
      <c r="AF124" s="6" t="n">
        <v>0</v>
      </c>
      <c r="AG124" s="6" t="n">
        <v>0</v>
      </c>
      <c r="AH124" s="6" t="n">
        <v>0</v>
      </c>
      <c r="AI124" s="6" t="s">
        <v>84</v>
      </c>
    </row>
    <row r="125" customFormat="false" ht="15" hidden="false" customHeight="false" outlineLevel="0" collapsed="false">
      <c r="A125" s="6" t="n">
        <v>124</v>
      </c>
      <c r="B125" s="6" t="s">
        <v>1537</v>
      </c>
      <c r="C125" s="6" t="n">
        <v>3</v>
      </c>
      <c r="D125" s="6" t="s">
        <v>100</v>
      </c>
      <c r="E125" s="6" t="s">
        <v>67</v>
      </c>
      <c r="F125" s="6" t="n">
        <v>2</v>
      </c>
      <c r="G125" s="6" t="n">
        <v>15</v>
      </c>
      <c r="H125" s="6" t="s">
        <v>1538</v>
      </c>
      <c r="I125" s="22" t="n">
        <v>546500</v>
      </c>
      <c r="J125" s="22" t="n">
        <v>4500</v>
      </c>
      <c r="K125" s="22" t="n">
        <v>41325</v>
      </c>
      <c r="L125" s="22" t="n">
        <v>592325</v>
      </c>
      <c r="M125" s="6" t="s">
        <v>83</v>
      </c>
      <c r="N125" s="6" t="s">
        <v>84</v>
      </c>
      <c r="O125" s="6" t="s">
        <v>886</v>
      </c>
      <c r="P125" s="6" t="s">
        <v>85</v>
      </c>
      <c r="Q125" s="6" t="str">
        <f aca="false">IF(P125="pass","No","Yes")</f>
        <v>Yes</v>
      </c>
      <c r="R125" s="6" t="s">
        <v>86</v>
      </c>
      <c r="S125" s="6" t="s">
        <v>886</v>
      </c>
      <c r="T125" s="6" t="s">
        <v>517</v>
      </c>
      <c r="U125" s="23" t="n">
        <v>7.492</v>
      </c>
      <c r="V125" s="6" t="s">
        <v>1539</v>
      </c>
      <c r="W125" s="6" t="s">
        <v>1540</v>
      </c>
      <c r="X125" s="6" t="s">
        <v>1541</v>
      </c>
      <c r="Y125" s="6" t="s">
        <v>86</v>
      </c>
      <c r="Z125" s="6" t="n">
        <v>0</v>
      </c>
      <c r="AA125" s="6" t="n">
        <v>0</v>
      </c>
      <c r="AB125" s="6" t="n">
        <v>1</v>
      </c>
      <c r="AC125" s="6" t="n">
        <v>0</v>
      </c>
      <c r="AD125" s="6" t="n">
        <v>0</v>
      </c>
      <c r="AE125" s="6" t="n">
        <v>0</v>
      </c>
      <c r="AF125" s="6" t="n">
        <v>0</v>
      </c>
      <c r="AG125" s="6" t="n">
        <v>0</v>
      </c>
      <c r="AH125" s="6" t="n">
        <v>0</v>
      </c>
      <c r="AI125" s="6" t="s">
        <v>84</v>
      </c>
    </row>
    <row r="126" customFormat="false" ht="15" hidden="false" customHeight="false" outlineLevel="0" collapsed="false">
      <c r="A126" s="6" t="n">
        <v>125</v>
      </c>
      <c r="B126" s="6" t="s">
        <v>1542</v>
      </c>
      <c r="C126" s="6" t="n">
        <v>3</v>
      </c>
      <c r="D126" s="6" t="s">
        <v>142</v>
      </c>
      <c r="E126" s="6" t="s">
        <v>74</v>
      </c>
      <c r="F126" s="6" t="n">
        <v>3</v>
      </c>
      <c r="G126" s="6" t="n">
        <v>159</v>
      </c>
      <c r="H126" s="6" t="s">
        <v>1543</v>
      </c>
      <c r="I126" s="22" t="n">
        <v>1855400</v>
      </c>
      <c r="J126" s="22" t="n">
        <v>9000</v>
      </c>
      <c r="K126" s="22" t="n">
        <v>139830</v>
      </c>
      <c r="L126" s="22" t="n">
        <v>2004230</v>
      </c>
      <c r="M126" s="6" t="s">
        <v>94</v>
      </c>
      <c r="N126" s="6" t="s">
        <v>84</v>
      </c>
      <c r="O126" s="6" t="s">
        <v>909</v>
      </c>
      <c r="P126" s="6" t="s">
        <v>85</v>
      </c>
      <c r="Q126" s="6" t="str">
        <f aca="false">IF(P126="pass","No","Yes")</f>
        <v>Yes</v>
      </c>
      <c r="R126" s="6" t="s">
        <v>86</v>
      </c>
      <c r="S126" s="6" t="s">
        <v>1544</v>
      </c>
      <c r="T126" s="6" t="s">
        <v>1545</v>
      </c>
      <c r="U126" s="23" t="n">
        <v>18.556</v>
      </c>
      <c r="V126" s="6" t="s">
        <v>1546</v>
      </c>
      <c r="W126" s="6" t="s">
        <v>1547</v>
      </c>
      <c r="X126" s="6" t="s">
        <v>1548</v>
      </c>
      <c r="Y126" s="6" t="s">
        <v>86</v>
      </c>
      <c r="Z126" s="6" t="n">
        <v>0</v>
      </c>
      <c r="AA126" s="6" t="n">
        <v>0</v>
      </c>
      <c r="AB126" s="6" t="n">
        <v>0</v>
      </c>
      <c r="AC126" s="6" t="n">
        <v>0</v>
      </c>
      <c r="AD126" s="6" t="n">
        <v>0</v>
      </c>
      <c r="AE126" s="6" t="n">
        <v>0</v>
      </c>
      <c r="AF126" s="6" t="n">
        <v>1</v>
      </c>
      <c r="AG126" s="6" t="n">
        <v>0</v>
      </c>
      <c r="AH126" s="6" t="n">
        <v>1</v>
      </c>
      <c r="AI126" s="6" t="s">
        <v>84</v>
      </c>
    </row>
    <row r="127" customFormat="false" ht="15" hidden="false" customHeight="false" outlineLevel="0" collapsed="false">
      <c r="A127" s="6" t="n">
        <v>126</v>
      </c>
      <c r="B127" s="6" t="s">
        <v>1549</v>
      </c>
      <c r="C127" s="6" t="n">
        <v>3</v>
      </c>
      <c r="D127" s="6" t="s">
        <v>154</v>
      </c>
      <c r="E127" s="6" t="s">
        <v>123</v>
      </c>
      <c r="F127" s="6" t="n">
        <v>1</v>
      </c>
      <c r="G127" s="6" t="n">
        <v>16</v>
      </c>
      <c r="H127" s="6" t="s">
        <v>1550</v>
      </c>
      <c r="I127" s="22" t="n">
        <v>188800</v>
      </c>
      <c r="J127" s="22" t="n">
        <v>5000</v>
      </c>
      <c r="K127" s="22" t="n">
        <v>14535</v>
      </c>
      <c r="L127" s="22" t="n">
        <v>208335</v>
      </c>
      <c r="M127" s="6" t="s">
        <v>960</v>
      </c>
      <c r="N127" s="6" t="s">
        <v>84</v>
      </c>
      <c r="O127" s="6" t="s">
        <v>961</v>
      </c>
      <c r="P127" s="6" t="s">
        <v>85</v>
      </c>
      <c r="Q127" s="6" t="str">
        <f aca="false">IF(P127="pass","No","Yes")</f>
        <v>Yes</v>
      </c>
      <c r="R127" s="6" t="s">
        <v>86</v>
      </c>
      <c r="S127" s="6" t="s">
        <v>961</v>
      </c>
      <c r="T127" s="6" t="s">
        <v>962</v>
      </c>
      <c r="U127" s="23" t="n">
        <v>5.656</v>
      </c>
      <c r="V127" s="6" t="s">
        <v>1551</v>
      </c>
      <c r="W127" s="6" t="s">
        <v>1552</v>
      </c>
      <c r="X127" s="6" t="s">
        <v>1553</v>
      </c>
      <c r="Y127" s="6" t="s">
        <v>86</v>
      </c>
      <c r="Z127" s="6" t="n">
        <v>0</v>
      </c>
      <c r="AA127" s="6" t="n">
        <v>0</v>
      </c>
      <c r="AB127" s="6" t="n">
        <v>0</v>
      </c>
      <c r="AC127" s="6" t="n">
        <v>0</v>
      </c>
      <c r="AD127" s="6" t="n">
        <v>1</v>
      </c>
      <c r="AE127" s="6" t="n">
        <v>0</v>
      </c>
      <c r="AF127" s="6" t="n">
        <v>0</v>
      </c>
      <c r="AG127" s="6" t="n">
        <v>0</v>
      </c>
      <c r="AH127" s="6" t="n">
        <v>0</v>
      </c>
      <c r="AI127" s="6" t="s">
        <v>84</v>
      </c>
    </row>
    <row r="128" customFormat="false" ht="15" hidden="false" customHeight="false" outlineLevel="0" collapsed="false">
      <c r="A128" s="6" t="n">
        <v>127</v>
      </c>
      <c r="B128" s="6" t="s">
        <v>1554</v>
      </c>
      <c r="C128" s="6" t="n">
        <v>3</v>
      </c>
      <c r="D128" s="6" t="s">
        <v>77</v>
      </c>
      <c r="E128" s="6" t="s">
        <v>81</v>
      </c>
      <c r="F128" s="6" t="n">
        <v>3</v>
      </c>
      <c r="G128" s="6" t="n">
        <v>27</v>
      </c>
      <c r="H128" s="6" t="s">
        <v>1555</v>
      </c>
      <c r="I128" s="22" t="n">
        <v>471600</v>
      </c>
      <c r="J128" s="22" t="n">
        <v>4000</v>
      </c>
      <c r="K128" s="22" t="n">
        <v>35670</v>
      </c>
      <c r="L128" s="22" t="n">
        <v>511270</v>
      </c>
      <c r="M128" s="6" t="s">
        <v>152</v>
      </c>
      <c r="N128" s="6" t="s">
        <v>84</v>
      </c>
      <c r="O128" s="6" t="s">
        <v>886</v>
      </c>
      <c r="P128" s="6" t="s">
        <v>85</v>
      </c>
      <c r="Q128" s="6" t="str">
        <f aca="false">IF(P128="pass","No","Yes")</f>
        <v>Yes</v>
      </c>
      <c r="R128" s="6" t="s">
        <v>86</v>
      </c>
      <c r="S128" s="6" t="s">
        <v>886</v>
      </c>
      <c r="T128" s="6" t="s">
        <v>336</v>
      </c>
      <c r="U128" s="23" t="n">
        <v>15.62</v>
      </c>
      <c r="V128" s="6" t="s">
        <v>1556</v>
      </c>
      <c r="W128" s="6" t="s">
        <v>1557</v>
      </c>
      <c r="X128" s="6" t="s">
        <v>1558</v>
      </c>
      <c r="Y128" s="6" t="s">
        <v>86</v>
      </c>
      <c r="Z128" s="6" t="n">
        <v>0</v>
      </c>
      <c r="AA128" s="6" t="n">
        <v>0</v>
      </c>
      <c r="AB128" s="6" t="n">
        <v>1</v>
      </c>
      <c r="AC128" s="6" t="n">
        <v>0</v>
      </c>
      <c r="AD128" s="6" t="n">
        <v>0</v>
      </c>
      <c r="AE128" s="6" t="n">
        <v>0</v>
      </c>
      <c r="AF128" s="6" t="n">
        <v>0</v>
      </c>
      <c r="AG128" s="6" t="n">
        <v>0</v>
      </c>
      <c r="AH128" s="6" t="n">
        <v>0</v>
      </c>
      <c r="AI128" s="6" t="s">
        <v>84</v>
      </c>
    </row>
    <row r="129" customFormat="false" ht="15" hidden="false" customHeight="false" outlineLevel="0" collapsed="false">
      <c r="A129" s="6" t="n">
        <v>128</v>
      </c>
      <c r="B129" s="6" t="s">
        <v>1559</v>
      </c>
      <c r="C129" s="6" t="n">
        <v>3</v>
      </c>
      <c r="D129" s="6" t="s">
        <v>51</v>
      </c>
      <c r="E129" s="6" t="s">
        <v>55</v>
      </c>
      <c r="F129" s="6" t="n">
        <v>3</v>
      </c>
      <c r="G129" s="6" t="n">
        <v>66</v>
      </c>
      <c r="H129" s="6" t="s">
        <v>1560</v>
      </c>
      <c r="I129" s="22" t="n">
        <v>940500</v>
      </c>
      <c r="J129" s="22" t="n">
        <v>6000</v>
      </c>
      <c r="K129" s="22" t="n">
        <v>70987.5</v>
      </c>
      <c r="L129" s="22" t="n">
        <v>1017487.5</v>
      </c>
      <c r="M129" s="6" t="s">
        <v>152</v>
      </c>
      <c r="N129" s="6" t="s">
        <v>84</v>
      </c>
      <c r="O129" s="6" t="s">
        <v>886</v>
      </c>
      <c r="P129" s="6" t="s">
        <v>85</v>
      </c>
      <c r="Q129" s="6" t="str">
        <f aca="false">IF(P129="pass","No","Yes")</f>
        <v>Yes</v>
      </c>
      <c r="R129" s="6" t="s">
        <v>86</v>
      </c>
      <c r="S129" s="6" t="s">
        <v>886</v>
      </c>
      <c r="T129" s="6" t="s">
        <v>336</v>
      </c>
      <c r="U129" s="23" t="n">
        <v>15.22</v>
      </c>
      <c r="V129" s="6" t="s">
        <v>1561</v>
      </c>
      <c r="W129" s="6" t="s">
        <v>1562</v>
      </c>
      <c r="X129" s="6" t="s">
        <v>1563</v>
      </c>
      <c r="Y129" s="6" t="s">
        <v>86</v>
      </c>
      <c r="Z129" s="6" t="n">
        <v>0</v>
      </c>
      <c r="AA129" s="6" t="n">
        <v>0</v>
      </c>
      <c r="AB129" s="6" t="n">
        <v>1</v>
      </c>
      <c r="AC129" s="6" t="n">
        <v>0</v>
      </c>
      <c r="AD129" s="6" t="n">
        <v>0</v>
      </c>
      <c r="AE129" s="6" t="n">
        <v>0</v>
      </c>
      <c r="AF129" s="6" t="n">
        <v>0</v>
      </c>
      <c r="AG129" s="6" t="n">
        <v>0</v>
      </c>
      <c r="AH129" s="6" t="n">
        <v>0</v>
      </c>
      <c r="AI129" s="6" t="s">
        <v>84</v>
      </c>
    </row>
    <row r="130" customFormat="false" ht="15" hidden="false" customHeight="false" outlineLevel="0" collapsed="false">
      <c r="A130" s="6" t="n">
        <v>129</v>
      </c>
      <c r="B130" s="6" t="s">
        <v>1564</v>
      </c>
      <c r="C130" s="6" t="n">
        <v>3</v>
      </c>
      <c r="D130" s="6" t="s">
        <v>237</v>
      </c>
      <c r="E130" s="6" t="s">
        <v>116</v>
      </c>
      <c r="F130" s="6" t="n">
        <v>3</v>
      </c>
      <c r="G130" s="6" t="n">
        <v>83</v>
      </c>
      <c r="H130" s="6" t="s">
        <v>1565</v>
      </c>
      <c r="I130" s="22" t="n">
        <v>1358700</v>
      </c>
      <c r="J130" s="22" t="n">
        <v>15000</v>
      </c>
      <c r="K130" s="22" t="n">
        <v>103027.5</v>
      </c>
      <c r="L130" s="22" t="n">
        <v>1476727.5</v>
      </c>
      <c r="M130" s="6" t="s">
        <v>57</v>
      </c>
      <c r="N130" s="6" t="s">
        <v>58</v>
      </c>
      <c r="O130" s="6"/>
      <c r="P130" s="6" t="s">
        <v>69</v>
      </c>
      <c r="Q130" s="6" t="str">
        <f aca="false">IF(P130="pass","No","Yes")</f>
        <v>No</v>
      </c>
      <c r="R130" s="6" t="s">
        <v>60</v>
      </c>
      <c r="S130" s="6"/>
      <c r="T130" s="6"/>
      <c r="U130" s="23" t="n">
        <v>11.034</v>
      </c>
      <c r="V130" s="6" t="s">
        <v>1566</v>
      </c>
      <c r="W130" s="6" t="s">
        <v>1567</v>
      </c>
      <c r="X130" s="6" t="s">
        <v>1568</v>
      </c>
      <c r="Y130" s="6" t="s">
        <v>60</v>
      </c>
      <c r="Z130" s="6" t="n">
        <v>0</v>
      </c>
      <c r="AA130" s="6" t="n">
        <v>0</v>
      </c>
      <c r="AB130" s="6" t="n">
        <v>0</v>
      </c>
      <c r="AC130" s="6" t="n">
        <v>0</v>
      </c>
      <c r="AD130" s="6" t="n">
        <v>0</v>
      </c>
      <c r="AE130" s="6" t="n">
        <v>0</v>
      </c>
      <c r="AF130" s="6" t="n">
        <v>0</v>
      </c>
      <c r="AG130" s="6" t="n">
        <v>0</v>
      </c>
      <c r="AH130" s="6" t="n">
        <v>0</v>
      </c>
      <c r="AI130" s="6" t="s">
        <v>84</v>
      </c>
    </row>
    <row r="131" customFormat="false" ht="15" hidden="false" customHeight="false" outlineLevel="0" collapsed="false">
      <c r="A131" s="6" t="n">
        <v>130</v>
      </c>
      <c r="B131" s="6" t="s">
        <v>1569</v>
      </c>
      <c r="C131" s="6" t="n">
        <v>3</v>
      </c>
      <c r="D131" s="6" t="s">
        <v>198</v>
      </c>
      <c r="E131" s="6" t="s">
        <v>81</v>
      </c>
      <c r="F131" s="6" t="n">
        <v>3</v>
      </c>
      <c r="G131" s="6" t="n">
        <v>119</v>
      </c>
      <c r="H131" s="6" t="s">
        <v>1570</v>
      </c>
      <c r="I131" s="22" t="n">
        <v>1980000</v>
      </c>
      <c r="J131" s="22" t="n">
        <v>4000</v>
      </c>
      <c r="K131" s="22" t="n">
        <v>148800</v>
      </c>
      <c r="L131" s="22" t="n">
        <v>2132800</v>
      </c>
      <c r="M131" s="6" t="s">
        <v>984</v>
      </c>
      <c r="N131" s="6" t="s">
        <v>84</v>
      </c>
      <c r="O131" s="6" t="s">
        <v>985</v>
      </c>
      <c r="P131" s="6" t="s">
        <v>85</v>
      </c>
      <c r="Q131" s="6" t="str">
        <f aca="false">IF(P131="pass","No","Yes")</f>
        <v>Yes</v>
      </c>
      <c r="R131" s="6" t="s">
        <v>86</v>
      </c>
      <c r="S131" s="6" t="s">
        <v>985</v>
      </c>
      <c r="T131" s="6" t="s">
        <v>1571</v>
      </c>
      <c r="U131" s="23" t="n">
        <v>10.39</v>
      </c>
      <c r="V131" s="6" t="s">
        <v>1572</v>
      </c>
      <c r="W131" s="6" t="s">
        <v>1573</v>
      </c>
      <c r="X131" s="6" t="s">
        <v>1574</v>
      </c>
      <c r="Y131" s="6" t="s">
        <v>86</v>
      </c>
      <c r="Z131" s="6" t="n">
        <v>0</v>
      </c>
      <c r="AA131" s="6" t="n">
        <v>0</v>
      </c>
      <c r="AB131" s="6" t="n">
        <v>0</v>
      </c>
      <c r="AC131" s="6" t="n">
        <v>0</v>
      </c>
      <c r="AD131" s="6" t="n">
        <v>0</v>
      </c>
      <c r="AE131" s="6" t="n">
        <v>1</v>
      </c>
      <c r="AF131" s="6" t="n">
        <v>0</v>
      </c>
      <c r="AG131" s="6" t="n">
        <v>0</v>
      </c>
      <c r="AH131" s="6" t="n">
        <v>0</v>
      </c>
      <c r="AI131" s="6" t="s">
        <v>84</v>
      </c>
    </row>
    <row r="132" customFormat="false" ht="15" hidden="false" customHeight="false" outlineLevel="0" collapsed="false">
      <c r="A132" s="6" t="n">
        <v>131</v>
      </c>
      <c r="B132" s="6" t="s">
        <v>1575</v>
      </c>
      <c r="C132" s="6" t="n">
        <v>3</v>
      </c>
      <c r="D132" s="6" t="s">
        <v>70</v>
      </c>
      <c r="E132" s="6" t="s">
        <v>74</v>
      </c>
      <c r="F132" s="6" t="n">
        <v>1</v>
      </c>
      <c r="G132" s="6" t="n">
        <v>139</v>
      </c>
      <c r="H132" s="6" t="s">
        <v>1576</v>
      </c>
      <c r="I132" s="22" t="n">
        <v>1320500</v>
      </c>
      <c r="J132" s="22" t="n">
        <v>9000</v>
      </c>
      <c r="K132" s="22" t="n">
        <v>99712.5</v>
      </c>
      <c r="L132" s="22" t="n">
        <v>1429212.5</v>
      </c>
      <c r="M132" s="6" t="s">
        <v>57</v>
      </c>
      <c r="N132" s="6" t="s">
        <v>58</v>
      </c>
      <c r="O132" s="6"/>
      <c r="P132" s="6" t="s">
        <v>69</v>
      </c>
      <c r="Q132" s="6" t="str">
        <f aca="false">IF(P132="pass","No","Yes")</f>
        <v>No</v>
      </c>
      <c r="R132" s="6" t="s">
        <v>60</v>
      </c>
      <c r="S132" s="6"/>
      <c r="T132" s="6"/>
      <c r="U132" s="23" t="n">
        <v>13.503</v>
      </c>
      <c r="V132" s="6" t="s">
        <v>1577</v>
      </c>
      <c r="W132" s="6" t="s">
        <v>1578</v>
      </c>
      <c r="X132" s="6" t="s">
        <v>1579</v>
      </c>
      <c r="Y132" s="6" t="s">
        <v>60</v>
      </c>
      <c r="Z132" s="6" t="n">
        <v>0</v>
      </c>
      <c r="AA132" s="6" t="n">
        <v>0</v>
      </c>
      <c r="AB132" s="6" t="n">
        <v>0</v>
      </c>
      <c r="AC132" s="6" t="n">
        <v>0</v>
      </c>
      <c r="AD132" s="6" t="n">
        <v>0</v>
      </c>
      <c r="AE132" s="6" t="n">
        <v>0</v>
      </c>
      <c r="AF132" s="6" t="n">
        <v>0</v>
      </c>
      <c r="AG132" s="6" t="n">
        <v>0</v>
      </c>
      <c r="AH132" s="6" t="n">
        <v>0</v>
      </c>
      <c r="AI132" s="6" t="s">
        <v>84</v>
      </c>
    </row>
    <row r="133" customFormat="false" ht="15" hidden="false" customHeight="false" outlineLevel="0" collapsed="false">
      <c r="A133" s="6" t="n">
        <v>132</v>
      </c>
      <c r="B133" s="6" t="s">
        <v>1580</v>
      </c>
      <c r="C133" s="6" t="n">
        <v>3</v>
      </c>
      <c r="D133" s="6" t="s">
        <v>166</v>
      </c>
      <c r="E133" s="6" t="s">
        <v>74</v>
      </c>
      <c r="F133" s="6" t="n">
        <v>3</v>
      </c>
      <c r="G133" s="6" t="n">
        <v>77</v>
      </c>
      <c r="H133" s="6" t="s">
        <v>1581</v>
      </c>
      <c r="I133" s="22" t="n">
        <v>919100</v>
      </c>
      <c r="J133" s="22" t="n">
        <v>9000</v>
      </c>
      <c r="K133" s="22" t="n">
        <v>69607.5</v>
      </c>
      <c r="L133" s="22" t="n">
        <v>997707.5</v>
      </c>
      <c r="M133" s="6" t="s">
        <v>57</v>
      </c>
      <c r="N133" s="6" t="s">
        <v>58</v>
      </c>
      <c r="O133" s="6"/>
      <c r="P133" s="6" t="s">
        <v>69</v>
      </c>
      <c r="Q133" s="6" t="str">
        <f aca="false">IF(P133="pass","No","Yes")</f>
        <v>No</v>
      </c>
      <c r="R133" s="6" t="s">
        <v>60</v>
      </c>
      <c r="S133" s="6"/>
      <c r="T133" s="6"/>
      <c r="U133" s="23" t="n">
        <v>12.032</v>
      </c>
      <c r="V133" s="6" t="s">
        <v>1582</v>
      </c>
      <c r="W133" s="6" t="s">
        <v>1583</v>
      </c>
      <c r="X133" s="6" t="s">
        <v>1584</v>
      </c>
      <c r="Y133" s="6" t="s">
        <v>60</v>
      </c>
      <c r="Z133" s="6" t="n">
        <v>0</v>
      </c>
      <c r="AA133" s="6" t="n">
        <v>0</v>
      </c>
      <c r="AB133" s="6" t="n">
        <v>0</v>
      </c>
      <c r="AC133" s="6" t="n">
        <v>0</v>
      </c>
      <c r="AD133" s="6" t="n">
        <v>0</v>
      </c>
      <c r="AE133" s="6" t="n">
        <v>0</v>
      </c>
      <c r="AF133" s="6" t="n">
        <v>0</v>
      </c>
      <c r="AG133" s="6" t="n">
        <v>0</v>
      </c>
      <c r="AH133" s="6" t="n">
        <v>0</v>
      </c>
      <c r="AI133" s="6" t="s">
        <v>84</v>
      </c>
    </row>
    <row r="134" customFormat="false" ht="15" hidden="false" customHeight="false" outlineLevel="0" collapsed="false">
      <c r="A134" s="6" t="n">
        <v>133</v>
      </c>
      <c r="B134" s="6" t="s">
        <v>1585</v>
      </c>
      <c r="C134" s="6" t="n">
        <v>3</v>
      </c>
      <c r="D134" s="6" t="s">
        <v>70</v>
      </c>
      <c r="E134" s="6" t="s">
        <v>146</v>
      </c>
      <c r="F134" s="6" t="n">
        <v>3</v>
      </c>
      <c r="G134" s="6" t="n">
        <v>209</v>
      </c>
      <c r="H134" s="6" t="s">
        <v>1586</v>
      </c>
      <c r="I134" s="22" t="n">
        <v>2069200</v>
      </c>
      <c r="J134" s="22" t="n">
        <v>0</v>
      </c>
      <c r="K134" s="22" t="n">
        <v>155190</v>
      </c>
      <c r="L134" s="22" t="n">
        <v>2224390</v>
      </c>
      <c r="M134" s="6" t="s">
        <v>148</v>
      </c>
      <c r="N134" s="6" t="s">
        <v>84</v>
      </c>
      <c r="O134" s="6" t="s">
        <v>866</v>
      </c>
      <c r="P134" s="6" t="s">
        <v>85</v>
      </c>
      <c r="Q134" s="6" t="str">
        <f aca="false">IF(P134="pass","No","Yes")</f>
        <v>Yes</v>
      </c>
      <c r="R134" s="6" t="s">
        <v>86</v>
      </c>
      <c r="S134" s="6" t="s">
        <v>872</v>
      </c>
      <c r="T134" s="6" t="s">
        <v>1587</v>
      </c>
      <c r="U134" s="23" t="n">
        <v>18.916</v>
      </c>
      <c r="V134" s="6" t="s">
        <v>1588</v>
      </c>
      <c r="W134" s="6" t="s">
        <v>1589</v>
      </c>
      <c r="X134" s="6" t="s">
        <v>1590</v>
      </c>
      <c r="Y134" s="6" t="s">
        <v>86</v>
      </c>
      <c r="Z134" s="6" t="n">
        <v>1</v>
      </c>
      <c r="AA134" s="6" t="n">
        <v>0</v>
      </c>
      <c r="AB134" s="6" t="n">
        <v>0</v>
      </c>
      <c r="AC134" s="6" t="n">
        <v>0</v>
      </c>
      <c r="AD134" s="6" t="n">
        <v>0</v>
      </c>
      <c r="AE134" s="6" t="n">
        <v>0</v>
      </c>
      <c r="AF134" s="6" t="n">
        <v>0</v>
      </c>
      <c r="AG134" s="6" t="n">
        <v>0</v>
      </c>
      <c r="AH134" s="6" t="n">
        <v>1</v>
      </c>
      <c r="AI134" s="6" t="s">
        <v>84</v>
      </c>
    </row>
    <row r="135" customFormat="false" ht="15" hidden="false" customHeight="false" outlineLevel="0" collapsed="false">
      <c r="A135" s="6" t="n">
        <v>134</v>
      </c>
      <c r="B135" s="6" t="s">
        <v>1591</v>
      </c>
      <c r="C135" s="6" t="n">
        <v>3</v>
      </c>
      <c r="D135" s="6" t="s">
        <v>191</v>
      </c>
      <c r="E135" s="6" t="s">
        <v>116</v>
      </c>
      <c r="F135" s="6" t="n">
        <v>1</v>
      </c>
      <c r="G135" s="6" t="n">
        <v>15</v>
      </c>
      <c r="H135" s="6" t="s">
        <v>1592</v>
      </c>
      <c r="I135" s="22" t="n">
        <v>129000</v>
      </c>
      <c r="J135" s="22" t="n">
        <v>15000</v>
      </c>
      <c r="K135" s="22" t="n">
        <v>10800</v>
      </c>
      <c r="L135" s="22" t="n">
        <v>154800</v>
      </c>
      <c r="M135" s="6" t="s">
        <v>57</v>
      </c>
      <c r="N135" s="6" t="s">
        <v>58</v>
      </c>
      <c r="O135" s="6"/>
      <c r="P135" s="6" t="s">
        <v>69</v>
      </c>
      <c r="Q135" s="6" t="str">
        <f aca="false">IF(P135="pass","No","Yes")</f>
        <v>No</v>
      </c>
      <c r="R135" s="6" t="s">
        <v>60</v>
      </c>
      <c r="S135" s="6"/>
      <c r="T135" s="6"/>
      <c r="U135" s="23" t="n">
        <v>6.16</v>
      </c>
      <c r="V135" s="6" t="s">
        <v>1593</v>
      </c>
      <c r="W135" s="6" t="s">
        <v>1594</v>
      </c>
      <c r="X135" s="6" t="s">
        <v>1595</v>
      </c>
      <c r="Y135" s="6" t="s">
        <v>60</v>
      </c>
      <c r="Z135" s="6" t="n">
        <v>0</v>
      </c>
      <c r="AA135" s="6" t="n">
        <v>0</v>
      </c>
      <c r="AB135" s="6" t="n">
        <v>0</v>
      </c>
      <c r="AC135" s="6" t="n">
        <v>0</v>
      </c>
      <c r="AD135" s="6" t="n">
        <v>0</v>
      </c>
      <c r="AE135" s="6" t="n">
        <v>0</v>
      </c>
      <c r="AF135" s="6" t="n">
        <v>0</v>
      </c>
      <c r="AG135" s="6" t="n">
        <v>0</v>
      </c>
      <c r="AH135" s="6" t="n">
        <v>0</v>
      </c>
      <c r="AI135" s="6" t="s">
        <v>84</v>
      </c>
    </row>
    <row r="136" customFormat="false" ht="15" hidden="false" customHeight="false" outlineLevel="0" collapsed="false">
      <c r="A136" s="6" t="n">
        <v>135</v>
      </c>
      <c r="B136" s="6" t="s">
        <v>1596</v>
      </c>
      <c r="C136" s="6" t="n">
        <v>3</v>
      </c>
      <c r="D136" s="6" t="s">
        <v>70</v>
      </c>
      <c r="E136" s="6" t="s">
        <v>74</v>
      </c>
      <c r="F136" s="6" t="n">
        <v>1</v>
      </c>
      <c r="G136" s="6" t="n">
        <v>29</v>
      </c>
      <c r="H136" s="6" t="s">
        <v>1597</v>
      </c>
      <c r="I136" s="22" t="n">
        <v>342200</v>
      </c>
      <c r="J136" s="22" t="n">
        <v>9000</v>
      </c>
      <c r="K136" s="22" t="n">
        <v>26340</v>
      </c>
      <c r="L136" s="22" t="n">
        <v>377540</v>
      </c>
      <c r="M136" s="6" t="s">
        <v>57</v>
      </c>
      <c r="N136" s="6" t="s">
        <v>58</v>
      </c>
      <c r="O136" s="6"/>
      <c r="P136" s="6" t="s">
        <v>69</v>
      </c>
      <c r="Q136" s="6" t="str">
        <f aca="false">IF(P136="pass","No","Yes")</f>
        <v>No</v>
      </c>
      <c r="R136" s="6" t="s">
        <v>60</v>
      </c>
      <c r="S136" s="6"/>
      <c r="T136" s="6"/>
      <c r="U136" s="23" t="n">
        <v>6.837</v>
      </c>
      <c r="V136" s="6" t="s">
        <v>1598</v>
      </c>
      <c r="W136" s="6" t="s">
        <v>1599</v>
      </c>
      <c r="X136" s="6" t="s">
        <v>1600</v>
      </c>
      <c r="Y136" s="6" t="s">
        <v>60</v>
      </c>
      <c r="Z136" s="6" t="n">
        <v>0</v>
      </c>
      <c r="AA136" s="6" t="n">
        <v>0</v>
      </c>
      <c r="AB136" s="6" t="n">
        <v>0</v>
      </c>
      <c r="AC136" s="6" t="n">
        <v>0</v>
      </c>
      <c r="AD136" s="6" t="n">
        <v>0</v>
      </c>
      <c r="AE136" s="6" t="n">
        <v>0</v>
      </c>
      <c r="AF136" s="6" t="n">
        <v>0</v>
      </c>
      <c r="AG136" s="6" t="n">
        <v>0</v>
      </c>
      <c r="AH136" s="6" t="n">
        <v>0</v>
      </c>
      <c r="AI136" s="6" t="s">
        <v>84</v>
      </c>
    </row>
    <row r="137" customFormat="false" ht="15" hidden="false" customHeight="false" outlineLevel="0" collapsed="false">
      <c r="A137" s="6" t="n">
        <v>136</v>
      </c>
      <c r="B137" s="6" t="s">
        <v>1601</v>
      </c>
      <c r="C137" s="6" t="n">
        <v>3</v>
      </c>
      <c r="D137" s="6" t="s">
        <v>186</v>
      </c>
      <c r="E137" s="6" t="s">
        <v>123</v>
      </c>
      <c r="F137" s="6" t="n">
        <v>3</v>
      </c>
      <c r="G137" s="6" t="n">
        <v>21</v>
      </c>
      <c r="H137" s="6" t="s">
        <v>1602</v>
      </c>
      <c r="I137" s="22" t="n">
        <v>194000</v>
      </c>
      <c r="J137" s="22" t="n">
        <v>5000</v>
      </c>
      <c r="K137" s="22" t="n">
        <v>14925</v>
      </c>
      <c r="L137" s="22" t="n">
        <v>213925</v>
      </c>
      <c r="M137" s="6" t="s">
        <v>57</v>
      </c>
      <c r="N137" s="6" t="s">
        <v>58</v>
      </c>
      <c r="O137" s="6"/>
      <c r="P137" s="6" t="s">
        <v>69</v>
      </c>
      <c r="Q137" s="6" t="str">
        <f aca="false">IF(P137="pass","No","Yes")</f>
        <v>No</v>
      </c>
      <c r="R137" s="6" t="s">
        <v>60</v>
      </c>
      <c r="S137" s="6"/>
      <c r="T137" s="6"/>
      <c r="U137" s="23" t="n">
        <v>12.141</v>
      </c>
      <c r="V137" s="6" t="s">
        <v>1603</v>
      </c>
      <c r="W137" s="6" t="s">
        <v>1604</v>
      </c>
      <c r="X137" s="6" t="s">
        <v>1605</v>
      </c>
      <c r="Y137" s="6" t="s">
        <v>60</v>
      </c>
      <c r="Z137" s="6" t="n">
        <v>0</v>
      </c>
      <c r="AA137" s="6" t="n">
        <v>0</v>
      </c>
      <c r="AB137" s="6" t="n">
        <v>0</v>
      </c>
      <c r="AC137" s="6" t="n">
        <v>0</v>
      </c>
      <c r="AD137" s="6" t="n">
        <v>0</v>
      </c>
      <c r="AE137" s="6" t="n">
        <v>0</v>
      </c>
      <c r="AF137" s="6" t="n">
        <v>0</v>
      </c>
      <c r="AG137" s="6" t="n">
        <v>0</v>
      </c>
      <c r="AH137" s="6" t="n">
        <v>0</v>
      </c>
      <c r="AI137" s="6" t="s">
        <v>84</v>
      </c>
    </row>
    <row r="138" customFormat="false" ht="15" hidden="false" customHeight="false" outlineLevel="0" collapsed="false">
      <c r="A138" s="6" t="n">
        <v>137</v>
      </c>
      <c r="B138" s="6" t="s">
        <v>1606</v>
      </c>
      <c r="C138" s="6" t="n">
        <v>3</v>
      </c>
      <c r="D138" s="6" t="s">
        <v>213</v>
      </c>
      <c r="E138" s="6" t="s">
        <v>67</v>
      </c>
      <c r="F138" s="6" t="n">
        <v>4</v>
      </c>
      <c r="G138" s="6" t="n">
        <v>55</v>
      </c>
      <c r="H138" s="6" t="s">
        <v>1607</v>
      </c>
      <c r="I138" s="22" t="n">
        <v>1098200</v>
      </c>
      <c r="J138" s="22" t="n">
        <v>4500</v>
      </c>
      <c r="K138" s="22" t="n">
        <v>82702.5</v>
      </c>
      <c r="L138" s="22" t="n">
        <v>1185402.5</v>
      </c>
      <c r="M138" s="6" t="s">
        <v>132</v>
      </c>
      <c r="N138" s="6" t="s">
        <v>84</v>
      </c>
      <c r="O138" s="6" t="s">
        <v>879</v>
      </c>
      <c r="P138" s="6" t="s">
        <v>85</v>
      </c>
      <c r="Q138" s="6" t="str">
        <f aca="false">IF(P138="pass","No","Yes")</f>
        <v>Yes</v>
      </c>
      <c r="R138" s="6" t="s">
        <v>86</v>
      </c>
      <c r="S138" s="6" t="s">
        <v>880</v>
      </c>
      <c r="T138" s="6" t="s">
        <v>134</v>
      </c>
      <c r="U138" s="23" t="n">
        <v>12.691</v>
      </c>
      <c r="V138" s="6" t="s">
        <v>1608</v>
      </c>
      <c r="W138" s="6" t="s">
        <v>1609</v>
      </c>
      <c r="X138" s="6" t="s">
        <v>1610</v>
      </c>
      <c r="Y138" s="6" t="s">
        <v>86</v>
      </c>
      <c r="Z138" s="6" t="n">
        <v>0</v>
      </c>
      <c r="AA138" s="6" t="n">
        <v>1</v>
      </c>
      <c r="AB138" s="6" t="n">
        <v>0</v>
      </c>
      <c r="AC138" s="6" t="n">
        <v>1</v>
      </c>
      <c r="AD138" s="6" t="n">
        <v>0</v>
      </c>
      <c r="AE138" s="6" t="n">
        <v>0</v>
      </c>
      <c r="AF138" s="6" t="n">
        <v>0</v>
      </c>
      <c r="AG138" s="6" t="n">
        <v>0</v>
      </c>
      <c r="AH138" s="6" t="n">
        <v>0</v>
      </c>
      <c r="AI138" s="6" t="s">
        <v>84</v>
      </c>
    </row>
    <row r="139" customFormat="false" ht="15" hidden="false" customHeight="false" outlineLevel="0" collapsed="false">
      <c r="A139" s="6" t="n">
        <v>138</v>
      </c>
      <c r="B139" s="6" t="s">
        <v>1611</v>
      </c>
      <c r="C139" s="6" t="n">
        <v>3</v>
      </c>
      <c r="D139" s="6" t="s">
        <v>237</v>
      </c>
      <c r="E139" s="6" t="s">
        <v>116</v>
      </c>
      <c r="F139" s="6" t="n">
        <v>2</v>
      </c>
      <c r="G139" s="6" t="n">
        <v>10</v>
      </c>
      <c r="H139" s="6" t="s">
        <v>1612</v>
      </c>
      <c r="I139" s="22" t="n">
        <v>303000</v>
      </c>
      <c r="J139" s="22" t="n">
        <v>15000</v>
      </c>
      <c r="K139" s="22" t="n">
        <v>23850</v>
      </c>
      <c r="L139" s="22" t="n">
        <v>341850</v>
      </c>
      <c r="M139" s="6" t="s">
        <v>57</v>
      </c>
      <c r="N139" s="6" t="s">
        <v>58</v>
      </c>
      <c r="O139" s="6"/>
      <c r="P139" s="6" t="s">
        <v>69</v>
      </c>
      <c r="Q139" s="6" t="str">
        <f aca="false">IF(P139="pass","No","Yes")</f>
        <v>No</v>
      </c>
      <c r="R139" s="6" t="s">
        <v>60</v>
      </c>
      <c r="S139" s="6"/>
      <c r="T139" s="6"/>
      <c r="U139" s="23" t="n">
        <v>9.414</v>
      </c>
      <c r="V139" s="6" t="s">
        <v>1613</v>
      </c>
      <c r="W139" s="6" t="s">
        <v>1614</v>
      </c>
      <c r="X139" s="6" t="s">
        <v>1615</v>
      </c>
      <c r="Y139" s="6" t="s">
        <v>60</v>
      </c>
      <c r="Z139" s="6" t="n">
        <v>0</v>
      </c>
      <c r="AA139" s="6" t="n">
        <v>0</v>
      </c>
      <c r="AB139" s="6" t="n">
        <v>0</v>
      </c>
      <c r="AC139" s="6" t="n">
        <v>0</v>
      </c>
      <c r="AD139" s="6" t="n">
        <v>0</v>
      </c>
      <c r="AE139" s="6" t="n">
        <v>0</v>
      </c>
      <c r="AF139" s="6" t="n">
        <v>0</v>
      </c>
      <c r="AG139" s="6" t="n">
        <v>0</v>
      </c>
      <c r="AH139" s="6" t="n">
        <v>0</v>
      </c>
      <c r="AI139" s="6" t="s">
        <v>84</v>
      </c>
    </row>
    <row r="140" customFormat="false" ht="15" hidden="false" customHeight="false" outlineLevel="0" collapsed="false">
      <c r="A140" s="6" t="n">
        <v>139</v>
      </c>
      <c r="B140" s="6" t="s">
        <v>1616</v>
      </c>
      <c r="C140" s="6" t="n">
        <v>3</v>
      </c>
      <c r="D140" s="6" t="s">
        <v>105</v>
      </c>
      <c r="E140" s="6" t="s">
        <v>81</v>
      </c>
      <c r="F140" s="6" t="n">
        <v>4</v>
      </c>
      <c r="G140" s="6" t="n">
        <v>125</v>
      </c>
      <c r="H140" s="6" t="s">
        <v>1617</v>
      </c>
      <c r="I140" s="22" t="n">
        <v>1647600</v>
      </c>
      <c r="J140" s="22" t="n">
        <v>4000</v>
      </c>
      <c r="K140" s="22" t="n">
        <v>123870</v>
      </c>
      <c r="L140" s="22" t="n">
        <v>1775470</v>
      </c>
      <c r="M140" s="6" t="s">
        <v>1009</v>
      </c>
      <c r="N140" s="6" t="s">
        <v>58</v>
      </c>
      <c r="O140" s="6"/>
      <c r="P140" s="6" t="s">
        <v>69</v>
      </c>
      <c r="Q140" s="6" t="str">
        <f aca="false">IF(P140="pass","No","Yes")</f>
        <v>No</v>
      </c>
      <c r="R140" s="6" t="s">
        <v>60</v>
      </c>
      <c r="S140" s="6"/>
      <c r="T140" s="6"/>
      <c r="U140" s="23" t="n">
        <v>14.225</v>
      </c>
      <c r="V140" s="6" t="s">
        <v>1618</v>
      </c>
      <c r="W140" s="6" t="s">
        <v>1619</v>
      </c>
      <c r="X140" s="6" t="s">
        <v>1620</v>
      </c>
      <c r="Y140" s="6" t="s">
        <v>60</v>
      </c>
      <c r="Z140" s="6" t="n">
        <v>0</v>
      </c>
      <c r="AA140" s="6" t="n">
        <v>0</v>
      </c>
      <c r="AB140" s="6" t="n">
        <v>0</v>
      </c>
      <c r="AC140" s="6" t="n">
        <v>0</v>
      </c>
      <c r="AD140" s="6" t="n">
        <v>0</v>
      </c>
      <c r="AE140" s="6" t="n">
        <v>0</v>
      </c>
      <c r="AF140" s="6" t="n">
        <v>0</v>
      </c>
      <c r="AG140" s="6" t="n">
        <v>0</v>
      </c>
      <c r="AH140" s="6" t="n">
        <v>0</v>
      </c>
      <c r="AI140" s="6" t="s">
        <v>84</v>
      </c>
    </row>
    <row r="141" customFormat="false" ht="15" hidden="false" customHeight="false" outlineLevel="0" collapsed="false">
      <c r="A141" s="6" t="n">
        <v>140</v>
      </c>
      <c r="B141" s="6" t="s">
        <v>1621</v>
      </c>
      <c r="C141" s="6" t="n">
        <v>3</v>
      </c>
      <c r="D141" s="6" t="s">
        <v>237</v>
      </c>
      <c r="E141" s="6" t="s">
        <v>116</v>
      </c>
      <c r="F141" s="6" t="n">
        <v>2</v>
      </c>
      <c r="G141" s="6" t="n">
        <v>10</v>
      </c>
      <c r="H141" s="6" t="s">
        <v>1612</v>
      </c>
      <c r="I141" s="22" t="n">
        <v>303000</v>
      </c>
      <c r="J141" s="22" t="n">
        <v>15000</v>
      </c>
      <c r="K141" s="22" t="n">
        <v>23850</v>
      </c>
      <c r="L141" s="22" t="n">
        <v>341850</v>
      </c>
      <c r="M141" s="6" t="s">
        <v>97</v>
      </c>
      <c r="N141" s="6" t="s">
        <v>84</v>
      </c>
      <c r="O141" s="6" t="s">
        <v>1185</v>
      </c>
      <c r="P141" s="6" t="s">
        <v>59</v>
      </c>
      <c r="Q141" s="6" t="str">
        <f aca="false">IF(P141="pass","No","Yes")</f>
        <v>Yes</v>
      </c>
      <c r="R141" s="6" t="s">
        <v>98</v>
      </c>
      <c r="S141" s="6" t="s">
        <v>1185</v>
      </c>
      <c r="T141" s="6" t="s">
        <v>1622</v>
      </c>
      <c r="U141" s="23" t="n">
        <v>7.951</v>
      </c>
      <c r="V141" s="6" t="s">
        <v>1623</v>
      </c>
      <c r="W141" s="6"/>
      <c r="X141" s="6" t="s">
        <v>1623</v>
      </c>
      <c r="Y141" s="6" t="s">
        <v>98</v>
      </c>
      <c r="Z141" s="6" t="n">
        <v>0</v>
      </c>
      <c r="AA141" s="6" t="n">
        <v>0</v>
      </c>
      <c r="AB141" s="6" t="n">
        <v>0</v>
      </c>
      <c r="AC141" s="6" t="n">
        <v>0</v>
      </c>
      <c r="AD141" s="6" t="n">
        <v>0</v>
      </c>
      <c r="AE141" s="6" t="n">
        <v>0</v>
      </c>
      <c r="AF141" s="6" t="n">
        <v>0</v>
      </c>
      <c r="AG141" s="6" t="n">
        <v>1</v>
      </c>
      <c r="AH141" s="6" t="n">
        <v>0</v>
      </c>
      <c r="AI141" s="6" t="s">
        <v>84</v>
      </c>
    </row>
    <row r="142" customFormat="false" ht="15" hidden="false" customHeight="false" outlineLevel="0" collapsed="false">
      <c r="A142" s="6" t="n">
        <v>141</v>
      </c>
      <c r="B142" s="6" t="s">
        <v>1624</v>
      </c>
      <c r="C142" s="6" t="n">
        <v>3</v>
      </c>
      <c r="D142" s="6" t="s">
        <v>100</v>
      </c>
      <c r="E142" s="6" t="s">
        <v>67</v>
      </c>
      <c r="F142" s="6" t="n">
        <v>2</v>
      </c>
      <c r="G142" s="6" t="n">
        <v>45</v>
      </c>
      <c r="H142" s="6" t="s">
        <v>1625</v>
      </c>
      <c r="I142" s="22" t="n">
        <v>484500</v>
      </c>
      <c r="J142" s="22" t="n">
        <v>4500</v>
      </c>
      <c r="K142" s="22" t="n">
        <v>36675</v>
      </c>
      <c r="L142" s="22" t="n">
        <v>525675</v>
      </c>
      <c r="M142" s="6" t="s">
        <v>1009</v>
      </c>
      <c r="N142" s="6" t="s">
        <v>58</v>
      </c>
      <c r="O142" s="6"/>
      <c r="P142" s="6" t="s">
        <v>69</v>
      </c>
      <c r="Q142" s="6" t="str">
        <f aca="false">IF(P142="pass","No","Yes")</f>
        <v>No</v>
      </c>
      <c r="R142" s="6" t="s">
        <v>60</v>
      </c>
      <c r="S142" s="6"/>
      <c r="T142" s="6"/>
      <c r="U142" s="23" t="n">
        <v>9.946</v>
      </c>
      <c r="V142" s="6" t="s">
        <v>1626</v>
      </c>
      <c r="W142" s="6" t="s">
        <v>1627</v>
      </c>
      <c r="X142" s="6" t="s">
        <v>1628</v>
      </c>
      <c r="Y142" s="6" t="s">
        <v>60</v>
      </c>
      <c r="Z142" s="6" t="n">
        <v>0</v>
      </c>
      <c r="AA142" s="6" t="n">
        <v>0</v>
      </c>
      <c r="AB142" s="6" t="n">
        <v>0</v>
      </c>
      <c r="AC142" s="6" t="n">
        <v>0</v>
      </c>
      <c r="AD142" s="6" t="n">
        <v>0</v>
      </c>
      <c r="AE142" s="6" t="n">
        <v>0</v>
      </c>
      <c r="AF142" s="6" t="n">
        <v>0</v>
      </c>
      <c r="AG142" s="6" t="n">
        <v>0</v>
      </c>
      <c r="AH142" s="6" t="n">
        <v>0</v>
      </c>
      <c r="AI142" s="6" t="s">
        <v>84</v>
      </c>
    </row>
    <row r="143" customFormat="false" ht="15" hidden="false" customHeight="false" outlineLevel="0" collapsed="false">
      <c r="A143" s="6" t="n">
        <v>142</v>
      </c>
      <c r="B143" s="6" t="s">
        <v>1629</v>
      </c>
      <c r="C143" s="6" t="n">
        <v>3</v>
      </c>
      <c r="D143" s="6" t="s">
        <v>237</v>
      </c>
      <c r="E143" s="6" t="s">
        <v>116</v>
      </c>
      <c r="F143" s="6" t="n">
        <v>3</v>
      </c>
      <c r="G143" s="6" t="n">
        <v>1109</v>
      </c>
      <c r="H143" s="6" t="s">
        <v>1630</v>
      </c>
      <c r="I143" s="22" t="n">
        <v>13928700</v>
      </c>
      <c r="J143" s="22" t="n">
        <v>15000</v>
      </c>
      <c r="K143" s="22" t="n">
        <v>1045777.5</v>
      </c>
      <c r="L143" s="22" t="n">
        <v>14989477.5</v>
      </c>
      <c r="M143" s="6" t="s">
        <v>159</v>
      </c>
      <c r="N143" s="6" t="s">
        <v>84</v>
      </c>
      <c r="O143" s="6" t="s">
        <v>886</v>
      </c>
      <c r="P143" s="6" t="s">
        <v>85</v>
      </c>
      <c r="Q143" s="6" t="str">
        <f aca="false">IF(P143="pass","No","Yes")</f>
        <v>Yes</v>
      </c>
      <c r="R143" s="6" t="s">
        <v>86</v>
      </c>
      <c r="S143" s="6" t="s">
        <v>934</v>
      </c>
      <c r="T143" s="6" t="s">
        <v>491</v>
      </c>
      <c r="U143" s="23" t="n">
        <v>12.119</v>
      </c>
      <c r="V143" s="6" t="s">
        <v>1631</v>
      </c>
      <c r="W143" s="6" t="s">
        <v>1632</v>
      </c>
      <c r="X143" s="6" t="s">
        <v>1633</v>
      </c>
      <c r="Y143" s="6" t="s">
        <v>86</v>
      </c>
      <c r="Z143" s="6" t="n">
        <v>0</v>
      </c>
      <c r="AA143" s="6" t="n">
        <v>0</v>
      </c>
      <c r="AB143" s="6" t="n">
        <v>1</v>
      </c>
      <c r="AC143" s="6" t="n">
        <v>1</v>
      </c>
      <c r="AD143" s="6" t="n">
        <v>0</v>
      </c>
      <c r="AE143" s="6" t="n">
        <v>0</v>
      </c>
      <c r="AF143" s="6" t="n">
        <v>0</v>
      </c>
      <c r="AG143" s="6" t="n">
        <v>0</v>
      </c>
      <c r="AH143" s="6" t="n">
        <v>0</v>
      </c>
      <c r="AI143" s="6" t="s">
        <v>84</v>
      </c>
    </row>
    <row r="144" customFormat="false" ht="15" hidden="false" customHeight="false" outlineLevel="0" collapsed="false">
      <c r="A144" s="6" t="n">
        <v>143</v>
      </c>
      <c r="B144" s="6" t="s">
        <v>1634</v>
      </c>
      <c r="C144" s="6" t="n">
        <v>3</v>
      </c>
      <c r="D144" s="6" t="s">
        <v>112</v>
      </c>
      <c r="E144" s="6" t="s">
        <v>116</v>
      </c>
      <c r="F144" s="6" t="n">
        <v>4</v>
      </c>
      <c r="G144" s="6" t="n">
        <v>50</v>
      </c>
      <c r="H144" s="6" t="s">
        <v>1635</v>
      </c>
      <c r="I144" s="22" t="n">
        <v>488200</v>
      </c>
      <c r="J144" s="22" t="n">
        <v>15000</v>
      </c>
      <c r="K144" s="22" t="n">
        <v>37740</v>
      </c>
      <c r="L144" s="22" t="n">
        <v>540940</v>
      </c>
      <c r="M144" s="6" t="s">
        <v>272</v>
      </c>
      <c r="N144" s="6" t="s">
        <v>84</v>
      </c>
      <c r="O144" s="6" t="s">
        <v>879</v>
      </c>
      <c r="P144" s="6" t="s">
        <v>85</v>
      </c>
      <c r="Q144" s="6" t="str">
        <f aca="false">IF(P144="pass","No","Yes")</f>
        <v>Yes</v>
      </c>
      <c r="R144" s="6" t="s">
        <v>86</v>
      </c>
      <c r="S144" s="6" t="s">
        <v>879</v>
      </c>
      <c r="T144" s="6" t="s">
        <v>1636</v>
      </c>
      <c r="U144" s="23" t="n">
        <v>12.436</v>
      </c>
      <c r="V144" s="6" t="s">
        <v>1637</v>
      </c>
      <c r="W144" s="6" t="s">
        <v>1638</v>
      </c>
      <c r="X144" s="6" t="s">
        <v>1639</v>
      </c>
      <c r="Y144" s="6" t="s">
        <v>86</v>
      </c>
      <c r="Z144" s="6" t="n">
        <v>0</v>
      </c>
      <c r="AA144" s="6" t="n">
        <v>1</v>
      </c>
      <c r="AB144" s="6" t="n">
        <v>0</v>
      </c>
      <c r="AC144" s="6" t="n">
        <v>0</v>
      </c>
      <c r="AD144" s="6" t="n">
        <v>0</v>
      </c>
      <c r="AE144" s="6" t="n">
        <v>0</v>
      </c>
      <c r="AF144" s="6" t="n">
        <v>0</v>
      </c>
      <c r="AG144" s="6" t="n">
        <v>0</v>
      </c>
      <c r="AH144" s="6" t="n">
        <v>0</v>
      </c>
      <c r="AI144" s="6" t="s">
        <v>84</v>
      </c>
    </row>
    <row r="145" customFormat="false" ht="15" hidden="false" customHeight="false" outlineLevel="0" collapsed="false">
      <c r="A145" s="6" t="n">
        <v>144</v>
      </c>
      <c r="B145" s="6" t="s">
        <v>1640</v>
      </c>
      <c r="C145" s="6" t="n">
        <v>3</v>
      </c>
      <c r="D145" s="6" t="s">
        <v>105</v>
      </c>
      <c r="E145" s="6" t="s">
        <v>81</v>
      </c>
      <c r="F145" s="6" t="n">
        <v>3</v>
      </c>
      <c r="G145" s="6" t="n">
        <v>21</v>
      </c>
      <c r="H145" s="6" t="s">
        <v>1641</v>
      </c>
      <c r="I145" s="22" t="n">
        <v>363400</v>
      </c>
      <c r="J145" s="22" t="n">
        <v>4000</v>
      </c>
      <c r="K145" s="22" t="n">
        <v>27555</v>
      </c>
      <c r="L145" s="22" t="n">
        <v>394955</v>
      </c>
      <c r="M145" s="6" t="s">
        <v>960</v>
      </c>
      <c r="N145" s="6" t="s">
        <v>84</v>
      </c>
      <c r="O145" s="6" t="s">
        <v>961</v>
      </c>
      <c r="P145" s="6" t="s">
        <v>85</v>
      </c>
      <c r="Q145" s="6" t="str">
        <f aca="false">IF(P145="pass","No","Yes")</f>
        <v>Yes</v>
      </c>
      <c r="R145" s="6" t="s">
        <v>86</v>
      </c>
      <c r="S145" s="6" t="s">
        <v>961</v>
      </c>
      <c r="T145" s="6" t="s">
        <v>962</v>
      </c>
      <c r="U145" s="23" t="n">
        <v>14.203</v>
      </c>
      <c r="V145" s="6" t="s">
        <v>1642</v>
      </c>
      <c r="W145" s="6" t="s">
        <v>1643</v>
      </c>
      <c r="X145" s="6" t="s">
        <v>1644</v>
      </c>
      <c r="Y145" s="6" t="s">
        <v>86</v>
      </c>
      <c r="Z145" s="6" t="n">
        <v>0</v>
      </c>
      <c r="AA145" s="6" t="n">
        <v>0</v>
      </c>
      <c r="AB145" s="6" t="n">
        <v>0</v>
      </c>
      <c r="AC145" s="6" t="n">
        <v>0</v>
      </c>
      <c r="AD145" s="6" t="n">
        <v>1</v>
      </c>
      <c r="AE145" s="6" t="n">
        <v>0</v>
      </c>
      <c r="AF145" s="6" t="n">
        <v>0</v>
      </c>
      <c r="AG145" s="6" t="n">
        <v>0</v>
      </c>
      <c r="AH145" s="6" t="n">
        <v>0</v>
      </c>
      <c r="AI145" s="6" t="s">
        <v>84</v>
      </c>
    </row>
    <row r="146" customFormat="false" ht="15" hidden="false" customHeight="false" outlineLevel="0" collapsed="false">
      <c r="A146" s="6" t="n">
        <v>145</v>
      </c>
      <c r="B146" s="6" t="s">
        <v>1645</v>
      </c>
      <c r="C146" s="6" t="n">
        <v>3</v>
      </c>
      <c r="D146" s="6" t="s">
        <v>137</v>
      </c>
      <c r="E146" s="6" t="s">
        <v>55</v>
      </c>
      <c r="F146" s="6" t="n">
        <v>3</v>
      </c>
      <c r="G146" s="6" t="n">
        <v>648</v>
      </c>
      <c r="H146" s="6" t="s">
        <v>1646</v>
      </c>
      <c r="I146" s="22" t="n">
        <v>4954000</v>
      </c>
      <c r="J146" s="22" t="n">
        <v>6000</v>
      </c>
      <c r="K146" s="22" t="n">
        <v>372000</v>
      </c>
      <c r="L146" s="22" t="n">
        <v>5332000</v>
      </c>
      <c r="M146" s="6" t="s">
        <v>171</v>
      </c>
      <c r="N146" s="6" t="s">
        <v>84</v>
      </c>
      <c r="O146" s="6" t="s">
        <v>892</v>
      </c>
      <c r="P146" s="6" t="s">
        <v>85</v>
      </c>
      <c r="Q146" s="6" t="str">
        <f aca="false">IF(P146="pass","No","Yes")</f>
        <v>Yes</v>
      </c>
      <c r="R146" s="6" t="s">
        <v>86</v>
      </c>
      <c r="S146" s="6" t="s">
        <v>893</v>
      </c>
      <c r="T146" s="6" t="s">
        <v>1647</v>
      </c>
      <c r="U146" s="23" t="n">
        <v>20.673</v>
      </c>
      <c r="V146" s="6" t="s">
        <v>1648</v>
      </c>
      <c r="W146" s="6" t="s">
        <v>1649</v>
      </c>
      <c r="X146" s="6" t="s">
        <v>1650</v>
      </c>
      <c r="Y146" s="6" t="s">
        <v>86</v>
      </c>
      <c r="Z146" s="6" t="n">
        <v>0</v>
      </c>
      <c r="AA146" s="6" t="n">
        <v>0</v>
      </c>
      <c r="AB146" s="6" t="n">
        <v>0</v>
      </c>
      <c r="AC146" s="6" t="n">
        <v>1</v>
      </c>
      <c r="AD146" s="6" t="n">
        <v>0</v>
      </c>
      <c r="AE146" s="6" t="n">
        <v>0</v>
      </c>
      <c r="AF146" s="6" t="n">
        <v>0</v>
      </c>
      <c r="AG146" s="6" t="n">
        <v>0</v>
      </c>
      <c r="AH146" s="6" t="n">
        <v>1</v>
      </c>
      <c r="AI146" s="6" t="s">
        <v>84</v>
      </c>
    </row>
    <row r="147" customFormat="false" ht="15" hidden="false" customHeight="false" outlineLevel="0" collapsed="false">
      <c r="A147" s="6" t="n">
        <v>146</v>
      </c>
      <c r="B147" s="6" t="s">
        <v>1651</v>
      </c>
      <c r="C147" s="6" t="n">
        <v>3</v>
      </c>
      <c r="D147" s="6" t="s">
        <v>186</v>
      </c>
      <c r="E147" s="6" t="s">
        <v>123</v>
      </c>
      <c r="F147" s="6" t="n">
        <v>4</v>
      </c>
      <c r="G147" s="6" t="n">
        <v>134</v>
      </c>
      <c r="H147" s="6" t="s">
        <v>1652</v>
      </c>
      <c r="I147" s="22" t="n">
        <v>1455100</v>
      </c>
      <c r="J147" s="22" t="n">
        <v>5000</v>
      </c>
      <c r="K147" s="22" t="n">
        <v>109507.5</v>
      </c>
      <c r="L147" s="22" t="n">
        <v>1569607.5</v>
      </c>
      <c r="M147" s="6" t="s">
        <v>83</v>
      </c>
      <c r="N147" s="6" t="s">
        <v>84</v>
      </c>
      <c r="O147" s="6" t="s">
        <v>886</v>
      </c>
      <c r="P147" s="6" t="s">
        <v>85</v>
      </c>
      <c r="Q147" s="6" t="str">
        <f aca="false">IF(P147="pass","No","Yes")</f>
        <v>Yes</v>
      </c>
      <c r="R147" s="6" t="s">
        <v>86</v>
      </c>
      <c r="S147" s="6" t="s">
        <v>886</v>
      </c>
      <c r="T147" s="6" t="s">
        <v>517</v>
      </c>
      <c r="U147" s="23" t="n">
        <v>24.366</v>
      </c>
      <c r="V147" s="6" t="s">
        <v>1653</v>
      </c>
      <c r="W147" s="6" t="s">
        <v>1654</v>
      </c>
      <c r="X147" s="6" t="s">
        <v>1655</v>
      </c>
      <c r="Y147" s="6" t="s">
        <v>86</v>
      </c>
      <c r="Z147" s="6" t="n">
        <v>0</v>
      </c>
      <c r="AA147" s="6" t="n">
        <v>0</v>
      </c>
      <c r="AB147" s="6" t="n">
        <v>1</v>
      </c>
      <c r="AC147" s="6" t="n">
        <v>0</v>
      </c>
      <c r="AD147" s="6" t="n">
        <v>0</v>
      </c>
      <c r="AE147" s="6" t="n">
        <v>0</v>
      </c>
      <c r="AF147" s="6" t="n">
        <v>0</v>
      </c>
      <c r="AG147" s="6" t="n">
        <v>0</v>
      </c>
      <c r="AH147" s="6" t="n">
        <v>0</v>
      </c>
      <c r="AI147" s="6" t="s">
        <v>84</v>
      </c>
    </row>
    <row r="148" customFormat="false" ht="15" hidden="false" customHeight="false" outlineLevel="0" collapsed="false">
      <c r="A148" s="6" t="n">
        <v>147</v>
      </c>
      <c r="B148" s="6" t="s">
        <v>1656</v>
      </c>
      <c r="C148" s="6" t="n">
        <v>3</v>
      </c>
      <c r="D148" s="6" t="s">
        <v>51</v>
      </c>
      <c r="E148" s="6" t="s">
        <v>55</v>
      </c>
      <c r="F148" s="6" t="n">
        <v>3</v>
      </c>
      <c r="G148" s="6" t="n">
        <v>108</v>
      </c>
      <c r="H148" s="6" t="s">
        <v>1657</v>
      </c>
      <c r="I148" s="22" t="n">
        <v>1479500</v>
      </c>
      <c r="J148" s="22" t="n">
        <v>6000</v>
      </c>
      <c r="K148" s="22" t="n">
        <v>111412.5</v>
      </c>
      <c r="L148" s="22" t="n">
        <v>1596912.5</v>
      </c>
      <c r="M148" s="6" t="s">
        <v>57</v>
      </c>
      <c r="N148" s="6" t="s">
        <v>58</v>
      </c>
      <c r="O148" s="6"/>
      <c r="P148" s="6" t="s">
        <v>69</v>
      </c>
      <c r="Q148" s="6" t="str">
        <f aca="false">IF(P148="pass","No","Yes")</f>
        <v>No</v>
      </c>
      <c r="R148" s="6" t="s">
        <v>60</v>
      </c>
      <c r="S148" s="6"/>
      <c r="T148" s="6"/>
      <c r="U148" s="23" t="n">
        <v>12.71</v>
      </c>
      <c r="V148" s="6" t="s">
        <v>1658</v>
      </c>
      <c r="W148" s="6" t="s">
        <v>1659</v>
      </c>
      <c r="X148" s="6" t="s">
        <v>1660</v>
      </c>
      <c r="Y148" s="6" t="s">
        <v>60</v>
      </c>
      <c r="Z148" s="6" t="n">
        <v>0</v>
      </c>
      <c r="AA148" s="6" t="n">
        <v>0</v>
      </c>
      <c r="AB148" s="6" t="n">
        <v>0</v>
      </c>
      <c r="AC148" s="6" t="n">
        <v>0</v>
      </c>
      <c r="AD148" s="6" t="n">
        <v>0</v>
      </c>
      <c r="AE148" s="6" t="n">
        <v>0</v>
      </c>
      <c r="AF148" s="6" t="n">
        <v>0</v>
      </c>
      <c r="AG148" s="6" t="n">
        <v>0</v>
      </c>
      <c r="AH148" s="6" t="n">
        <v>0</v>
      </c>
      <c r="AI148" s="6" t="s">
        <v>84</v>
      </c>
    </row>
    <row r="149" customFormat="false" ht="15" hidden="false" customHeight="false" outlineLevel="0" collapsed="false">
      <c r="A149" s="6" t="n">
        <v>148</v>
      </c>
      <c r="B149" s="6" t="s">
        <v>1661</v>
      </c>
      <c r="C149" s="6" t="n">
        <v>3</v>
      </c>
      <c r="D149" s="6" t="s">
        <v>137</v>
      </c>
      <c r="E149" s="6" t="s">
        <v>55</v>
      </c>
      <c r="F149" s="6" t="n">
        <v>2</v>
      </c>
      <c r="G149" s="6" t="n">
        <v>17</v>
      </c>
      <c r="H149" s="6" t="s">
        <v>1662</v>
      </c>
      <c r="I149" s="22" t="n">
        <v>646000</v>
      </c>
      <c r="J149" s="22" t="n">
        <v>6000</v>
      </c>
      <c r="K149" s="22" t="n">
        <v>48900</v>
      </c>
      <c r="L149" s="22" t="n">
        <v>700900</v>
      </c>
      <c r="M149" s="6" t="s">
        <v>152</v>
      </c>
      <c r="N149" s="6" t="s">
        <v>84</v>
      </c>
      <c r="O149" s="6" t="s">
        <v>886</v>
      </c>
      <c r="P149" s="6" t="s">
        <v>85</v>
      </c>
      <c r="Q149" s="6" t="str">
        <f aca="false">IF(P149="pass","No","Yes")</f>
        <v>Yes</v>
      </c>
      <c r="R149" s="6" t="s">
        <v>86</v>
      </c>
      <c r="S149" s="6" t="s">
        <v>886</v>
      </c>
      <c r="T149" s="6" t="s">
        <v>153</v>
      </c>
      <c r="U149" s="23" t="n">
        <v>6.847</v>
      </c>
      <c r="V149" s="6" t="s">
        <v>1663</v>
      </c>
      <c r="W149" s="6" t="s">
        <v>1664</v>
      </c>
      <c r="X149" s="6" t="s">
        <v>1665</v>
      </c>
      <c r="Y149" s="6" t="s">
        <v>86</v>
      </c>
      <c r="Z149" s="6" t="n">
        <v>0</v>
      </c>
      <c r="AA149" s="6" t="n">
        <v>0</v>
      </c>
      <c r="AB149" s="6" t="n">
        <v>1</v>
      </c>
      <c r="AC149" s="6" t="n">
        <v>0</v>
      </c>
      <c r="AD149" s="6" t="n">
        <v>0</v>
      </c>
      <c r="AE149" s="6" t="n">
        <v>0</v>
      </c>
      <c r="AF149" s="6" t="n">
        <v>0</v>
      </c>
      <c r="AG149" s="6" t="n">
        <v>0</v>
      </c>
      <c r="AH149" s="6" t="n">
        <v>0</v>
      </c>
      <c r="AI149" s="6" t="s">
        <v>84</v>
      </c>
    </row>
    <row r="150" customFormat="false" ht="15" hidden="false" customHeight="false" outlineLevel="0" collapsed="false">
      <c r="A150" s="6" t="n">
        <v>149</v>
      </c>
      <c r="B150" s="6" t="s">
        <v>1666</v>
      </c>
      <c r="C150" s="6" t="n">
        <v>3</v>
      </c>
      <c r="D150" s="6" t="s">
        <v>112</v>
      </c>
      <c r="E150" s="6" t="s">
        <v>116</v>
      </c>
      <c r="F150" s="6" t="n">
        <v>3</v>
      </c>
      <c r="G150" s="6" t="n">
        <v>146</v>
      </c>
      <c r="H150" s="6" t="s">
        <v>1667</v>
      </c>
      <c r="I150" s="22" t="n">
        <v>1618800</v>
      </c>
      <c r="J150" s="22" t="n">
        <v>15000</v>
      </c>
      <c r="K150" s="22" t="n">
        <v>122535</v>
      </c>
      <c r="L150" s="22" t="n">
        <v>1756335</v>
      </c>
      <c r="M150" s="6" t="s">
        <v>224</v>
      </c>
      <c r="N150" s="6" t="s">
        <v>84</v>
      </c>
      <c r="O150" s="6" t="s">
        <v>866</v>
      </c>
      <c r="P150" s="6" t="s">
        <v>85</v>
      </c>
      <c r="Q150" s="6" t="str">
        <f aca="false">IF(P150="pass","No","Yes")</f>
        <v>Yes</v>
      </c>
      <c r="R150" s="6" t="s">
        <v>86</v>
      </c>
      <c r="S150" s="6" t="s">
        <v>872</v>
      </c>
      <c r="T150" s="6" t="s">
        <v>1668</v>
      </c>
      <c r="U150" s="23" t="n">
        <v>20.989</v>
      </c>
      <c r="V150" s="6" t="s">
        <v>1669</v>
      </c>
      <c r="W150" s="6" t="s">
        <v>1670</v>
      </c>
      <c r="X150" s="6" t="s">
        <v>1671</v>
      </c>
      <c r="Y150" s="6" t="s">
        <v>86</v>
      </c>
      <c r="Z150" s="6" t="n">
        <v>1</v>
      </c>
      <c r="AA150" s="6" t="n">
        <v>0</v>
      </c>
      <c r="AB150" s="6" t="n">
        <v>0</v>
      </c>
      <c r="AC150" s="6" t="n">
        <v>0</v>
      </c>
      <c r="AD150" s="6" t="n">
        <v>0</v>
      </c>
      <c r="AE150" s="6" t="n">
        <v>0</v>
      </c>
      <c r="AF150" s="6" t="n">
        <v>0</v>
      </c>
      <c r="AG150" s="6" t="n">
        <v>0</v>
      </c>
      <c r="AH150" s="6" t="n">
        <v>1</v>
      </c>
      <c r="AI150" s="6" t="s">
        <v>58</v>
      </c>
    </row>
    <row r="151" customFormat="false" ht="15" hidden="false" customHeight="false" outlineLevel="0" collapsed="false">
      <c r="A151" s="6" t="n">
        <v>150</v>
      </c>
      <c r="B151" s="6" t="s">
        <v>1672</v>
      </c>
      <c r="C151" s="6" t="n">
        <v>3</v>
      </c>
      <c r="D151" s="6" t="s">
        <v>137</v>
      </c>
      <c r="E151" s="6" t="s">
        <v>55</v>
      </c>
      <c r="F151" s="6" t="n">
        <v>1</v>
      </c>
      <c r="G151" s="6" t="n">
        <v>7</v>
      </c>
      <c r="H151" s="6" t="s">
        <v>1207</v>
      </c>
      <c r="I151" s="22" t="n">
        <v>266000</v>
      </c>
      <c r="J151" s="22" t="n">
        <v>6000</v>
      </c>
      <c r="K151" s="22" t="n">
        <v>20400</v>
      </c>
      <c r="L151" s="22" t="n">
        <v>292400</v>
      </c>
      <c r="M151" s="6" t="s">
        <v>57</v>
      </c>
      <c r="N151" s="6" t="s">
        <v>58</v>
      </c>
      <c r="O151" s="6"/>
      <c r="P151" s="6" t="s">
        <v>59</v>
      </c>
      <c r="Q151" s="6" t="str">
        <f aca="false">IF(P151="pass","No","Yes")</f>
        <v>Yes</v>
      </c>
      <c r="R151" s="6" t="s">
        <v>98</v>
      </c>
      <c r="S151" s="6" t="s">
        <v>1185</v>
      </c>
      <c r="T151" s="6" t="s">
        <v>1673</v>
      </c>
      <c r="U151" s="23" t="n">
        <v>5.274</v>
      </c>
      <c r="V151" s="6" t="s">
        <v>1674</v>
      </c>
      <c r="W151" s="6"/>
      <c r="X151" s="6" t="s">
        <v>1674</v>
      </c>
      <c r="Y151" s="6" t="s">
        <v>98</v>
      </c>
      <c r="Z151" s="6" t="n">
        <v>0</v>
      </c>
      <c r="AA151" s="6" t="n">
        <v>0</v>
      </c>
      <c r="AB151" s="6" t="n">
        <v>0</v>
      </c>
      <c r="AC151" s="6" t="n">
        <v>0</v>
      </c>
      <c r="AD151" s="6" t="n">
        <v>0</v>
      </c>
      <c r="AE151" s="6" t="n">
        <v>0</v>
      </c>
      <c r="AF151" s="6" t="n">
        <v>0</v>
      </c>
      <c r="AG151" s="6" t="n">
        <v>1</v>
      </c>
      <c r="AH151" s="6" t="n">
        <v>0</v>
      </c>
      <c r="AI151" s="6" t="s">
        <v>84</v>
      </c>
    </row>
    <row r="152" customFormat="false" ht="15" hidden="false" customHeight="false" outlineLevel="0" collapsed="false">
      <c r="A152" s="6" t="n">
        <v>151</v>
      </c>
      <c r="B152" s="6" t="s">
        <v>1675</v>
      </c>
      <c r="C152" s="6" t="n">
        <v>4</v>
      </c>
      <c r="D152" s="6" t="s">
        <v>213</v>
      </c>
      <c r="E152" s="6" t="s">
        <v>67</v>
      </c>
      <c r="F152" s="6" t="n">
        <v>3</v>
      </c>
      <c r="G152" s="6" t="n">
        <v>179</v>
      </c>
      <c r="H152" s="6" t="s">
        <v>1676</v>
      </c>
      <c r="I152" s="22" t="n">
        <v>1952200</v>
      </c>
      <c r="J152" s="22" t="n">
        <v>4500</v>
      </c>
      <c r="K152" s="22" t="n">
        <v>146752.5</v>
      </c>
      <c r="L152" s="22" t="n">
        <v>2103452.5</v>
      </c>
      <c r="M152" s="6" t="s">
        <v>94</v>
      </c>
      <c r="N152" s="6" t="s">
        <v>84</v>
      </c>
      <c r="O152" s="6" t="s">
        <v>909</v>
      </c>
      <c r="P152" s="6" t="s">
        <v>85</v>
      </c>
      <c r="Q152" s="6" t="str">
        <f aca="false">IF(P152="pass","No","Yes")</f>
        <v>Yes</v>
      </c>
      <c r="R152" s="6" t="s">
        <v>86</v>
      </c>
      <c r="S152" s="6" t="s">
        <v>1544</v>
      </c>
      <c r="T152" s="6" t="s">
        <v>1677</v>
      </c>
      <c r="U152" s="23" t="n">
        <v>20.589</v>
      </c>
      <c r="V152" s="6" t="s">
        <v>1678</v>
      </c>
      <c r="W152" s="6" t="s">
        <v>1679</v>
      </c>
      <c r="X152" s="6" t="s">
        <v>1680</v>
      </c>
      <c r="Y152" s="6" t="s">
        <v>86</v>
      </c>
      <c r="Z152" s="6" t="n">
        <v>0</v>
      </c>
      <c r="AA152" s="6" t="n">
        <v>0</v>
      </c>
      <c r="AB152" s="6" t="n">
        <v>0</v>
      </c>
      <c r="AC152" s="6" t="n">
        <v>0</v>
      </c>
      <c r="AD152" s="6" t="n">
        <v>0</v>
      </c>
      <c r="AE152" s="6" t="n">
        <v>0</v>
      </c>
      <c r="AF152" s="6" t="n">
        <v>1</v>
      </c>
      <c r="AG152" s="6" t="n">
        <v>0</v>
      </c>
      <c r="AH152" s="6" t="n">
        <v>1</v>
      </c>
      <c r="AI152" s="6" t="s">
        <v>84</v>
      </c>
    </row>
    <row r="153" customFormat="false" ht="15" hidden="false" customHeight="false" outlineLevel="0" collapsed="false">
      <c r="A153" s="6" t="n">
        <v>152</v>
      </c>
      <c r="B153" s="6" t="s">
        <v>1681</v>
      </c>
      <c r="C153" s="6" t="n">
        <v>4</v>
      </c>
      <c r="D153" s="6" t="s">
        <v>100</v>
      </c>
      <c r="E153" s="6" t="s">
        <v>67</v>
      </c>
      <c r="F153" s="6" t="n">
        <v>1</v>
      </c>
      <c r="G153" s="6" t="n">
        <v>13</v>
      </c>
      <c r="H153" s="6" t="s">
        <v>1682</v>
      </c>
      <c r="I153" s="22" t="n">
        <v>676000</v>
      </c>
      <c r="J153" s="22" t="n">
        <v>4500</v>
      </c>
      <c r="K153" s="22" t="n">
        <v>51037.5</v>
      </c>
      <c r="L153" s="22" t="n">
        <v>731537.5</v>
      </c>
      <c r="M153" s="6" t="s">
        <v>57</v>
      </c>
      <c r="N153" s="6" t="s">
        <v>58</v>
      </c>
      <c r="O153" s="6"/>
      <c r="P153" s="6" t="s">
        <v>69</v>
      </c>
      <c r="Q153" s="6" t="str">
        <f aca="false">IF(P153="pass","No","Yes")</f>
        <v>No</v>
      </c>
      <c r="R153" s="6" t="s">
        <v>60</v>
      </c>
      <c r="S153" s="6"/>
      <c r="T153" s="6"/>
      <c r="U153" s="23" t="n">
        <v>7.44</v>
      </c>
      <c r="V153" s="6" t="s">
        <v>1683</v>
      </c>
      <c r="W153" s="6" t="s">
        <v>1684</v>
      </c>
      <c r="X153" s="6" t="s">
        <v>1685</v>
      </c>
      <c r="Y153" s="6" t="s">
        <v>60</v>
      </c>
      <c r="Z153" s="6" t="n">
        <v>0</v>
      </c>
      <c r="AA153" s="6" t="n">
        <v>0</v>
      </c>
      <c r="AB153" s="6" t="n">
        <v>0</v>
      </c>
      <c r="AC153" s="6" t="n">
        <v>0</v>
      </c>
      <c r="AD153" s="6" t="n">
        <v>0</v>
      </c>
      <c r="AE153" s="6" t="n">
        <v>0</v>
      </c>
      <c r="AF153" s="6" t="n">
        <v>0</v>
      </c>
      <c r="AG153" s="6" t="n">
        <v>0</v>
      </c>
      <c r="AH153" s="6" t="n">
        <v>0</v>
      </c>
      <c r="AI153" s="6" t="s">
        <v>84</v>
      </c>
    </row>
    <row r="154" customFormat="false" ht="15" hidden="false" customHeight="false" outlineLevel="0" collapsed="false">
      <c r="A154" s="6" t="n">
        <v>153</v>
      </c>
      <c r="B154" s="6" t="s">
        <v>1686</v>
      </c>
      <c r="C154" s="6" t="n">
        <v>4</v>
      </c>
      <c r="D154" s="6" t="s">
        <v>166</v>
      </c>
      <c r="E154" s="6" t="s">
        <v>74</v>
      </c>
      <c r="F154" s="6" t="n">
        <v>1</v>
      </c>
      <c r="G154" s="6" t="n">
        <v>117</v>
      </c>
      <c r="H154" s="6" t="s">
        <v>1687</v>
      </c>
      <c r="I154" s="22" t="n">
        <v>1111500</v>
      </c>
      <c r="J154" s="22" t="n">
        <v>9000</v>
      </c>
      <c r="K154" s="22" t="n">
        <v>84037.5</v>
      </c>
      <c r="L154" s="22" t="n">
        <v>1204537.5</v>
      </c>
      <c r="M154" s="6" t="s">
        <v>57</v>
      </c>
      <c r="N154" s="6" t="s">
        <v>58</v>
      </c>
      <c r="O154" s="6"/>
      <c r="P154" s="6" t="s">
        <v>69</v>
      </c>
      <c r="Q154" s="6" t="str">
        <f aca="false">IF(P154="pass","No","Yes")</f>
        <v>No</v>
      </c>
      <c r="R154" s="6" t="s">
        <v>60</v>
      </c>
      <c r="S154" s="6"/>
      <c r="T154" s="6"/>
      <c r="U154" s="23" t="n">
        <v>14.309</v>
      </c>
      <c r="V154" s="6" t="s">
        <v>1688</v>
      </c>
      <c r="W154" s="6" t="s">
        <v>1689</v>
      </c>
      <c r="X154" s="6" t="s">
        <v>1690</v>
      </c>
      <c r="Y154" s="6" t="s">
        <v>60</v>
      </c>
      <c r="Z154" s="6" t="n">
        <v>0</v>
      </c>
      <c r="AA154" s="6" t="n">
        <v>0</v>
      </c>
      <c r="AB154" s="6" t="n">
        <v>0</v>
      </c>
      <c r="AC154" s="6" t="n">
        <v>0</v>
      </c>
      <c r="AD154" s="6" t="n">
        <v>0</v>
      </c>
      <c r="AE154" s="6" t="n">
        <v>0</v>
      </c>
      <c r="AF154" s="6" t="n">
        <v>0</v>
      </c>
      <c r="AG154" s="6" t="n">
        <v>0</v>
      </c>
      <c r="AH154" s="6" t="n">
        <v>0</v>
      </c>
      <c r="AI154" s="6" t="s">
        <v>84</v>
      </c>
    </row>
    <row r="155" customFormat="false" ht="15" hidden="false" customHeight="false" outlineLevel="0" collapsed="false">
      <c r="A155" s="6" t="n">
        <v>154</v>
      </c>
      <c r="B155" s="6" t="s">
        <v>1691</v>
      </c>
      <c r="C155" s="6" t="n">
        <v>4</v>
      </c>
      <c r="D155" s="6" t="s">
        <v>142</v>
      </c>
      <c r="E155" s="6" t="s">
        <v>74</v>
      </c>
      <c r="F155" s="6" t="n">
        <v>3</v>
      </c>
      <c r="G155" s="6" t="n">
        <v>134</v>
      </c>
      <c r="H155" s="6" t="s">
        <v>1692</v>
      </c>
      <c r="I155" s="22" t="n">
        <v>1309300</v>
      </c>
      <c r="J155" s="22" t="n">
        <v>9000</v>
      </c>
      <c r="K155" s="22" t="n">
        <v>98872.5</v>
      </c>
      <c r="L155" s="22" t="n">
        <v>1417172.5</v>
      </c>
      <c r="M155" s="6" t="s">
        <v>57</v>
      </c>
      <c r="N155" s="6" t="s">
        <v>58</v>
      </c>
      <c r="O155" s="6"/>
      <c r="P155" s="6" t="s">
        <v>69</v>
      </c>
      <c r="Q155" s="6" t="str">
        <f aca="false">IF(P155="pass","No","Yes")</f>
        <v>No</v>
      </c>
      <c r="R155" s="6" t="s">
        <v>60</v>
      </c>
      <c r="S155" s="6"/>
      <c r="T155" s="6"/>
      <c r="U155" s="23" t="n">
        <v>21.304</v>
      </c>
      <c r="V155" s="6" t="s">
        <v>1693</v>
      </c>
      <c r="W155" s="6" t="s">
        <v>1694</v>
      </c>
      <c r="X155" s="6" t="s">
        <v>1695</v>
      </c>
      <c r="Y155" s="6" t="s">
        <v>60</v>
      </c>
      <c r="Z155" s="6" t="n">
        <v>0</v>
      </c>
      <c r="AA155" s="6" t="n">
        <v>0</v>
      </c>
      <c r="AB155" s="6" t="n">
        <v>0</v>
      </c>
      <c r="AC155" s="6" t="n">
        <v>0</v>
      </c>
      <c r="AD155" s="6" t="n">
        <v>0</v>
      </c>
      <c r="AE155" s="6" t="n">
        <v>0</v>
      </c>
      <c r="AF155" s="6" t="n">
        <v>0</v>
      </c>
      <c r="AG155" s="6" t="n">
        <v>0</v>
      </c>
      <c r="AH155" s="6" t="n">
        <v>0</v>
      </c>
      <c r="AI155" s="6" t="s">
        <v>84</v>
      </c>
    </row>
    <row r="156" customFormat="false" ht="15" hidden="false" customHeight="false" outlineLevel="0" collapsed="false">
      <c r="A156" s="6" t="n">
        <v>155</v>
      </c>
      <c r="B156" s="6" t="s">
        <v>1696</v>
      </c>
      <c r="C156" s="6" t="n">
        <v>4</v>
      </c>
      <c r="D156" s="6" t="s">
        <v>63</v>
      </c>
      <c r="E156" s="6" t="s">
        <v>67</v>
      </c>
      <c r="F156" s="6" t="n">
        <v>1</v>
      </c>
      <c r="G156" s="6" t="n">
        <v>90</v>
      </c>
      <c r="H156" s="6" t="s">
        <v>1697</v>
      </c>
      <c r="I156" s="22" t="n">
        <v>648000</v>
      </c>
      <c r="J156" s="22" t="n">
        <v>4500</v>
      </c>
      <c r="K156" s="22" t="n">
        <v>48937.5</v>
      </c>
      <c r="L156" s="22" t="n">
        <v>701437.5</v>
      </c>
      <c r="M156" s="6" t="s">
        <v>57</v>
      </c>
      <c r="N156" s="6" t="s">
        <v>58</v>
      </c>
      <c r="O156" s="6"/>
      <c r="P156" s="6" t="s">
        <v>69</v>
      </c>
      <c r="Q156" s="6" t="str">
        <f aca="false">IF(P156="pass","No","Yes")</f>
        <v>No</v>
      </c>
      <c r="R156" s="6" t="s">
        <v>60</v>
      </c>
      <c r="S156" s="6"/>
      <c r="T156" s="6"/>
      <c r="U156" s="23" t="n">
        <v>15.858</v>
      </c>
      <c r="V156" s="6" t="s">
        <v>1698</v>
      </c>
      <c r="W156" s="6" t="s">
        <v>1699</v>
      </c>
      <c r="X156" s="6" t="s">
        <v>1700</v>
      </c>
      <c r="Y156" s="6" t="s">
        <v>60</v>
      </c>
      <c r="Z156" s="6" t="n">
        <v>0</v>
      </c>
      <c r="AA156" s="6" t="n">
        <v>0</v>
      </c>
      <c r="AB156" s="6" t="n">
        <v>0</v>
      </c>
      <c r="AC156" s="6" t="n">
        <v>0</v>
      </c>
      <c r="AD156" s="6" t="n">
        <v>0</v>
      </c>
      <c r="AE156" s="6" t="n">
        <v>0</v>
      </c>
      <c r="AF156" s="6" t="n">
        <v>0</v>
      </c>
      <c r="AG156" s="6" t="n">
        <v>0</v>
      </c>
      <c r="AH156" s="6" t="n">
        <v>0</v>
      </c>
      <c r="AI156" s="6" t="s">
        <v>84</v>
      </c>
    </row>
    <row r="157" customFormat="false" ht="15" hidden="false" customHeight="false" outlineLevel="0" collapsed="false">
      <c r="A157" s="6" t="n">
        <v>156</v>
      </c>
      <c r="B157" s="6" t="s">
        <v>1701</v>
      </c>
      <c r="C157" s="6" t="n">
        <v>4</v>
      </c>
      <c r="D157" s="6" t="s">
        <v>154</v>
      </c>
      <c r="E157" s="6" t="s">
        <v>123</v>
      </c>
      <c r="F157" s="6" t="n">
        <v>1</v>
      </c>
      <c r="G157" s="6" t="n">
        <v>36</v>
      </c>
      <c r="H157" s="6" t="s">
        <v>1702</v>
      </c>
      <c r="I157" s="22" t="n">
        <v>522000</v>
      </c>
      <c r="J157" s="22" t="n">
        <v>5000</v>
      </c>
      <c r="K157" s="22" t="n">
        <v>39525</v>
      </c>
      <c r="L157" s="22" t="n">
        <v>566525</v>
      </c>
      <c r="M157" s="6" t="s">
        <v>57</v>
      </c>
      <c r="N157" s="6" t="s">
        <v>58</v>
      </c>
      <c r="O157" s="6"/>
      <c r="P157" s="6" t="s">
        <v>69</v>
      </c>
      <c r="Q157" s="6" t="str">
        <f aca="false">IF(P157="pass","No","Yes")</f>
        <v>No</v>
      </c>
      <c r="R157" s="6" t="s">
        <v>60</v>
      </c>
      <c r="S157" s="6"/>
      <c r="T157" s="6"/>
      <c r="U157" s="23" t="n">
        <v>7.199</v>
      </c>
      <c r="V157" s="6" t="s">
        <v>1703</v>
      </c>
      <c r="W157" s="6" t="s">
        <v>1704</v>
      </c>
      <c r="X157" s="6" t="s">
        <v>1705</v>
      </c>
      <c r="Y157" s="6" t="s">
        <v>60</v>
      </c>
      <c r="Z157" s="6" t="n">
        <v>0</v>
      </c>
      <c r="AA157" s="6" t="n">
        <v>0</v>
      </c>
      <c r="AB157" s="6" t="n">
        <v>0</v>
      </c>
      <c r="AC157" s="6" t="n">
        <v>0</v>
      </c>
      <c r="AD157" s="6" t="n">
        <v>0</v>
      </c>
      <c r="AE157" s="6" t="n">
        <v>0</v>
      </c>
      <c r="AF157" s="6" t="n">
        <v>0</v>
      </c>
      <c r="AG157" s="6" t="n">
        <v>0</v>
      </c>
      <c r="AH157" s="6" t="n">
        <v>0</v>
      </c>
      <c r="AI157" s="6" t="s">
        <v>84</v>
      </c>
    </row>
    <row r="158" customFormat="false" ht="15" hidden="false" customHeight="false" outlineLevel="0" collapsed="false">
      <c r="A158" s="6" t="n">
        <v>157</v>
      </c>
      <c r="B158" s="6" t="s">
        <v>1706</v>
      </c>
      <c r="C158" s="6" t="n">
        <v>4</v>
      </c>
      <c r="D158" s="6" t="s">
        <v>154</v>
      </c>
      <c r="E158" s="6" t="s">
        <v>123</v>
      </c>
      <c r="F158" s="6" t="n">
        <v>1</v>
      </c>
      <c r="G158" s="6" t="n">
        <v>36</v>
      </c>
      <c r="H158" s="6" t="s">
        <v>1702</v>
      </c>
      <c r="I158" s="22" t="n">
        <v>522000</v>
      </c>
      <c r="J158" s="22" t="n">
        <v>5000</v>
      </c>
      <c r="K158" s="22" t="n">
        <v>39525</v>
      </c>
      <c r="L158" s="22" t="n">
        <v>566525</v>
      </c>
      <c r="M158" s="6" t="s">
        <v>97</v>
      </c>
      <c r="N158" s="6" t="s">
        <v>84</v>
      </c>
      <c r="O158" s="6" t="s">
        <v>1185</v>
      </c>
      <c r="P158" s="6" t="s">
        <v>59</v>
      </c>
      <c r="Q158" s="6" t="str">
        <f aca="false">IF(P158="pass","No","Yes")</f>
        <v>Yes</v>
      </c>
      <c r="R158" s="6" t="s">
        <v>98</v>
      </c>
      <c r="S158" s="6" t="s">
        <v>1185</v>
      </c>
      <c r="T158" s="6" t="s">
        <v>1707</v>
      </c>
      <c r="U158" s="23" t="n">
        <v>4.814</v>
      </c>
      <c r="V158" s="6" t="s">
        <v>1708</v>
      </c>
      <c r="W158" s="6"/>
      <c r="X158" s="6" t="s">
        <v>1708</v>
      </c>
      <c r="Y158" s="6" t="s">
        <v>98</v>
      </c>
      <c r="Z158" s="6" t="n">
        <v>0</v>
      </c>
      <c r="AA158" s="6" t="n">
        <v>0</v>
      </c>
      <c r="AB158" s="6" t="n">
        <v>0</v>
      </c>
      <c r="AC158" s="6" t="n">
        <v>0</v>
      </c>
      <c r="AD158" s="6" t="n">
        <v>0</v>
      </c>
      <c r="AE158" s="6" t="n">
        <v>0</v>
      </c>
      <c r="AF158" s="6" t="n">
        <v>0</v>
      </c>
      <c r="AG158" s="6" t="n">
        <v>1</v>
      </c>
      <c r="AH158" s="6" t="n">
        <v>0</v>
      </c>
      <c r="AI158" s="6" t="s">
        <v>84</v>
      </c>
    </row>
    <row r="159" customFormat="false" ht="15" hidden="false" customHeight="false" outlineLevel="0" collapsed="false">
      <c r="A159" s="6" t="n">
        <v>158</v>
      </c>
      <c r="B159" s="6" t="s">
        <v>1709</v>
      </c>
      <c r="C159" s="6" t="n">
        <v>4</v>
      </c>
      <c r="D159" s="6" t="s">
        <v>166</v>
      </c>
      <c r="E159" s="6" t="s">
        <v>74</v>
      </c>
      <c r="F159" s="6" t="n">
        <v>2</v>
      </c>
      <c r="G159" s="6" t="n">
        <v>136</v>
      </c>
      <c r="H159" s="6" t="s">
        <v>1710</v>
      </c>
      <c r="I159" s="22" t="n">
        <v>1172400</v>
      </c>
      <c r="J159" s="22" t="n">
        <v>9000</v>
      </c>
      <c r="K159" s="22" t="n">
        <v>88605</v>
      </c>
      <c r="L159" s="22" t="n">
        <v>1270005</v>
      </c>
      <c r="M159" s="6" t="s">
        <v>57</v>
      </c>
      <c r="N159" s="6" t="s">
        <v>58</v>
      </c>
      <c r="O159" s="6"/>
      <c r="P159" s="6" t="s">
        <v>59</v>
      </c>
      <c r="Q159" s="6" t="str">
        <f aca="false">IF(P159="pass","No","Yes")</f>
        <v>Yes</v>
      </c>
      <c r="R159" s="6" t="s">
        <v>60</v>
      </c>
      <c r="S159" s="6" t="s">
        <v>915</v>
      </c>
      <c r="T159" s="6" t="s">
        <v>1711</v>
      </c>
      <c r="U159" s="23" t="n">
        <v>19.764</v>
      </c>
      <c r="V159" s="6" t="s">
        <v>1712</v>
      </c>
      <c r="W159" s="6" t="s">
        <v>1713</v>
      </c>
      <c r="X159" s="6" t="s">
        <v>1714</v>
      </c>
      <c r="Y159" s="6" t="s">
        <v>60</v>
      </c>
      <c r="Z159" s="6" t="n">
        <v>0</v>
      </c>
      <c r="AA159" s="6" t="n">
        <v>0</v>
      </c>
      <c r="AB159" s="6" t="n">
        <v>0</v>
      </c>
      <c r="AC159" s="6" t="n">
        <v>0</v>
      </c>
      <c r="AD159" s="6" t="n">
        <v>0</v>
      </c>
      <c r="AE159" s="6" t="n">
        <v>0</v>
      </c>
      <c r="AF159" s="6" t="n">
        <v>0</v>
      </c>
      <c r="AG159" s="6" t="n">
        <v>0</v>
      </c>
      <c r="AH159" s="6" t="n">
        <v>1</v>
      </c>
      <c r="AI159" s="6" t="s">
        <v>84</v>
      </c>
    </row>
    <row r="160" customFormat="false" ht="15" hidden="false" customHeight="false" outlineLevel="0" collapsed="false">
      <c r="A160" s="6" t="n">
        <v>159</v>
      </c>
      <c r="B160" s="6" t="s">
        <v>1715</v>
      </c>
      <c r="C160" s="6" t="n">
        <v>4</v>
      </c>
      <c r="D160" s="6" t="s">
        <v>127</v>
      </c>
      <c r="E160" s="6" t="s">
        <v>55</v>
      </c>
      <c r="F160" s="6" t="n">
        <v>2</v>
      </c>
      <c r="G160" s="6" t="n">
        <v>327</v>
      </c>
      <c r="H160" s="6" t="s">
        <v>1716</v>
      </c>
      <c r="I160" s="22" t="n">
        <v>4719500</v>
      </c>
      <c r="J160" s="22" t="n">
        <v>6000</v>
      </c>
      <c r="K160" s="22" t="n">
        <v>354412.5</v>
      </c>
      <c r="L160" s="22" t="n">
        <v>5079912.5</v>
      </c>
      <c r="M160" s="6" t="s">
        <v>171</v>
      </c>
      <c r="N160" s="6" t="s">
        <v>84</v>
      </c>
      <c r="O160" s="6" t="s">
        <v>892</v>
      </c>
      <c r="P160" s="6" t="s">
        <v>85</v>
      </c>
      <c r="Q160" s="6" t="str">
        <f aca="false">IF(P160="pass","No","Yes")</f>
        <v>Yes</v>
      </c>
      <c r="R160" s="6" t="s">
        <v>86</v>
      </c>
      <c r="S160" s="6" t="s">
        <v>892</v>
      </c>
      <c r="T160" s="6" t="s">
        <v>618</v>
      </c>
      <c r="U160" s="23" t="n">
        <v>10.706</v>
      </c>
      <c r="V160" s="6" t="s">
        <v>1717</v>
      </c>
      <c r="W160" s="6" t="s">
        <v>1718</v>
      </c>
      <c r="X160" s="6" t="s">
        <v>1719</v>
      </c>
      <c r="Y160" s="6" t="s">
        <v>86</v>
      </c>
      <c r="Z160" s="6" t="n">
        <v>0</v>
      </c>
      <c r="AA160" s="6" t="n">
        <v>0</v>
      </c>
      <c r="AB160" s="6" t="n">
        <v>0</v>
      </c>
      <c r="AC160" s="6" t="n">
        <v>1</v>
      </c>
      <c r="AD160" s="6" t="n">
        <v>0</v>
      </c>
      <c r="AE160" s="6" t="n">
        <v>0</v>
      </c>
      <c r="AF160" s="6" t="n">
        <v>0</v>
      </c>
      <c r="AG160" s="6" t="n">
        <v>0</v>
      </c>
      <c r="AH160" s="6" t="n">
        <v>0</v>
      </c>
      <c r="AI160" s="6" t="s">
        <v>84</v>
      </c>
    </row>
    <row r="161" customFormat="false" ht="15" hidden="false" customHeight="false" outlineLevel="0" collapsed="false">
      <c r="A161" s="6" t="n">
        <v>160</v>
      </c>
      <c r="B161" s="6" t="s">
        <v>1720</v>
      </c>
      <c r="C161" s="6" t="n">
        <v>4</v>
      </c>
      <c r="D161" s="6" t="s">
        <v>105</v>
      </c>
      <c r="E161" s="6" t="s">
        <v>81</v>
      </c>
      <c r="F161" s="6" t="n">
        <v>2</v>
      </c>
      <c r="G161" s="6" t="n">
        <v>72</v>
      </c>
      <c r="H161" s="6" t="s">
        <v>1721</v>
      </c>
      <c r="I161" s="22" t="n">
        <v>518400</v>
      </c>
      <c r="J161" s="22" t="n">
        <v>4000</v>
      </c>
      <c r="K161" s="22" t="n">
        <v>39180</v>
      </c>
      <c r="L161" s="22" t="n">
        <v>561580</v>
      </c>
      <c r="M161" s="6" t="s">
        <v>272</v>
      </c>
      <c r="N161" s="6" t="s">
        <v>84</v>
      </c>
      <c r="O161" s="6" t="s">
        <v>879</v>
      </c>
      <c r="P161" s="6" t="s">
        <v>85</v>
      </c>
      <c r="Q161" s="6" t="str">
        <f aca="false">IF(P161="pass","No","Yes")</f>
        <v>Yes</v>
      </c>
      <c r="R161" s="6" t="s">
        <v>86</v>
      </c>
      <c r="S161" s="6" t="s">
        <v>1233</v>
      </c>
      <c r="T161" s="6" t="s">
        <v>1722</v>
      </c>
      <c r="U161" s="23" t="n">
        <v>15.96</v>
      </c>
      <c r="V161" s="6" t="s">
        <v>1723</v>
      </c>
      <c r="W161" s="6" t="s">
        <v>1724</v>
      </c>
      <c r="X161" s="6" t="s">
        <v>1725</v>
      </c>
      <c r="Y161" s="6" t="s">
        <v>86</v>
      </c>
      <c r="Z161" s="6" t="n">
        <v>0</v>
      </c>
      <c r="AA161" s="6" t="n">
        <v>1</v>
      </c>
      <c r="AB161" s="6" t="n">
        <v>0</v>
      </c>
      <c r="AC161" s="6" t="n">
        <v>0</v>
      </c>
      <c r="AD161" s="6" t="n">
        <v>0</v>
      </c>
      <c r="AE161" s="6" t="n">
        <v>0</v>
      </c>
      <c r="AF161" s="6" t="n">
        <v>0</v>
      </c>
      <c r="AG161" s="6" t="n">
        <v>0</v>
      </c>
      <c r="AH161" s="6" t="n">
        <v>1</v>
      </c>
      <c r="AI161" s="6" t="s">
        <v>84</v>
      </c>
    </row>
    <row r="162" customFormat="false" ht="15" hidden="false" customHeight="false" outlineLevel="0" collapsed="false">
      <c r="A162" s="6" t="n">
        <v>161</v>
      </c>
      <c r="B162" s="6" t="s">
        <v>1726</v>
      </c>
      <c r="C162" s="6" t="n">
        <v>4</v>
      </c>
      <c r="D162" s="6" t="s">
        <v>166</v>
      </c>
      <c r="E162" s="6" t="s">
        <v>74</v>
      </c>
      <c r="F162" s="6" t="n">
        <v>1</v>
      </c>
      <c r="G162" s="6" t="n">
        <v>23</v>
      </c>
      <c r="H162" s="6" t="s">
        <v>1727</v>
      </c>
      <c r="I162" s="22" t="n">
        <v>287500</v>
      </c>
      <c r="J162" s="22" t="n">
        <v>9000</v>
      </c>
      <c r="K162" s="22" t="n">
        <v>22237.5</v>
      </c>
      <c r="L162" s="22" t="n">
        <v>318737.5</v>
      </c>
      <c r="M162" s="6" t="s">
        <v>57</v>
      </c>
      <c r="N162" s="6" t="s">
        <v>58</v>
      </c>
      <c r="O162" s="6"/>
      <c r="P162" s="6" t="s">
        <v>69</v>
      </c>
      <c r="Q162" s="6" t="str">
        <f aca="false">IF(P162="pass","No","Yes")</f>
        <v>No</v>
      </c>
      <c r="R162" s="6" t="s">
        <v>60</v>
      </c>
      <c r="S162" s="6"/>
      <c r="T162" s="6"/>
      <c r="U162" s="23" t="n">
        <v>8.025</v>
      </c>
      <c r="V162" s="6" t="s">
        <v>1728</v>
      </c>
      <c r="W162" s="6" t="s">
        <v>1729</v>
      </c>
      <c r="X162" s="6" t="s">
        <v>1730</v>
      </c>
      <c r="Y162" s="6" t="s">
        <v>60</v>
      </c>
      <c r="Z162" s="6" t="n">
        <v>0</v>
      </c>
      <c r="AA162" s="6" t="n">
        <v>0</v>
      </c>
      <c r="AB162" s="6" t="n">
        <v>0</v>
      </c>
      <c r="AC162" s="6" t="n">
        <v>0</v>
      </c>
      <c r="AD162" s="6" t="n">
        <v>0</v>
      </c>
      <c r="AE162" s="6" t="n">
        <v>0</v>
      </c>
      <c r="AF162" s="6" t="n">
        <v>0</v>
      </c>
      <c r="AG162" s="6" t="n">
        <v>0</v>
      </c>
      <c r="AH162" s="6" t="n">
        <v>0</v>
      </c>
      <c r="AI162" s="6" t="s">
        <v>84</v>
      </c>
    </row>
    <row r="163" customFormat="false" ht="15" hidden="false" customHeight="false" outlineLevel="0" collapsed="false">
      <c r="A163" s="6" t="n">
        <v>162</v>
      </c>
      <c r="B163" s="6" t="s">
        <v>1731</v>
      </c>
      <c r="C163" s="6" t="n">
        <v>4</v>
      </c>
      <c r="D163" s="6" t="s">
        <v>112</v>
      </c>
      <c r="E163" s="6" t="s">
        <v>116</v>
      </c>
      <c r="F163" s="6" t="n">
        <v>3</v>
      </c>
      <c r="G163" s="6" t="n">
        <v>835</v>
      </c>
      <c r="H163" s="6" t="s">
        <v>1732</v>
      </c>
      <c r="I163" s="22" t="n">
        <v>8290900</v>
      </c>
      <c r="J163" s="22" t="n">
        <v>15000</v>
      </c>
      <c r="K163" s="22" t="n">
        <v>622942.5</v>
      </c>
      <c r="L163" s="22" t="n">
        <v>8928842.5</v>
      </c>
      <c r="M163" s="6" t="s">
        <v>171</v>
      </c>
      <c r="N163" s="6" t="s">
        <v>84</v>
      </c>
      <c r="O163" s="6" t="s">
        <v>892</v>
      </c>
      <c r="P163" s="6" t="s">
        <v>85</v>
      </c>
      <c r="Q163" s="6" t="str">
        <f aca="false">IF(P163="pass","No","Yes")</f>
        <v>Yes</v>
      </c>
      <c r="R163" s="6" t="s">
        <v>86</v>
      </c>
      <c r="S163" s="6" t="s">
        <v>893</v>
      </c>
      <c r="T163" s="6" t="s">
        <v>1513</v>
      </c>
      <c r="U163" s="23" t="n">
        <v>21.373</v>
      </c>
      <c r="V163" s="6" t="s">
        <v>1733</v>
      </c>
      <c r="W163" s="6" t="s">
        <v>1734</v>
      </c>
      <c r="X163" s="6" t="s">
        <v>1735</v>
      </c>
      <c r="Y163" s="6" t="s">
        <v>86</v>
      </c>
      <c r="Z163" s="6" t="n">
        <v>0</v>
      </c>
      <c r="AA163" s="6" t="n">
        <v>0</v>
      </c>
      <c r="AB163" s="6" t="n">
        <v>0</v>
      </c>
      <c r="AC163" s="6" t="n">
        <v>1</v>
      </c>
      <c r="AD163" s="6" t="n">
        <v>0</v>
      </c>
      <c r="AE163" s="6" t="n">
        <v>0</v>
      </c>
      <c r="AF163" s="6" t="n">
        <v>0</v>
      </c>
      <c r="AG163" s="6" t="n">
        <v>0</v>
      </c>
      <c r="AH163" s="6" t="n">
        <v>1</v>
      </c>
      <c r="AI163" s="6" t="s">
        <v>84</v>
      </c>
    </row>
    <row r="164" customFormat="false" ht="15" hidden="false" customHeight="false" outlineLevel="0" collapsed="false">
      <c r="A164" s="6" t="n">
        <v>163</v>
      </c>
      <c r="B164" s="6" t="s">
        <v>1736</v>
      </c>
      <c r="C164" s="6" t="n">
        <v>4</v>
      </c>
      <c r="D164" s="6" t="s">
        <v>70</v>
      </c>
      <c r="E164" s="6" t="s">
        <v>74</v>
      </c>
      <c r="F164" s="6" t="n">
        <v>3</v>
      </c>
      <c r="G164" s="6" t="n">
        <v>17</v>
      </c>
      <c r="H164" s="6" t="s">
        <v>1737</v>
      </c>
      <c r="I164" s="22" t="n">
        <v>410800</v>
      </c>
      <c r="J164" s="22" t="n">
        <v>9000</v>
      </c>
      <c r="K164" s="22" t="n">
        <v>31485</v>
      </c>
      <c r="L164" s="22" t="n">
        <v>451285</v>
      </c>
      <c r="M164" s="6" t="s">
        <v>132</v>
      </c>
      <c r="N164" s="6" t="s">
        <v>84</v>
      </c>
      <c r="O164" s="6" t="s">
        <v>879</v>
      </c>
      <c r="P164" s="6" t="s">
        <v>85</v>
      </c>
      <c r="Q164" s="6" t="str">
        <f aca="false">IF(P164="pass","No","Yes")</f>
        <v>Yes</v>
      </c>
      <c r="R164" s="6" t="s">
        <v>86</v>
      </c>
      <c r="S164" s="6" t="s">
        <v>880</v>
      </c>
      <c r="T164" s="6" t="s">
        <v>134</v>
      </c>
      <c r="U164" s="23" t="n">
        <v>11.982</v>
      </c>
      <c r="V164" s="6" t="s">
        <v>1738</v>
      </c>
      <c r="W164" s="6" t="s">
        <v>1739</v>
      </c>
      <c r="X164" s="6" t="s">
        <v>1740</v>
      </c>
      <c r="Y164" s="6" t="s">
        <v>86</v>
      </c>
      <c r="Z164" s="6" t="n">
        <v>0</v>
      </c>
      <c r="AA164" s="6" t="n">
        <v>1</v>
      </c>
      <c r="AB164" s="6" t="n">
        <v>0</v>
      </c>
      <c r="AC164" s="6" t="n">
        <v>1</v>
      </c>
      <c r="AD164" s="6" t="n">
        <v>0</v>
      </c>
      <c r="AE164" s="6" t="n">
        <v>0</v>
      </c>
      <c r="AF164" s="6" t="n">
        <v>0</v>
      </c>
      <c r="AG164" s="6" t="n">
        <v>0</v>
      </c>
      <c r="AH164" s="6" t="n">
        <v>0</v>
      </c>
      <c r="AI164" s="6" t="s">
        <v>84</v>
      </c>
    </row>
    <row r="165" customFormat="false" ht="15" hidden="false" customHeight="false" outlineLevel="0" collapsed="false">
      <c r="A165" s="6" t="n">
        <v>164</v>
      </c>
      <c r="B165" s="6" t="s">
        <v>1741</v>
      </c>
      <c r="C165" s="6" t="n">
        <v>4</v>
      </c>
      <c r="D165" s="6" t="s">
        <v>63</v>
      </c>
      <c r="E165" s="6" t="s">
        <v>67</v>
      </c>
      <c r="F165" s="6" t="n">
        <v>2</v>
      </c>
      <c r="G165" s="6" t="n">
        <v>22</v>
      </c>
      <c r="H165" s="6" t="s">
        <v>1742</v>
      </c>
      <c r="I165" s="22" t="n">
        <v>862600</v>
      </c>
      <c r="J165" s="22" t="n">
        <v>4500</v>
      </c>
      <c r="K165" s="22" t="n">
        <v>65032.5</v>
      </c>
      <c r="L165" s="22" t="n">
        <v>932132.5</v>
      </c>
      <c r="M165" s="6" t="s">
        <v>984</v>
      </c>
      <c r="N165" s="6" t="s">
        <v>84</v>
      </c>
      <c r="O165" s="6" t="s">
        <v>985</v>
      </c>
      <c r="P165" s="6" t="s">
        <v>85</v>
      </c>
      <c r="Q165" s="6" t="str">
        <f aca="false">IF(P165="pass","No","Yes")</f>
        <v>Yes</v>
      </c>
      <c r="R165" s="6" t="s">
        <v>86</v>
      </c>
      <c r="S165" s="6" t="s">
        <v>985</v>
      </c>
      <c r="T165" s="6" t="s">
        <v>1743</v>
      </c>
      <c r="U165" s="23" t="n">
        <v>11.117</v>
      </c>
      <c r="V165" s="6" t="s">
        <v>1744</v>
      </c>
      <c r="W165" s="6" t="s">
        <v>1745</v>
      </c>
      <c r="X165" s="6" t="s">
        <v>1746</v>
      </c>
      <c r="Y165" s="6" t="s">
        <v>86</v>
      </c>
      <c r="Z165" s="6" t="n">
        <v>0</v>
      </c>
      <c r="AA165" s="6" t="n">
        <v>0</v>
      </c>
      <c r="AB165" s="6" t="n">
        <v>0</v>
      </c>
      <c r="AC165" s="6" t="n">
        <v>0</v>
      </c>
      <c r="AD165" s="6" t="n">
        <v>0</v>
      </c>
      <c r="AE165" s="6" t="n">
        <v>1</v>
      </c>
      <c r="AF165" s="6" t="n">
        <v>0</v>
      </c>
      <c r="AG165" s="6" t="n">
        <v>0</v>
      </c>
      <c r="AH165" s="6" t="n">
        <v>0</v>
      </c>
      <c r="AI165" s="6" t="s">
        <v>84</v>
      </c>
    </row>
    <row r="166" customFormat="false" ht="15" hidden="false" customHeight="false" outlineLevel="0" collapsed="false">
      <c r="A166" s="6" t="n">
        <v>165</v>
      </c>
      <c r="B166" s="6" t="s">
        <v>1747</v>
      </c>
      <c r="C166" s="6" t="n">
        <v>4</v>
      </c>
      <c r="D166" s="6" t="s">
        <v>142</v>
      </c>
      <c r="E166" s="6" t="s">
        <v>74</v>
      </c>
      <c r="F166" s="6" t="n">
        <v>1</v>
      </c>
      <c r="G166" s="6" t="n">
        <v>65</v>
      </c>
      <c r="H166" s="6" t="s">
        <v>1748</v>
      </c>
      <c r="I166" s="22" t="n">
        <v>942500</v>
      </c>
      <c r="J166" s="22" t="n">
        <v>9000</v>
      </c>
      <c r="K166" s="22" t="n">
        <v>71362.5</v>
      </c>
      <c r="L166" s="22" t="n">
        <v>1022862.5</v>
      </c>
      <c r="M166" s="6" t="s">
        <v>57</v>
      </c>
      <c r="N166" s="6" t="s">
        <v>58</v>
      </c>
      <c r="O166" s="6"/>
      <c r="P166" s="6" t="s">
        <v>69</v>
      </c>
      <c r="Q166" s="6" t="str">
        <f aca="false">IF(P166="pass","No","Yes")</f>
        <v>No</v>
      </c>
      <c r="R166" s="6" t="s">
        <v>60</v>
      </c>
      <c r="S166" s="6"/>
      <c r="T166" s="6"/>
      <c r="U166" s="23" t="n">
        <v>7.337</v>
      </c>
      <c r="V166" s="6" t="s">
        <v>1749</v>
      </c>
      <c r="W166" s="6" t="s">
        <v>1750</v>
      </c>
      <c r="X166" s="6" t="s">
        <v>1751</v>
      </c>
      <c r="Y166" s="6" t="s">
        <v>60</v>
      </c>
      <c r="Z166" s="6" t="n">
        <v>0</v>
      </c>
      <c r="AA166" s="6" t="n">
        <v>0</v>
      </c>
      <c r="AB166" s="6" t="n">
        <v>0</v>
      </c>
      <c r="AC166" s="6" t="n">
        <v>0</v>
      </c>
      <c r="AD166" s="6" t="n">
        <v>0</v>
      </c>
      <c r="AE166" s="6" t="n">
        <v>0</v>
      </c>
      <c r="AF166" s="6" t="n">
        <v>0</v>
      </c>
      <c r="AG166" s="6" t="n">
        <v>0</v>
      </c>
      <c r="AH166" s="6" t="n">
        <v>0</v>
      </c>
      <c r="AI166" s="6" t="s">
        <v>84</v>
      </c>
    </row>
    <row r="167" customFormat="false" ht="15" hidden="false" customHeight="false" outlineLevel="0" collapsed="false">
      <c r="A167" s="6" t="n">
        <v>166</v>
      </c>
      <c r="B167" s="6" t="s">
        <v>1752</v>
      </c>
      <c r="C167" s="6" t="n">
        <v>4</v>
      </c>
      <c r="D167" s="6" t="s">
        <v>105</v>
      </c>
      <c r="E167" s="6" t="s">
        <v>81</v>
      </c>
      <c r="F167" s="6" t="n">
        <v>2</v>
      </c>
      <c r="G167" s="6" t="n">
        <v>36</v>
      </c>
      <c r="H167" s="6" t="s">
        <v>1753</v>
      </c>
      <c r="I167" s="22" t="n">
        <v>497700</v>
      </c>
      <c r="J167" s="22" t="n">
        <v>4000</v>
      </c>
      <c r="K167" s="22" t="n">
        <v>37627.5</v>
      </c>
      <c r="L167" s="22" t="n">
        <v>539327.5</v>
      </c>
      <c r="M167" s="6" t="s">
        <v>94</v>
      </c>
      <c r="N167" s="6" t="s">
        <v>84</v>
      </c>
      <c r="O167" s="6" t="s">
        <v>909</v>
      </c>
      <c r="P167" s="6" t="s">
        <v>85</v>
      </c>
      <c r="Q167" s="6" t="str">
        <f aca="false">IF(P167="pass","No","Yes")</f>
        <v>Yes</v>
      </c>
      <c r="R167" s="6" t="s">
        <v>86</v>
      </c>
      <c r="S167" s="6" t="s">
        <v>909</v>
      </c>
      <c r="T167" s="6" t="s">
        <v>254</v>
      </c>
      <c r="U167" s="23" t="n">
        <v>10.529</v>
      </c>
      <c r="V167" s="6" t="s">
        <v>1754</v>
      </c>
      <c r="W167" s="6" t="s">
        <v>1755</v>
      </c>
      <c r="X167" s="6" t="s">
        <v>1756</v>
      </c>
      <c r="Y167" s="6" t="s">
        <v>86</v>
      </c>
      <c r="Z167" s="6" t="n">
        <v>0</v>
      </c>
      <c r="AA167" s="6" t="n">
        <v>0</v>
      </c>
      <c r="AB167" s="6" t="n">
        <v>0</v>
      </c>
      <c r="AC167" s="6" t="n">
        <v>0</v>
      </c>
      <c r="AD167" s="6" t="n">
        <v>0</v>
      </c>
      <c r="AE167" s="6" t="n">
        <v>0</v>
      </c>
      <c r="AF167" s="6" t="n">
        <v>1</v>
      </c>
      <c r="AG167" s="6" t="n">
        <v>0</v>
      </c>
      <c r="AH167" s="6" t="n">
        <v>0</v>
      </c>
      <c r="AI167" s="6" t="s">
        <v>84</v>
      </c>
    </row>
    <row r="168" customFormat="false" ht="15" hidden="false" customHeight="false" outlineLevel="0" collapsed="false">
      <c r="A168" s="6" t="n">
        <v>167</v>
      </c>
      <c r="B168" s="6" t="s">
        <v>1757</v>
      </c>
      <c r="C168" s="6" t="n">
        <v>4</v>
      </c>
      <c r="D168" s="6" t="s">
        <v>63</v>
      </c>
      <c r="E168" s="6" t="s">
        <v>67</v>
      </c>
      <c r="F168" s="6" t="n">
        <v>1</v>
      </c>
      <c r="G168" s="6" t="n">
        <v>1</v>
      </c>
      <c r="H168" s="6" t="s">
        <v>1140</v>
      </c>
      <c r="I168" s="22" t="n">
        <v>38000</v>
      </c>
      <c r="J168" s="22" t="n">
        <v>4500</v>
      </c>
      <c r="K168" s="22" t="n">
        <v>3187.5</v>
      </c>
      <c r="L168" s="22" t="n">
        <v>45687.5</v>
      </c>
      <c r="M168" s="6" t="s">
        <v>984</v>
      </c>
      <c r="N168" s="6" t="s">
        <v>84</v>
      </c>
      <c r="O168" s="6" t="s">
        <v>985</v>
      </c>
      <c r="P168" s="6" t="s">
        <v>85</v>
      </c>
      <c r="Q168" s="6" t="str">
        <f aca="false">IF(P168="pass","No","Yes")</f>
        <v>Yes</v>
      </c>
      <c r="R168" s="6" t="s">
        <v>86</v>
      </c>
      <c r="S168" s="6" t="s">
        <v>985</v>
      </c>
      <c r="T168" s="6" t="s">
        <v>1152</v>
      </c>
      <c r="U168" s="23" t="n">
        <v>7.241</v>
      </c>
      <c r="V168" s="6" t="s">
        <v>1758</v>
      </c>
      <c r="W168" s="6" t="s">
        <v>1759</v>
      </c>
      <c r="X168" s="6" t="s">
        <v>1760</v>
      </c>
      <c r="Y168" s="6" t="s">
        <v>86</v>
      </c>
      <c r="Z168" s="6" t="n">
        <v>0</v>
      </c>
      <c r="AA168" s="6" t="n">
        <v>0</v>
      </c>
      <c r="AB168" s="6" t="n">
        <v>0</v>
      </c>
      <c r="AC168" s="6" t="n">
        <v>0</v>
      </c>
      <c r="AD168" s="6" t="n">
        <v>0</v>
      </c>
      <c r="AE168" s="6" t="n">
        <v>1</v>
      </c>
      <c r="AF168" s="6" t="n">
        <v>0</v>
      </c>
      <c r="AG168" s="6" t="n">
        <v>0</v>
      </c>
      <c r="AH168" s="6" t="n">
        <v>0</v>
      </c>
      <c r="AI168" s="6" t="s">
        <v>84</v>
      </c>
    </row>
    <row r="169" customFormat="false" ht="15" hidden="false" customHeight="false" outlineLevel="0" collapsed="false">
      <c r="A169" s="6" t="n">
        <v>168</v>
      </c>
      <c r="B169" s="6" t="s">
        <v>1761</v>
      </c>
      <c r="C169" s="6" t="n">
        <v>4</v>
      </c>
      <c r="D169" s="6" t="s">
        <v>63</v>
      </c>
      <c r="E169" s="6" t="s">
        <v>67</v>
      </c>
      <c r="F169" s="6" t="n">
        <v>3</v>
      </c>
      <c r="G169" s="6" t="n">
        <v>113</v>
      </c>
      <c r="H169" s="6" t="s">
        <v>1762</v>
      </c>
      <c r="I169" s="22" t="n">
        <v>1354400</v>
      </c>
      <c r="J169" s="22" t="n">
        <v>4500</v>
      </c>
      <c r="K169" s="22" t="n">
        <v>101917.5</v>
      </c>
      <c r="L169" s="22" t="n">
        <v>1460817.5</v>
      </c>
      <c r="M169" s="6" t="s">
        <v>57</v>
      </c>
      <c r="N169" s="6" t="s">
        <v>58</v>
      </c>
      <c r="O169" s="6"/>
      <c r="P169" s="6" t="s">
        <v>69</v>
      </c>
      <c r="Q169" s="6" t="str">
        <f aca="false">IF(P169="pass","No","Yes")</f>
        <v>No</v>
      </c>
      <c r="R169" s="6" t="s">
        <v>60</v>
      </c>
      <c r="S169" s="6"/>
      <c r="T169" s="6"/>
      <c r="U169" s="23" t="n">
        <v>16.246</v>
      </c>
      <c r="V169" s="6" t="s">
        <v>1763</v>
      </c>
      <c r="W169" s="6" t="s">
        <v>1764</v>
      </c>
      <c r="X169" s="6" t="s">
        <v>1765</v>
      </c>
      <c r="Y169" s="6" t="s">
        <v>60</v>
      </c>
      <c r="Z169" s="6" t="n">
        <v>0</v>
      </c>
      <c r="AA169" s="6" t="n">
        <v>0</v>
      </c>
      <c r="AB169" s="6" t="n">
        <v>0</v>
      </c>
      <c r="AC169" s="6" t="n">
        <v>0</v>
      </c>
      <c r="AD169" s="6" t="n">
        <v>0</v>
      </c>
      <c r="AE169" s="6" t="n">
        <v>0</v>
      </c>
      <c r="AF169" s="6" t="n">
        <v>0</v>
      </c>
      <c r="AG169" s="6" t="n">
        <v>0</v>
      </c>
      <c r="AH169" s="6" t="n">
        <v>0</v>
      </c>
      <c r="AI169" s="6" t="s">
        <v>84</v>
      </c>
    </row>
    <row r="170" customFormat="false" ht="15" hidden="false" customHeight="false" outlineLevel="0" collapsed="false">
      <c r="A170" s="6" t="n">
        <v>169</v>
      </c>
      <c r="B170" s="6" t="s">
        <v>1766</v>
      </c>
      <c r="C170" s="6" t="n">
        <v>4</v>
      </c>
      <c r="D170" s="6" t="s">
        <v>198</v>
      </c>
      <c r="E170" s="6" t="s">
        <v>81</v>
      </c>
      <c r="F170" s="6" t="n">
        <v>3</v>
      </c>
      <c r="G170" s="6" t="n">
        <v>123</v>
      </c>
      <c r="H170" s="6" t="s">
        <v>1767</v>
      </c>
      <c r="I170" s="22" t="n">
        <v>1090000</v>
      </c>
      <c r="J170" s="22" t="n">
        <v>4000</v>
      </c>
      <c r="K170" s="22" t="n">
        <v>82050</v>
      </c>
      <c r="L170" s="22" t="n">
        <v>1176050</v>
      </c>
      <c r="M170" s="6" t="s">
        <v>57</v>
      </c>
      <c r="N170" s="6" t="s">
        <v>58</v>
      </c>
      <c r="O170" s="6"/>
      <c r="P170" s="6" t="s">
        <v>69</v>
      </c>
      <c r="Q170" s="6" t="str">
        <f aca="false">IF(P170="pass","No","Yes")</f>
        <v>No</v>
      </c>
      <c r="R170" s="6" t="s">
        <v>60</v>
      </c>
      <c r="S170" s="6"/>
      <c r="T170" s="6"/>
      <c r="U170" s="23" t="n">
        <v>24.407</v>
      </c>
      <c r="V170" s="6" t="s">
        <v>1768</v>
      </c>
      <c r="W170" s="6" t="s">
        <v>1769</v>
      </c>
      <c r="X170" s="6" t="s">
        <v>1770</v>
      </c>
      <c r="Y170" s="6" t="s">
        <v>60</v>
      </c>
      <c r="Z170" s="6" t="n">
        <v>0</v>
      </c>
      <c r="AA170" s="6" t="n">
        <v>0</v>
      </c>
      <c r="AB170" s="6" t="n">
        <v>0</v>
      </c>
      <c r="AC170" s="6" t="n">
        <v>0</v>
      </c>
      <c r="AD170" s="6" t="n">
        <v>0</v>
      </c>
      <c r="AE170" s="6" t="n">
        <v>0</v>
      </c>
      <c r="AF170" s="6" t="n">
        <v>0</v>
      </c>
      <c r="AG170" s="6" t="n">
        <v>0</v>
      </c>
      <c r="AH170" s="6" t="n">
        <v>0</v>
      </c>
      <c r="AI170" s="6" t="s">
        <v>84</v>
      </c>
    </row>
    <row r="171" customFormat="false" ht="15" hidden="false" customHeight="false" outlineLevel="0" collapsed="false">
      <c r="A171" s="6" t="n">
        <v>170</v>
      </c>
      <c r="B171" s="6" t="s">
        <v>1771</v>
      </c>
      <c r="C171" s="6" t="n">
        <v>4</v>
      </c>
      <c r="D171" s="6" t="s">
        <v>119</v>
      </c>
      <c r="E171" s="6" t="s">
        <v>123</v>
      </c>
      <c r="F171" s="6" t="n">
        <v>3</v>
      </c>
      <c r="G171" s="6" t="n">
        <v>50</v>
      </c>
      <c r="H171" s="6" t="s">
        <v>1772</v>
      </c>
      <c r="I171" s="22" t="n">
        <v>907400</v>
      </c>
      <c r="J171" s="22" t="n">
        <v>5000</v>
      </c>
      <c r="K171" s="22" t="n">
        <v>68430</v>
      </c>
      <c r="L171" s="22" t="n">
        <v>980830</v>
      </c>
      <c r="M171" s="6" t="s">
        <v>272</v>
      </c>
      <c r="N171" s="6" t="s">
        <v>84</v>
      </c>
      <c r="O171" s="6" t="s">
        <v>879</v>
      </c>
      <c r="P171" s="6" t="s">
        <v>85</v>
      </c>
      <c r="Q171" s="6" t="str">
        <f aca="false">IF(P171="pass","No","Yes")</f>
        <v>Yes</v>
      </c>
      <c r="R171" s="6" t="s">
        <v>86</v>
      </c>
      <c r="S171" s="6" t="s">
        <v>879</v>
      </c>
      <c r="T171" s="6" t="s">
        <v>1773</v>
      </c>
      <c r="U171" s="23" t="n">
        <v>11.61</v>
      </c>
      <c r="V171" s="6" t="s">
        <v>1774</v>
      </c>
      <c r="W171" s="6" t="s">
        <v>1775</v>
      </c>
      <c r="X171" s="6" t="s">
        <v>1776</v>
      </c>
      <c r="Y171" s="6" t="s">
        <v>86</v>
      </c>
      <c r="Z171" s="6" t="n">
        <v>0</v>
      </c>
      <c r="AA171" s="6" t="n">
        <v>1</v>
      </c>
      <c r="AB171" s="6" t="n">
        <v>0</v>
      </c>
      <c r="AC171" s="6" t="n">
        <v>0</v>
      </c>
      <c r="AD171" s="6" t="n">
        <v>0</v>
      </c>
      <c r="AE171" s="6" t="n">
        <v>0</v>
      </c>
      <c r="AF171" s="6" t="n">
        <v>0</v>
      </c>
      <c r="AG171" s="6" t="n">
        <v>0</v>
      </c>
      <c r="AH171" s="6" t="n">
        <v>0</v>
      </c>
      <c r="AI171" s="6" t="s">
        <v>84</v>
      </c>
    </row>
    <row r="172" customFormat="false" ht="15" hidden="false" customHeight="false" outlineLevel="0" collapsed="false">
      <c r="A172" s="6" t="n">
        <v>171</v>
      </c>
      <c r="B172" s="6" t="s">
        <v>1777</v>
      </c>
      <c r="C172" s="6" t="n">
        <v>4</v>
      </c>
      <c r="D172" s="6" t="s">
        <v>237</v>
      </c>
      <c r="E172" s="6" t="s">
        <v>116</v>
      </c>
      <c r="F172" s="6" t="n">
        <v>3</v>
      </c>
      <c r="G172" s="6" t="n">
        <v>106</v>
      </c>
      <c r="H172" s="6" t="s">
        <v>1778</v>
      </c>
      <c r="I172" s="22" t="n">
        <v>2546500</v>
      </c>
      <c r="J172" s="22" t="n">
        <v>15000</v>
      </c>
      <c r="K172" s="22" t="n">
        <v>192112.5</v>
      </c>
      <c r="L172" s="22" t="n">
        <v>2753612.5</v>
      </c>
      <c r="M172" s="6" t="s">
        <v>57</v>
      </c>
      <c r="N172" s="6" t="s">
        <v>58</v>
      </c>
      <c r="O172" s="6"/>
      <c r="P172" s="6" t="s">
        <v>69</v>
      </c>
      <c r="Q172" s="6" t="str">
        <f aca="false">IF(P172="pass","No","Yes")</f>
        <v>No</v>
      </c>
      <c r="R172" s="6" t="s">
        <v>60</v>
      </c>
      <c r="S172" s="6"/>
      <c r="T172" s="6"/>
      <c r="U172" s="23" t="n">
        <v>16.649</v>
      </c>
      <c r="V172" s="6" t="s">
        <v>1779</v>
      </c>
      <c r="W172" s="6" t="s">
        <v>1780</v>
      </c>
      <c r="X172" s="6" t="s">
        <v>1781</v>
      </c>
      <c r="Y172" s="6" t="s">
        <v>60</v>
      </c>
      <c r="Z172" s="6" t="n">
        <v>0</v>
      </c>
      <c r="AA172" s="6" t="n">
        <v>0</v>
      </c>
      <c r="AB172" s="6" t="n">
        <v>0</v>
      </c>
      <c r="AC172" s="6" t="n">
        <v>0</v>
      </c>
      <c r="AD172" s="6" t="n">
        <v>0</v>
      </c>
      <c r="AE172" s="6" t="n">
        <v>0</v>
      </c>
      <c r="AF172" s="6" t="n">
        <v>0</v>
      </c>
      <c r="AG172" s="6" t="n">
        <v>0</v>
      </c>
      <c r="AH172" s="6" t="n">
        <v>0</v>
      </c>
      <c r="AI172" s="6" t="s">
        <v>84</v>
      </c>
    </row>
    <row r="173" customFormat="false" ht="15" hidden="false" customHeight="false" outlineLevel="0" collapsed="false">
      <c r="A173" s="6" t="n">
        <v>172</v>
      </c>
      <c r="B173" s="6" t="s">
        <v>1782</v>
      </c>
      <c r="C173" s="6" t="n">
        <v>4</v>
      </c>
      <c r="D173" s="6" t="s">
        <v>213</v>
      </c>
      <c r="E173" s="6" t="s">
        <v>67</v>
      </c>
      <c r="F173" s="6" t="n">
        <v>1</v>
      </c>
      <c r="G173" s="6" t="n">
        <v>6</v>
      </c>
      <c r="H173" s="6" t="s">
        <v>1783</v>
      </c>
      <c r="I173" s="22" t="n">
        <v>186000</v>
      </c>
      <c r="J173" s="22" t="n">
        <v>4500</v>
      </c>
      <c r="K173" s="22" t="n">
        <v>14287.5</v>
      </c>
      <c r="L173" s="22" t="n">
        <v>204787.5</v>
      </c>
      <c r="M173" s="6" t="s">
        <v>57</v>
      </c>
      <c r="N173" s="6" t="s">
        <v>58</v>
      </c>
      <c r="O173" s="6"/>
      <c r="P173" s="6" t="s">
        <v>69</v>
      </c>
      <c r="Q173" s="6" t="str">
        <f aca="false">IF(P173="pass","No","Yes")</f>
        <v>No</v>
      </c>
      <c r="R173" s="6" t="s">
        <v>60</v>
      </c>
      <c r="S173" s="6"/>
      <c r="T173" s="6"/>
      <c r="U173" s="23" t="n">
        <v>7.272</v>
      </c>
      <c r="V173" s="6" t="s">
        <v>1784</v>
      </c>
      <c r="W173" s="6" t="s">
        <v>1785</v>
      </c>
      <c r="X173" s="6" t="s">
        <v>1786</v>
      </c>
      <c r="Y173" s="6" t="s">
        <v>60</v>
      </c>
      <c r="Z173" s="6" t="n">
        <v>0</v>
      </c>
      <c r="AA173" s="6" t="n">
        <v>0</v>
      </c>
      <c r="AB173" s="6" t="n">
        <v>0</v>
      </c>
      <c r="AC173" s="6" t="n">
        <v>0</v>
      </c>
      <c r="AD173" s="6" t="n">
        <v>0</v>
      </c>
      <c r="AE173" s="6" t="n">
        <v>0</v>
      </c>
      <c r="AF173" s="6" t="n">
        <v>0</v>
      </c>
      <c r="AG173" s="6" t="n">
        <v>0</v>
      </c>
      <c r="AH173" s="6" t="n">
        <v>0</v>
      </c>
      <c r="AI173" s="6" t="s">
        <v>84</v>
      </c>
    </row>
    <row r="174" customFormat="false" ht="15" hidden="false" customHeight="false" outlineLevel="0" collapsed="false">
      <c r="A174" s="6" t="n">
        <v>173</v>
      </c>
      <c r="B174" s="6" t="s">
        <v>1787</v>
      </c>
      <c r="C174" s="6" t="n">
        <v>4</v>
      </c>
      <c r="D174" s="6" t="s">
        <v>77</v>
      </c>
      <c r="E174" s="6" t="s">
        <v>81</v>
      </c>
      <c r="F174" s="6" t="n">
        <v>2</v>
      </c>
      <c r="G174" s="6" t="n">
        <v>47</v>
      </c>
      <c r="H174" s="6" t="s">
        <v>1788</v>
      </c>
      <c r="I174" s="22" t="n">
        <v>881600</v>
      </c>
      <c r="J174" s="22" t="n">
        <v>4000</v>
      </c>
      <c r="K174" s="22" t="n">
        <v>66420</v>
      </c>
      <c r="L174" s="22" t="n">
        <v>952020</v>
      </c>
      <c r="M174" s="6" t="s">
        <v>57</v>
      </c>
      <c r="N174" s="6" t="s">
        <v>58</v>
      </c>
      <c r="O174" s="6"/>
      <c r="P174" s="6" t="s">
        <v>69</v>
      </c>
      <c r="Q174" s="6" t="str">
        <f aca="false">IF(P174="pass","No","Yes")</f>
        <v>No</v>
      </c>
      <c r="R174" s="6" t="s">
        <v>60</v>
      </c>
      <c r="S174" s="6"/>
      <c r="T174" s="6"/>
      <c r="U174" s="23" t="n">
        <v>12.737</v>
      </c>
      <c r="V174" s="6" t="s">
        <v>1789</v>
      </c>
      <c r="W174" s="6" t="s">
        <v>1790</v>
      </c>
      <c r="X174" s="6" t="s">
        <v>1791</v>
      </c>
      <c r="Y174" s="6" t="s">
        <v>60</v>
      </c>
      <c r="Z174" s="6" t="n">
        <v>0</v>
      </c>
      <c r="AA174" s="6" t="n">
        <v>0</v>
      </c>
      <c r="AB174" s="6" t="n">
        <v>0</v>
      </c>
      <c r="AC174" s="6" t="n">
        <v>0</v>
      </c>
      <c r="AD174" s="6" t="n">
        <v>0</v>
      </c>
      <c r="AE174" s="6" t="n">
        <v>0</v>
      </c>
      <c r="AF174" s="6" t="n">
        <v>0</v>
      </c>
      <c r="AG174" s="6" t="n">
        <v>0</v>
      </c>
      <c r="AH174" s="6" t="n">
        <v>0</v>
      </c>
      <c r="AI174" s="6" t="s">
        <v>84</v>
      </c>
    </row>
    <row r="175" customFormat="false" ht="15" hidden="false" customHeight="false" outlineLevel="0" collapsed="false">
      <c r="A175" s="6" t="n">
        <v>174</v>
      </c>
      <c r="B175" s="6" t="s">
        <v>1792</v>
      </c>
      <c r="C175" s="6" t="n">
        <v>4</v>
      </c>
      <c r="D175" s="6" t="s">
        <v>186</v>
      </c>
      <c r="E175" s="6" t="s">
        <v>123</v>
      </c>
      <c r="F175" s="6" t="n">
        <v>1</v>
      </c>
      <c r="G175" s="6" t="n">
        <v>91</v>
      </c>
      <c r="H175" s="6" t="s">
        <v>1793</v>
      </c>
      <c r="I175" s="22" t="n">
        <v>1319500</v>
      </c>
      <c r="J175" s="22" t="n">
        <v>5000</v>
      </c>
      <c r="K175" s="22" t="n">
        <v>99337.5</v>
      </c>
      <c r="L175" s="22" t="n">
        <v>1423837.5</v>
      </c>
      <c r="M175" s="6" t="s">
        <v>57</v>
      </c>
      <c r="N175" s="6" t="s">
        <v>58</v>
      </c>
      <c r="O175" s="6"/>
      <c r="P175" s="6" t="s">
        <v>69</v>
      </c>
      <c r="Q175" s="6" t="str">
        <f aca="false">IF(P175="pass","No","Yes")</f>
        <v>No</v>
      </c>
      <c r="R175" s="6" t="s">
        <v>60</v>
      </c>
      <c r="S175" s="6"/>
      <c r="T175" s="6"/>
      <c r="U175" s="23" t="n">
        <v>7.723</v>
      </c>
      <c r="V175" s="6" t="s">
        <v>1794</v>
      </c>
      <c r="W175" s="6" t="s">
        <v>1795</v>
      </c>
      <c r="X175" s="6" t="s">
        <v>1796</v>
      </c>
      <c r="Y175" s="6" t="s">
        <v>60</v>
      </c>
      <c r="Z175" s="6" t="n">
        <v>0</v>
      </c>
      <c r="AA175" s="6" t="n">
        <v>0</v>
      </c>
      <c r="AB175" s="6" t="n">
        <v>0</v>
      </c>
      <c r="AC175" s="6" t="n">
        <v>0</v>
      </c>
      <c r="AD175" s="6" t="n">
        <v>0</v>
      </c>
      <c r="AE175" s="6" t="n">
        <v>0</v>
      </c>
      <c r="AF175" s="6" t="n">
        <v>0</v>
      </c>
      <c r="AG175" s="6" t="n">
        <v>0</v>
      </c>
      <c r="AH175" s="6" t="n">
        <v>0</v>
      </c>
      <c r="AI175" s="6" t="s">
        <v>84</v>
      </c>
    </row>
    <row r="176" customFormat="false" ht="15" hidden="false" customHeight="false" outlineLevel="0" collapsed="false">
      <c r="A176" s="6" t="n">
        <v>175</v>
      </c>
      <c r="B176" s="6" t="s">
        <v>1797</v>
      </c>
      <c r="C176" s="6" t="n">
        <v>4</v>
      </c>
      <c r="D176" s="6" t="s">
        <v>105</v>
      </c>
      <c r="E176" s="6" t="s">
        <v>81</v>
      </c>
      <c r="F176" s="6" t="n">
        <v>2</v>
      </c>
      <c r="G176" s="6" t="n">
        <v>5</v>
      </c>
      <c r="H176" s="6" t="s">
        <v>1798</v>
      </c>
      <c r="I176" s="22" t="n">
        <v>34000</v>
      </c>
      <c r="J176" s="22" t="n">
        <v>4000</v>
      </c>
      <c r="K176" s="22" t="n">
        <v>2850</v>
      </c>
      <c r="L176" s="22" t="n">
        <v>40850</v>
      </c>
      <c r="M176" s="6" t="s">
        <v>94</v>
      </c>
      <c r="N176" s="6" t="s">
        <v>84</v>
      </c>
      <c r="O176" s="6" t="s">
        <v>909</v>
      </c>
      <c r="P176" s="6" t="s">
        <v>85</v>
      </c>
      <c r="Q176" s="6" t="str">
        <f aca="false">IF(P176="pass","No","Yes")</f>
        <v>Yes</v>
      </c>
      <c r="R176" s="6" t="s">
        <v>86</v>
      </c>
      <c r="S176" s="6" t="s">
        <v>909</v>
      </c>
      <c r="T176" s="6" t="s">
        <v>254</v>
      </c>
      <c r="U176" s="23" t="n">
        <v>12.687</v>
      </c>
      <c r="V176" s="6" t="s">
        <v>1799</v>
      </c>
      <c r="W176" s="6" t="s">
        <v>1800</v>
      </c>
      <c r="X176" s="6" t="s">
        <v>1801</v>
      </c>
      <c r="Y176" s="6" t="s">
        <v>86</v>
      </c>
      <c r="Z176" s="6" t="n">
        <v>0</v>
      </c>
      <c r="AA176" s="6" t="n">
        <v>0</v>
      </c>
      <c r="AB176" s="6" t="n">
        <v>0</v>
      </c>
      <c r="AC176" s="6" t="n">
        <v>0</v>
      </c>
      <c r="AD176" s="6" t="n">
        <v>0</v>
      </c>
      <c r="AE176" s="6" t="n">
        <v>0</v>
      </c>
      <c r="AF176" s="6" t="n">
        <v>1</v>
      </c>
      <c r="AG176" s="6" t="n">
        <v>0</v>
      </c>
      <c r="AH176" s="6" t="n">
        <v>0</v>
      </c>
      <c r="AI176" s="6" t="s">
        <v>84</v>
      </c>
    </row>
    <row r="177" customFormat="false" ht="15" hidden="false" customHeight="false" outlineLevel="0" collapsed="false">
      <c r="A177" s="6" t="n">
        <v>176</v>
      </c>
      <c r="B177" s="6" t="s">
        <v>1802</v>
      </c>
      <c r="C177" s="6" t="n">
        <v>4</v>
      </c>
      <c r="D177" s="6" t="s">
        <v>166</v>
      </c>
      <c r="E177" s="6" t="s">
        <v>74</v>
      </c>
      <c r="F177" s="6" t="n">
        <v>1</v>
      </c>
      <c r="G177" s="6" t="n">
        <v>10</v>
      </c>
      <c r="H177" s="6" t="s">
        <v>1036</v>
      </c>
      <c r="I177" s="22" t="n">
        <v>310000</v>
      </c>
      <c r="J177" s="22" t="n">
        <v>9000</v>
      </c>
      <c r="K177" s="22" t="n">
        <v>23925</v>
      </c>
      <c r="L177" s="22" t="n">
        <v>342925</v>
      </c>
      <c r="M177" s="6" t="s">
        <v>57</v>
      </c>
      <c r="N177" s="6" t="s">
        <v>58</v>
      </c>
      <c r="O177" s="6"/>
      <c r="P177" s="6" t="s">
        <v>69</v>
      </c>
      <c r="Q177" s="6" t="str">
        <f aca="false">IF(P177="pass","No","Yes")</f>
        <v>No</v>
      </c>
      <c r="R177" s="6" t="s">
        <v>60</v>
      </c>
      <c r="S177" s="6"/>
      <c r="T177" s="6"/>
      <c r="U177" s="23" t="n">
        <v>7.911</v>
      </c>
      <c r="V177" s="6" t="s">
        <v>1803</v>
      </c>
      <c r="W177" s="6" t="s">
        <v>1804</v>
      </c>
      <c r="X177" s="6" t="s">
        <v>1805</v>
      </c>
      <c r="Y177" s="6" t="s">
        <v>60</v>
      </c>
      <c r="Z177" s="6" t="n">
        <v>0</v>
      </c>
      <c r="AA177" s="6" t="n">
        <v>0</v>
      </c>
      <c r="AB177" s="6" t="n">
        <v>0</v>
      </c>
      <c r="AC177" s="6" t="n">
        <v>0</v>
      </c>
      <c r="AD177" s="6" t="n">
        <v>0</v>
      </c>
      <c r="AE177" s="6" t="n">
        <v>0</v>
      </c>
      <c r="AF177" s="6" t="n">
        <v>0</v>
      </c>
      <c r="AG177" s="6" t="n">
        <v>0</v>
      </c>
      <c r="AH177" s="6" t="n">
        <v>0</v>
      </c>
      <c r="AI177" s="6" t="s">
        <v>84</v>
      </c>
    </row>
    <row r="178" customFormat="false" ht="15" hidden="false" customHeight="false" outlineLevel="0" collapsed="false">
      <c r="A178" s="6" t="n">
        <v>177</v>
      </c>
      <c r="B178" s="6" t="s">
        <v>1806</v>
      </c>
      <c r="C178" s="6" t="n">
        <v>4</v>
      </c>
      <c r="D178" s="6" t="s">
        <v>198</v>
      </c>
      <c r="E178" s="6" t="s">
        <v>146</v>
      </c>
      <c r="F178" s="6" t="n">
        <v>2</v>
      </c>
      <c r="G178" s="6" t="n">
        <v>84</v>
      </c>
      <c r="H178" s="6" t="s">
        <v>1807</v>
      </c>
      <c r="I178" s="22" t="n">
        <v>1545600</v>
      </c>
      <c r="J178" s="22" t="n">
        <v>0</v>
      </c>
      <c r="K178" s="22" t="n">
        <v>115920</v>
      </c>
      <c r="L178" s="22" t="n">
        <v>1661520</v>
      </c>
      <c r="M178" s="6" t="s">
        <v>148</v>
      </c>
      <c r="N178" s="6" t="s">
        <v>84</v>
      </c>
      <c r="O178" s="6" t="s">
        <v>866</v>
      </c>
      <c r="P178" s="6" t="s">
        <v>85</v>
      </c>
      <c r="Q178" s="6" t="str">
        <f aca="false">IF(P178="pass","No","Yes")</f>
        <v>Yes</v>
      </c>
      <c r="R178" s="6" t="s">
        <v>86</v>
      </c>
      <c r="S178" s="6" t="s">
        <v>866</v>
      </c>
      <c r="T178" s="6" t="s">
        <v>150</v>
      </c>
      <c r="U178" s="23" t="n">
        <v>12.088</v>
      </c>
      <c r="V178" s="6" t="s">
        <v>1808</v>
      </c>
      <c r="W178" s="6" t="s">
        <v>1809</v>
      </c>
      <c r="X178" s="6" t="s">
        <v>1810</v>
      </c>
      <c r="Y178" s="6" t="s">
        <v>86</v>
      </c>
      <c r="Z178" s="6" t="n">
        <v>1</v>
      </c>
      <c r="AA178" s="6" t="n">
        <v>0</v>
      </c>
      <c r="AB178" s="6" t="n">
        <v>0</v>
      </c>
      <c r="AC178" s="6" t="n">
        <v>0</v>
      </c>
      <c r="AD178" s="6" t="n">
        <v>0</v>
      </c>
      <c r="AE178" s="6" t="n">
        <v>0</v>
      </c>
      <c r="AF178" s="6" t="n">
        <v>0</v>
      </c>
      <c r="AG178" s="6" t="n">
        <v>0</v>
      </c>
      <c r="AH178" s="6" t="n">
        <v>0</v>
      </c>
      <c r="AI178" s="6" t="s">
        <v>84</v>
      </c>
    </row>
    <row r="179" customFormat="false" ht="15" hidden="false" customHeight="false" outlineLevel="0" collapsed="false">
      <c r="A179" s="6" t="n">
        <v>178</v>
      </c>
      <c r="B179" s="6" t="s">
        <v>1811</v>
      </c>
      <c r="C179" s="6" t="n">
        <v>4</v>
      </c>
      <c r="D179" s="6" t="s">
        <v>213</v>
      </c>
      <c r="E179" s="6" t="s">
        <v>67</v>
      </c>
      <c r="F179" s="6" t="n">
        <v>2</v>
      </c>
      <c r="G179" s="6" t="n">
        <v>16</v>
      </c>
      <c r="H179" s="6" t="s">
        <v>1812</v>
      </c>
      <c r="I179" s="22" t="n">
        <v>200000</v>
      </c>
      <c r="J179" s="22" t="n">
        <v>4500</v>
      </c>
      <c r="K179" s="22" t="n">
        <v>15337.5</v>
      </c>
      <c r="L179" s="22" t="n">
        <v>219837.5</v>
      </c>
      <c r="M179" s="6" t="s">
        <v>152</v>
      </c>
      <c r="N179" s="6" t="s">
        <v>84</v>
      </c>
      <c r="O179" s="6" t="s">
        <v>886</v>
      </c>
      <c r="P179" s="6" t="s">
        <v>85</v>
      </c>
      <c r="Q179" s="6" t="str">
        <f aca="false">IF(P179="pass","No","Yes")</f>
        <v>Yes</v>
      </c>
      <c r="R179" s="6" t="s">
        <v>86</v>
      </c>
      <c r="S179" s="6" t="s">
        <v>886</v>
      </c>
      <c r="T179" s="6" t="s">
        <v>322</v>
      </c>
      <c r="U179" s="23" t="n">
        <v>7.582</v>
      </c>
      <c r="V179" s="6" t="s">
        <v>1813</v>
      </c>
      <c r="W179" s="6" t="s">
        <v>1814</v>
      </c>
      <c r="X179" s="6" t="s">
        <v>1815</v>
      </c>
      <c r="Y179" s="6" t="s">
        <v>86</v>
      </c>
      <c r="Z179" s="6" t="n">
        <v>0</v>
      </c>
      <c r="AA179" s="6" t="n">
        <v>0</v>
      </c>
      <c r="AB179" s="6" t="n">
        <v>1</v>
      </c>
      <c r="AC179" s="6" t="n">
        <v>0</v>
      </c>
      <c r="AD179" s="6" t="n">
        <v>0</v>
      </c>
      <c r="AE179" s="6" t="n">
        <v>0</v>
      </c>
      <c r="AF179" s="6" t="n">
        <v>0</v>
      </c>
      <c r="AG179" s="6" t="n">
        <v>0</v>
      </c>
      <c r="AH179" s="6" t="n">
        <v>0</v>
      </c>
      <c r="AI179" s="6" t="s">
        <v>84</v>
      </c>
    </row>
    <row r="180" customFormat="false" ht="15" hidden="false" customHeight="false" outlineLevel="0" collapsed="false">
      <c r="A180" s="6" t="n">
        <v>179</v>
      </c>
      <c r="B180" s="6" t="s">
        <v>1816</v>
      </c>
      <c r="C180" s="6" t="n">
        <v>4</v>
      </c>
      <c r="D180" s="6" t="s">
        <v>166</v>
      </c>
      <c r="E180" s="6" t="s">
        <v>74</v>
      </c>
      <c r="F180" s="6" t="n">
        <v>3</v>
      </c>
      <c r="G180" s="6" t="n">
        <v>74</v>
      </c>
      <c r="H180" s="6" t="s">
        <v>1817</v>
      </c>
      <c r="I180" s="22" t="n">
        <v>1149500</v>
      </c>
      <c r="J180" s="22" t="n">
        <v>9000</v>
      </c>
      <c r="K180" s="22" t="n">
        <v>86887.5</v>
      </c>
      <c r="L180" s="22" t="n">
        <v>1245387.5</v>
      </c>
      <c r="M180" s="6" t="s">
        <v>132</v>
      </c>
      <c r="N180" s="6" t="s">
        <v>84</v>
      </c>
      <c r="O180" s="6" t="s">
        <v>879</v>
      </c>
      <c r="P180" s="6" t="s">
        <v>85</v>
      </c>
      <c r="Q180" s="6" t="str">
        <f aca="false">IF(P180="pass","No","Yes")</f>
        <v>Yes</v>
      </c>
      <c r="R180" s="6" t="s">
        <v>86</v>
      </c>
      <c r="S180" s="6" t="s">
        <v>880</v>
      </c>
      <c r="T180" s="6" t="s">
        <v>134</v>
      </c>
      <c r="U180" s="23" t="n">
        <v>12.625</v>
      </c>
      <c r="V180" s="6" t="s">
        <v>1818</v>
      </c>
      <c r="W180" s="6" t="s">
        <v>1819</v>
      </c>
      <c r="X180" s="6" t="s">
        <v>1820</v>
      </c>
      <c r="Y180" s="6" t="s">
        <v>86</v>
      </c>
      <c r="Z180" s="6" t="n">
        <v>0</v>
      </c>
      <c r="AA180" s="6" t="n">
        <v>1</v>
      </c>
      <c r="AB180" s="6" t="n">
        <v>0</v>
      </c>
      <c r="AC180" s="6" t="n">
        <v>1</v>
      </c>
      <c r="AD180" s="6" t="n">
        <v>0</v>
      </c>
      <c r="AE180" s="6" t="n">
        <v>0</v>
      </c>
      <c r="AF180" s="6" t="n">
        <v>0</v>
      </c>
      <c r="AG180" s="6" t="n">
        <v>0</v>
      </c>
      <c r="AH180" s="6" t="n">
        <v>0</v>
      </c>
      <c r="AI180" s="6" t="s">
        <v>84</v>
      </c>
    </row>
    <row r="181" customFormat="false" ht="15" hidden="false" customHeight="false" outlineLevel="0" collapsed="false">
      <c r="A181" s="6" t="n">
        <v>180</v>
      </c>
      <c r="B181" s="6" t="s">
        <v>1821</v>
      </c>
      <c r="C181" s="6" t="n">
        <v>4</v>
      </c>
      <c r="D181" s="6" t="s">
        <v>63</v>
      </c>
      <c r="E181" s="6" t="s">
        <v>67</v>
      </c>
      <c r="F181" s="6" t="n">
        <v>3</v>
      </c>
      <c r="G181" s="6" t="n">
        <v>28</v>
      </c>
      <c r="H181" s="6" t="s">
        <v>1822</v>
      </c>
      <c r="I181" s="22" t="n">
        <v>534800</v>
      </c>
      <c r="J181" s="22" t="n">
        <v>4500</v>
      </c>
      <c r="K181" s="22" t="n">
        <v>40447.5</v>
      </c>
      <c r="L181" s="22" t="n">
        <v>579747.5</v>
      </c>
      <c r="M181" s="6" t="s">
        <v>132</v>
      </c>
      <c r="N181" s="6" t="s">
        <v>84</v>
      </c>
      <c r="O181" s="6" t="s">
        <v>879</v>
      </c>
      <c r="P181" s="6" t="s">
        <v>85</v>
      </c>
      <c r="Q181" s="6" t="str">
        <f aca="false">IF(P181="pass","No","Yes")</f>
        <v>Yes</v>
      </c>
      <c r="R181" s="6" t="s">
        <v>86</v>
      </c>
      <c r="S181" s="6" t="s">
        <v>880</v>
      </c>
      <c r="T181" s="6" t="s">
        <v>134</v>
      </c>
      <c r="U181" s="23" t="n">
        <v>13.704</v>
      </c>
      <c r="V181" s="6" t="s">
        <v>1823</v>
      </c>
      <c r="W181" s="6" t="s">
        <v>1824</v>
      </c>
      <c r="X181" s="6" t="s">
        <v>1825</v>
      </c>
      <c r="Y181" s="6" t="s">
        <v>86</v>
      </c>
      <c r="Z181" s="6" t="n">
        <v>0</v>
      </c>
      <c r="AA181" s="6" t="n">
        <v>1</v>
      </c>
      <c r="AB181" s="6" t="n">
        <v>0</v>
      </c>
      <c r="AC181" s="6" t="n">
        <v>1</v>
      </c>
      <c r="AD181" s="6" t="n">
        <v>0</v>
      </c>
      <c r="AE181" s="6" t="n">
        <v>0</v>
      </c>
      <c r="AF181" s="6" t="n">
        <v>0</v>
      </c>
      <c r="AG181" s="6" t="n">
        <v>0</v>
      </c>
      <c r="AH181" s="6" t="n">
        <v>0</v>
      </c>
      <c r="AI181" s="6" t="s">
        <v>84</v>
      </c>
    </row>
    <row r="182" customFormat="false" ht="15" hidden="false" customHeight="false" outlineLevel="0" collapsed="false">
      <c r="A182" s="6" t="n">
        <v>181</v>
      </c>
      <c r="B182" s="6" t="s">
        <v>1826</v>
      </c>
      <c r="C182" s="6" t="n">
        <v>4</v>
      </c>
      <c r="D182" s="6" t="s">
        <v>166</v>
      </c>
      <c r="E182" s="6" t="s">
        <v>74</v>
      </c>
      <c r="F182" s="6" t="n">
        <v>1</v>
      </c>
      <c r="G182" s="6" t="n">
        <v>10</v>
      </c>
      <c r="H182" s="6" t="s">
        <v>1036</v>
      </c>
      <c r="I182" s="22" t="n">
        <v>310000</v>
      </c>
      <c r="J182" s="22" t="n">
        <v>9000</v>
      </c>
      <c r="K182" s="22" t="n">
        <v>23925</v>
      </c>
      <c r="L182" s="22" t="n">
        <v>342925</v>
      </c>
      <c r="M182" s="6" t="s">
        <v>97</v>
      </c>
      <c r="N182" s="6" t="s">
        <v>84</v>
      </c>
      <c r="O182" s="6" t="s">
        <v>1185</v>
      </c>
      <c r="P182" s="6" t="s">
        <v>59</v>
      </c>
      <c r="Q182" s="6" t="str">
        <f aca="false">IF(P182="pass","No","Yes")</f>
        <v>Yes</v>
      </c>
      <c r="R182" s="6" t="s">
        <v>98</v>
      </c>
      <c r="S182" s="6" t="s">
        <v>1185</v>
      </c>
      <c r="T182" s="6" t="s">
        <v>1827</v>
      </c>
      <c r="U182" s="23" t="n">
        <v>6.179</v>
      </c>
      <c r="V182" s="6" t="s">
        <v>1828</v>
      </c>
      <c r="W182" s="6"/>
      <c r="X182" s="6" t="s">
        <v>1828</v>
      </c>
      <c r="Y182" s="6" t="s">
        <v>98</v>
      </c>
      <c r="Z182" s="6" t="n">
        <v>0</v>
      </c>
      <c r="AA182" s="6" t="n">
        <v>0</v>
      </c>
      <c r="AB182" s="6" t="n">
        <v>0</v>
      </c>
      <c r="AC182" s="6" t="n">
        <v>0</v>
      </c>
      <c r="AD182" s="6" t="n">
        <v>0</v>
      </c>
      <c r="AE182" s="6" t="n">
        <v>0</v>
      </c>
      <c r="AF182" s="6" t="n">
        <v>0</v>
      </c>
      <c r="AG182" s="6" t="n">
        <v>1</v>
      </c>
      <c r="AH182" s="6" t="n">
        <v>0</v>
      </c>
      <c r="AI182" s="6" t="s">
        <v>84</v>
      </c>
    </row>
    <row r="183" customFormat="false" ht="15" hidden="false" customHeight="false" outlineLevel="0" collapsed="false">
      <c r="A183" s="6" t="n">
        <v>182</v>
      </c>
      <c r="B183" s="6" t="s">
        <v>1829</v>
      </c>
      <c r="C183" s="6" t="n">
        <v>4</v>
      </c>
      <c r="D183" s="6" t="s">
        <v>166</v>
      </c>
      <c r="E183" s="6" t="s">
        <v>74</v>
      </c>
      <c r="F183" s="6" t="n">
        <v>1</v>
      </c>
      <c r="G183" s="6" t="n">
        <v>10</v>
      </c>
      <c r="H183" s="6" t="s">
        <v>1036</v>
      </c>
      <c r="I183" s="22" t="n">
        <v>310000</v>
      </c>
      <c r="J183" s="22" t="n">
        <v>9000</v>
      </c>
      <c r="K183" s="22" t="n">
        <v>23925</v>
      </c>
      <c r="L183" s="22" t="n">
        <v>342925</v>
      </c>
      <c r="M183" s="6" t="s">
        <v>97</v>
      </c>
      <c r="N183" s="6" t="s">
        <v>84</v>
      </c>
      <c r="O183" s="6" t="s">
        <v>1185</v>
      </c>
      <c r="P183" s="6" t="s">
        <v>59</v>
      </c>
      <c r="Q183" s="6" t="str">
        <f aca="false">IF(P183="pass","No","Yes")</f>
        <v>Yes</v>
      </c>
      <c r="R183" s="6" t="s">
        <v>98</v>
      </c>
      <c r="S183" s="6" t="s">
        <v>1185</v>
      </c>
      <c r="T183" s="6" t="s">
        <v>1827</v>
      </c>
      <c r="U183" s="23" t="n">
        <v>6.357</v>
      </c>
      <c r="V183" s="6" t="s">
        <v>1830</v>
      </c>
      <c r="W183" s="6"/>
      <c r="X183" s="6" t="s">
        <v>1830</v>
      </c>
      <c r="Y183" s="6" t="s">
        <v>98</v>
      </c>
      <c r="Z183" s="6" t="n">
        <v>0</v>
      </c>
      <c r="AA183" s="6" t="n">
        <v>0</v>
      </c>
      <c r="AB183" s="6" t="n">
        <v>0</v>
      </c>
      <c r="AC183" s="6" t="n">
        <v>0</v>
      </c>
      <c r="AD183" s="6" t="n">
        <v>0</v>
      </c>
      <c r="AE183" s="6" t="n">
        <v>0</v>
      </c>
      <c r="AF183" s="6" t="n">
        <v>0</v>
      </c>
      <c r="AG183" s="6" t="n">
        <v>1</v>
      </c>
      <c r="AH183" s="6" t="n">
        <v>0</v>
      </c>
      <c r="AI183" s="6" t="s">
        <v>84</v>
      </c>
    </row>
    <row r="184" customFormat="false" ht="15" hidden="false" customHeight="false" outlineLevel="0" collapsed="false">
      <c r="A184" s="6" t="n">
        <v>183</v>
      </c>
      <c r="B184" s="6" t="s">
        <v>1831</v>
      </c>
      <c r="C184" s="6" t="n">
        <v>4</v>
      </c>
      <c r="D184" s="6" t="s">
        <v>70</v>
      </c>
      <c r="E184" s="6" t="s">
        <v>74</v>
      </c>
      <c r="F184" s="6" t="n">
        <v>2</v>
      </c>
      <c r="G184" s="6" t="n">
        <v>49</v>
      </c>
      <c r="H184" s="6" t="s">
        <v>1832</v>
      </c>
      <c r="I184" s="22" t="n">
        <v>675400</v>
      </c>
      <c r="J184" s="22" t="n">
        <v>9000</v>
      </c>
      <c r="K184" s="22" t="n">
        <v>51330</v>
      </c>
      <c r="L184" s="22" t="n">
        <v>735730</v>
      </c>
      <c r="M184" s="6" t="s">
        <v>57</v>
      </c>
      <c r="N184" s="6" t="s">
        <v>58</v>
      </c>
      <c r="O184" s="6"/>
      <c r="P184" s="6" t="s">
        <v>69</v>
      </c>
      <c r="Q184" s="6" t="str">
        <f aca="false">IF(P184="pass","No","Yes")</f>
        <v>No</v>
      </c>
      <c r="R184" s="6" t="s">
        <v>60</v>
      </c>
      <c r="S184" s="6"/>
      <c r="T184" s="6"/>
      <c r="U184" s="23" t="n">
        <v>12.491</v>
      </c>
      <c r="V184" s="6" t="s">
        <v>1833</v>
      </c>
      <c r="W184" s="6" t="s">
        <v>1834</v>
      </c>
      <c r="X184" s="6" t="s">
        <v>1835</v>
      </c>
      <c r="Y184" s="6" t="s">
        <v>60</v>
      </c>
      <c r="Z184" s="6" t="n">
        <v>0</v>
      </c>
      <c r="AA184" s="6" t="n">
        <v>0</v>
      </c>
      <c r="AB184" s="6" t="n">
        <v>0</v>
      </c>
      <c r="AC184" s="6" t="n">
        <v>0</v>
      </c>
      <c r="AD184" s="6" t="n">
        <v>0</v>
      </c>
      <c r="AE184" s="6" t="n">
        <v>0</v>
      </c>
      <c r="AF184" s="6" t="n">
        <v>0</v>
      </c>
      <c r="AG184" s="6" t="n">
        <v>0</v>
      </c>
      <c r="AH184" s="6" t="n">
        <v>0</v>
      </c>
      <c r="AI184" s="6" t="s">
        <v>84</v>
      </c>
    </row>
    <row r="185" customFormat="false" ht="15" hidden="false" customHeight="false" outlineLevel="0" collapsed="false">
      <c r="A185" s="6" t="n">
        <v>184</v>
      </c>
      <c r="B185" s="6" t="s">
        <v>1836</v>
      </c>
      <c r="C185" s="6" t="n">
        <v>4</v>
      </c>
      <c r="D185" s="6" t="s">
        <v>112</v>
      </c>
      <c r="E185" s="6" t="s">
        <v>116</v>
      </c>
      <c r="F185" s="6" t="n">
        <v>3</v>
      </c>
      <c r="G185" s="6" t="n">
        <v>46</v>
      </c>
      <c r="H185" s="6" t="s">
        <v>1837</v>
      </c>
      <c r="I185" s="22" t="n">
        <v>450200</v>
      </c>
      <c r="J185" s="22" t="n">
        <v>15000</v>
      </c>
      <c r="K185" s="22" t="n">
        <v>34890</v>
      </c>
      <c r="L185" s="22" t="n">
        <v>500090</v>
      </c>
      <c r="M185" s="6" t="s">
        <v>94</v>
      </c>
      <c r="N185" s="6" t="s">
        <v>84</v>
      </c>
      <c r="O185" s="6" t="s">
        <v>909</v>
      </c>
      <c r="P185" s="6" t="s">
        <v>85</v>
      </c>
      <c r="Q185" s="6" t="str">
        <f aca="false">IF(P185="pass","No","Yes")</f>
        <v>Yes</v>
      </c>
      <c r="R185" s="6" t="s">
        <v>86</v>
      </c>
      <c r="S185" s="6" t="s">
        <v>909</v>
      </c>
      <c r="T185" s="6" t="s">
        <v>254</v>
      </c>
      <c r="U185" s="23" t="n">
        <v>26.164</v>
      </c>
      <c r="V185" s="6" t="s">
        <v>1838</v>
      </c>
      <c r="W185" s="6" t="s">
        <v>1839</v>
      </c>
      <c r="X185" s="6" t="s">
        <v>1840</v>
      </c>
      <c r="Y185" s="6" t="s">
        <v>86</v>
      </c>
      <c r="Z185" s="6" t="n">
        <v>0</v>
      </c>
      <c r="AA185" s="6" t="n">
        <v>0</v>
      </c>
      <c r="AB185" s="6" t="n">
        <v>0</v>
      </c>
      <c r="AC185" s="6" t="n">
        <v>0</v>
      </c>
      <c r="AD185" s="6" t="n">
        <v>0</v>
      </c>
      <c r="AE185" s="6" t="n">
        <v>0</v>
      </c>
      <c r="AF185" s="6" t="n">
        <v>1</v>
      </c>
      <c r="AG185" s="6" t="n">
        <v>0</v>
      </c>
      <c r="AH185" s="6" t="n">
        <v>0</v>
      </c>
      <c r="AI185" s="6" t="s">
        <v>84</v>
      </c>
    </row>
    <row r="186" customFormat="false" ht="15" hidden="false" customHeight="false" outlineLevel="0" collapsed="false">
      <c r="A186" s="6" t="n">
        <v>185</v>
      </c>
      <c r="B186" s="6" t="s">
        <v>1841</v>
      </c>
      <c r="C186" s="6" t="n">
        <v>4</v>
      </c>
      <c r="D186" s="6" t="s">
        <v>119</v>
      </c>
      <c r="E186" s="6" t="s">
        <v>123</v>
      </c>
      <c r="F186" s="6" t="n">
        <v>2</v>
      </c>
      <c r="G186" s="6" t="n">
        <v>9</v>
      </c>
      <c r="H186" s="6" t="s">
        <v>1842</v>
      </c>
      <c r="I186" s="22" t="n">
        <v>342000</v>
      </c>
      <c r="J186" s="22" t="n">
        <v>5000</v>
      </c>
      <c r="K186" s="22" t="n">
        <v>26025</v>
      </c>
      <c r="L186" s="22" t="n">
        <v>373025</v>
      </c>
      <c r="M186" s="6" t="s">
        <v>960</v>
      </c>
      <c r="N186" s="6" t="s">
        <v>84</v>
      </c>
      <c r="O186" s="6" t="s">
        <v>961</v>
      </c>
      <c r="P186" s="6" t="s">
        <v>85</v>
      </c>
      <c r="Q186" s="6" t="str">
        <f aca="false">IF(P186="pass","No","Yes")</f>
        <v>Yes</v>
      </c>
      <c r="R186" s="6" t="s">
        <v>86</v>
      </c>
      <c r="S186" s="6" t="s">
        <v>961</v>
      </c>
      <c r="T186" s="6" t="s">
        <v>962</v>
      </c>
      <c r="U186" s="23" t="n">
        <v>11.694</v>
      </c>
      <c r="V186" s="6" t="s">
        <v>1843</v>
      </c>
      <c r="W186" s="6" t="s">
        <v>1844</v>
      </c>
      <c r="X186" s="6" t="s">
        <v>1845</v>
      </c>
      <c r="Y186" s="6" t="s">
        <v>86</v>
      </c>
      <c r="Z186" s="6" t="n">
        <v>0</v>
      </c>
      <c r="AA186" s="6" t="n">
        <v>0</v>
      </c>
      <c r="AB186" s="6" t="n">
        <v>0</v>
      </c>
      <c r="AC186" s="6" t="n">
        <v>0</v>
      </c>
      <c r="AD186" s="6" t="n">
        <v>1</v>
      </c>
      <c r="AE186" s="6" t="n">
        <v>0</v>
      </c>
      <c r="AF186" s="6" t="n">
        <v>0</v>
      </c>
      <c r="AG186" s="6" t="n">
        <v>0</v>
      </c>
      <c r="AH186" s="6" t="n">
        <v>0</v>
      </c>
      <c r="AI186" s="6" t="s">
        <v>84</v>
      </c>
    </row>
    <row r="187" customFormat="false" ht="15" hidden="false" customHeight="false" outlineLevel="0" collapsed="false">
      <c r="A187" s="6" t="n">
        <v>186</v>
      </c>
      <c r="B187" s="6" t="s">
        <v>1846</v>
      </c>
      <c r="C187" s="6" t="n">
        <v>4</v>
      </c>
      <c r="D187" s="6" t="s">
        <v>198</v>
      </c>
      <c r="E187" s="6" t="s">
        <v>81</v>
      </c>
      <c r="F187" s="6" t="n">
        <v>2</v>
      </c>
      <c r="G187" s="6" t="n">
        <v>54</v>
      </c>
      <c r="H187" s="6" t="s">
        <v>1847</v>
      </c>
      <c r="I187" s="22" t="n">
        <v>382600</v>
      </c>
      <c r="J187" s="22" t="n">
        <v>4000</v>
      </c>
      <c r="K187" s="22" t="n">
        <v>28995</v>
      </c>
      <c r="L187" s="22" t="n">
        <v>415595</v>
      </c>
      <c r="M187" s="6" t="s">
        <v>57</v>
      </c>
      <c r="N187" s="6" t="s">
        <v>58</v>
      </c>
      <c r="O187" s="6"/>
      <c r="P187" s="6" t="s">
        <v>69</v>
      </c>
      <c r="Q187" s="6" t="str">
        <f aca="false">IF(P187="pass","No","Yes")</f>
        <v>No</v>
      </c>
      <c r="R187" s="6" t="s">
        <v>60</v>
      </c>
      <c r="S187" s="6"/>
      <c r="T187" s="6"/>
      <c r="U187" s="23" t="n">
        <v>22.902</v>
      </c>
      <c r="V187" s="6" t="s">
        <v>1848</v>
      </c>
      <c r="W187" s="6" t="s">
        <v>1849</v>
      </c>
      <c r="X187" s="6" t="s">
        <v>1850</v>
      </c>
      <c r="Y187" s="6" t="s">
        <v>60</v>
      </c>
      <c r="Z187" s="6" t="n">
        <v>0</v>
      </c>
      <c r="AA187" s="6" t="n">
        <v>0</v>
      </c>
      <c r="AB187" s="6" t="n">
        <v>0</v>
      </c>
      <c r="AC187" s="6" t="n">
        <v>0</v>
      </c>
      <c r="AD187" s="6" t="n">
        <v>0</v>
      </c>
      <c r="AE187" s="6" t="n">
        <v>0</v>
      </c>
      <c r="AF187" s="6" t="n">
        <v>0</v>
      </c>
      <c r="AG187" s="6" t="n">
        <v>0</v>
      </c>
      <c r="AH187" s="6" t="n">
        <v>0</v>
      </c>
      <c r="AI187" s="6" t="s">
        <v>84</v>
      </c>
    </row>
    <row r="188" customFormat="false" ht="15" hidden="false" customHeight="false" outlineLevel="0" collapsed="false">
      <c r="A188" s="6" t="n">
        <v>187</v>
      </c>
      <c r="B188" s="6" t="s">
        <v>1851</v>
      </c>
      <c r="C188" s="6" t="n">
        <v>4</v>
      </c>
      <c r="D188" s="6" t="s">
        <v>186</v>
      </c>
      <c r="E188" s="6" t="s">
        <v>123</v>
      </c>
      <c r="F188" s="6" t="n">
        <v>1</v>
      </c>
      <c r="G188" s="6" t="n">
        <v>75</v>
      </c>
      <c r="H188" s="6" t="s">
        <v>1852</v>
      </c>
      <c r="I188" s="22" t="n">
        <v>540000</v>
      </c>
      <c r="J188" s="22" t="n">
        <v>5000</v>
      </c>
      <c r="K188" s="22" t="n">
        <v>40875</v>
      </c>
      <c r="L188" s="22" t="n">
        <v>585875</v>
      </c>
      <c r="M188" s="6" t="s">
        <v>57</v>
      </c>
      <c r="N188" s="6" t="s">
        <v>58</v>
      </c>
      <c r="O188" s="6"/>
      <c r="P188" s="6" t="s">
        <v>59</v>
      </c>
      <c r="Q188" s="6" t="str">
        <f aca="false">IF(P188="pass","No","Yes")</f>
        <v>Yes</v>
      </c>
      <c r="R188" s="6" t="s">
        <v>60</v>
      </c>
      <c r="S188" s="6" t="s">
        <v>915</v>
      </c>
      <c r="T188" s="6" t="s">
        <v>1853</v>
      </c>
      <c r="U188" s="23" t="n">
        <v>18.238</v>
      </c>
      <c r="V188" s="6" t="s">
        <v>1854</v>
      </c>
      <c r="W188" s="6" t="s">
        <v>1855</v>
      </c>
      <c r="X188" s="6" t="s">
        <v>1856</v>
      </c>
      <c r="Y188" s="6" t="s">
        <v>60</v>
      </c>
      <c r="Z188" s="6" t="n">
        <v>0</v>
      </c>
      <c r="AA188" s="6" t="n">
        <v>0</v>
      </c>
      <c r="AB188" s="6" t="n">
        <v>0</v>
      </c>
      <c r="AC188" s="6" t="n">
        <v>0</v>
      </c>
      <c r="AD188" s="6" t="n">
        <v>0</v>
      </c>
      <c r="AE188" s="6" t="n">
        <v>0</v>
      </c>
      <c r="AF188" s="6" t="n">
        <v>0</v>
      </c>
      <c r="AG188" s="6" t="n">
        <v>0</v>
      </c>
      <c r="AH188" s="6" t="n">
        <v>1</v>
      </c>
      <c r="AI188" s="6" t="s">
        <v>84</v>
      </c>
    </row>
    <row r="189" customFormat="false" ht="15" hidden="false" customHeight="false" outlineLevel="0" collapsed="false">
      <c r="A189" s="6" t="n">
        <v>188</v>
      </c>
      <c r="B189" s="6" t="s">
        <v>1857</v>
      </c>
      <c r="C189" s="6" t="n">
        <v>4</v>
      </c>
      <c r="D189" s="6" t="s">
        <v>154</v>
      </c>
      <c r="E189" s="6" t="s">
        <v>123</v>
      </c>
      <c r="F189" s="6" t="n">
        <v>4</v>
      </c>
      <c r="G189" s="6" t="n">
        <v>781</v>
      </c>
      <c r="H189" s="6" t="s">
        <v>1858</v>
      </c>
      <c r="I189" s="22" t="n">
        <v>4638000</v>
      </c>
      <c r="J189" s="22" t="n">
        <v>5000</v>
      </c>
      <c r="K189" s="22" t="n">
        <v>348225</v>
      </c>
      <c r="L189" s="22" t="n">
        <v>4991225</v>
      </c>
      <c r="M189" s="6" t="s">
        <v>159</v>
      </c>
      <c r="N189" s="6" t="s">
        <v>84</v>
      </c>
      <c r="O189" s="6" t="s">
        <v>886</v>
      </c>
      <c r="P189" s="6" t="s">
        <v>85</v>
      </c>
      <c r="Q189" s="6" t="str">
        <f aca="false">IF(P189="pass","No","Yes")</f>
        <v>Yes</v>
      </c>
      <c r="R189" s="6" t="s">
        <v>86</v>
      </c>
      <c r="S189" s="6" t="s">
        <v>992</v>
      </c>
      <c r="T189" s="6" t="s">
        <v>1859</v>
      </c>
      <c r="U189" s="23" t="n">
        <v>31.742</v>
      </c>
      <c r="V189" s="6" t="s">
        <v>1860</v>
      </c>
      <c r="W189" s="6" t="s">
        <v>1861</v>
      </c>
      <c r="X189" s="6" t="s">
        <v>1862</v>
      </c>
      <c r="Y189" s="6" t="s">
        <v>86</v>
      </c>
      <c r="Z189" s="6" t="n">
        <v>0</v>
      </c>
      <c r="AA189" s="6" t="n">
        <v>0</v>
      </c>
      <c r="AB189" s="6" t="n">
        <v>1</v>
      </c>
      <c r="AC189" s="6" t="n">
        <v>1</v>
      </c>
      <c r="AD189" s="6" t="n">
        <v>0</v>
      </c>
      <c r="AE189" s="6" t="n">
        <v>0</v>
      </c>
      <c r="AF189" s="6" t="n">
        <v>0</v>
      </c>
      <c r="AG189" s="6" t="n">
        <v>0</v>
      </c>
      <c r="AH189" s="6" t="n">
        <v>1</v>
      </c>
      <c r="AI189" s="6" t="s">
        <v>84</v>
      </c>
    </row>
    <row r="190" customFormat="false" ht="15" hidden="false" customHeight="false" outlineLevel="0" collapsed="false">
      <c r="A190" s="6" t="n">
        <v>189</v>
      </c>
      <c r="B190" s="6" t="s">
        <v>1863</v>
      </c>
      <c r="C190" s="6" t="n">
        <v>4</v>
      </c>
      <c r="D190" s="6" t="s">
        <v>70</v>
      </c>
      <c r="E190" s="6" t="s">
        <v>74</v>
      </c>
      <c r="F190" s="6" t="n">
        <v>4</v>
      </c>
      <c r="G190" s="6" t="n">
        <v>71</v>
      </c>
      <c r="H190" s="6" t="s">
        <v>1864</v>
      </c>
      <c r="I190" s="22" t="n">
        <v>849100</v>
      </c>
      <c r="J190" s="22" t="n">
        <v>9000</v>
      </c>
      <c r="K190" s="22" t="n">
        <v>64357.5</v>
      </c>
      <c r="L190" s="22" t="n">
        <v>922457.5</v>
      </c>
      <c r="M190" s="6" t="s">
        <v>83</v>
      </c>
      <c r="N190" s="6" t="s">
        <v>84</v>
      </c>
      <c r="O190" s="6" t="s">
        <v>886</v>
      </c>
      <c r="P190" s="6" t="s">
        <v>85</v>
      </c>
      <c r="Q190" s="6" t="str">
        <f aca="false">IF(P190="pass","No","Yes")</f>
        <v>Yes</v>
      </c>
      <c r="R190" s="6" t="s">
        <v>86</v>
      </c>
      <c r="S190" s="6" t="s">
        <v>886</v>
      </c>
      <c r="T190" s="6" t="s">
        <v>268</v>
      </c>
      <c r="U190" s="23" t="n">
        <v>22.322</v>
      </c>
      <c r="V190" s="6" t="s">
        <v>1865</v>
      </c>
      <c r="W190" s="6" t="s">
        <v>1866</v>
      </c>
      <c r="X190" s="6" t="s">
        <v>1867</v>
      </c>
      <c r="Y190" s="6" t="s">
        <v>86</v>
      </c>
      <c r="Z190" s="6" t="n">
        <v>0</v>
      </c>
      <c r="AA190" s="6" t="n">
        <v>0</v>
      </c>
      <c r="AB190" s="6" t="n">
        <v>1</v>
      </c>
      <c r="AC190" s="6" t="n">
        <v>0</v>
      </c>
      <c r="AD190" s="6" t="n">
        <v>0</v>
      </c>
      <c r="AE190" s="6" t="n">
        <v>0</v>
      </c>
      <c r="AF190" s="6" t="n">
        <v>0</v>
      </c>
      <c r="AG190" s="6" t="n">
        <v>0</v>
      </c>
      <c r="AH190" s="6" t="n">
        <v>0</v>
      </c>
      <c r="AI190" s="6" t="s">
        <v>84</v>
      </c>
    </row>
    <row r="191" customFormat="false" ht="15" hidden="false" customHeight="false" outlineLevel="0" collapsed="false">
      <c r="A191" s="6" t="n">
        <v>190</v>
      </c>
      <c r="B191" s="6" t="s">
        <v>1868</v>
      </c>
      <c r="C191" s="6" t="n">
        <v>4</v>
      </c>
      <c r="D191" s="6" t="s">
        <v>186</v>
      </c>
      <c r="E191" s="6" t="s">
        <v>123</v>
      </c>
      <c r="F191" s="6" t="n">
        <v>2</v>
      </c>
      <c r="G191" s="6" t="n">
        <v>107</v>
      </c>
      <c r="H191" s="6" t="s">
        <v>1869</v>
      </c>
      <c r="I191" s="22" t="n">
        <v>1144000</v>
      </c>
      <c r="J191" s="22" t="n">
        <v>5000</v>
      </c>
      <c r="K191" s="22" t="n">
        <v>86175</v>
      </c>
      <c r="L191" s="22" t="n">
        <v>1235175</v>
      </c>
      <c r="M191" s="6" t="s">
        <v>57</v>
      </c>
      <c r="N191" s="6" t="s">
        <v>58</v>
      </c>
      <c r="O191" s="6"/>
      <c r="P191" s="6" t="s">
        <v>69</v>
      </c>
      <c r="Q191" s="6" t="str">
        <f aca="false">IF(P191="pass","No","Yes")</f>
        <v>No</v>
      </c>
      <c r="R191" s="6" t="s">
        <v>60</v>
      </c>
      <c r="S191" s="6"/>
      <c r="T191" s="6"/>
      <c r="U191" s="23" t="n">
        <v>21.778</v>
      </c>
      <c r="V191" s="6" t="s">
        <v>1870</v>
      </c>
      <c r="W191" s="6" t="s">
        <v>1871</v>
      </c>
      <c r="X191" s="6" t="s">
        <v>1872</v>
      </c>
      <c r="Y191" s="6" t="s">
        <v>60</v>
      </c>
      <c r="Z191" s="6" t="n">
        <v>0</v>
      </c>
      <c r="AA191" s="6" t="n">
        <v>0</v>
      </c>
      <c r="AB191" s="6" t="n">
        <v>0</v>
      </c>
      <c r="AC191" s="6" t="n">
        <v>0</v>
      </c>
      <c r="AD191" s="6" t="n">
        <v>0</v>
      </c>
      <c r="AE191" s="6" t="n">
        <v>0</v>
      </c>
      <c r="AF191" s="6" t="n">
        <v>0</v>
      </c>
      <c r="AG191" s="6" t="n">
        <v>0</v>
      </c>
      <c r="AH191" s="6" t="n">
        <v>0</v>
      </c>
      <c r="AI191" s="6" t="s">
        <v>84</v>
      </c>
    </row>
    <row r="192" customFormat="false" ht="15" hidden="false" customHeight="false" outlineLevel="0" collapsed="false">
      <c r="A192" s="6" t="n">
        <v>191</v>
      </c>
      <c r="B192" s="6" t="s">
        <v>1873</v>
      </c>
      <c r="C192" s="6" t="n">
        <v>4</v>
      </c>
      <c r="D192" s="6" t="s">
        <v>186</v>
      </c>
      <c r="E192" s="6" t="s">
        <v>123</v>
      </c>
      <c r="F192" s="6" t="n">
        <v>2</v>
      </c>
      <c r="G192" s="6" t="n">
        <v>81</v>
      </c>
      <c r="H192" s="6" t="s">
        <v>1874</v>
      </c>
      <c r="I192" s="22" t="n">
        <v>764100</v>
      </c>
      <c r="J192" s="22" t="n">
        <v>5000</v>
      </c>
      <c r="K192" s="22" t="n">
        <v>57682.5</v>
      </c>
      <c r="L192" s="22" t="n">
        <v>826782.5</v>
      </c>
      <c r="M192" s="6" t="s">
        <v>57</v>
      </c>
      <c r="N192" s="6" t="s">
        <v>58</v>
      </c>
      <c r="O192" s="6"/>
      <c r="P192" s="6" t="s">
        <v>69</v>
      </c>
      <c r="Q192" s="6" t="str">
        <f aca="false">IF(P192="pass","No","Yes")</f>
        <v>No</v>
      </c>
      <c r="R192" s="6" t="s">
        <v>60</v>
      </c>
      <c r="S192" s="6"/>
      <c r="T192" s="6"/>
      <c r="U192" s="23" t="n">
        <v>22.37</v>
      </c>
      <c r="V192" s="6" t="s">
        <v>1875</v>
      </c>
      <c r="W192" s="6" t="s">
        <v>1876</v>
      </c>
      <c r="X192" s="6" t="s">
        <v>1877</v>
      </c>
      <c r="Y192" s="6" t="s">
        <v>60</v>
      </c>
      <c r="Z192" s="6" t="n">
        <v>0</v>
      </c>
      <c r="AA192" s="6" t="n">
        <v>0</v>
      </c>
      <c r="AB192" s="6" t="n">
        <v>0</v>
      </c>
      <c r="AC192" s="6" t="n">
        <v>0</v>
      </c>
      <c r="AD192" s="6" t="n">
        <v>0</v>
      </c>
      <c r="AE192" s="6" t="n">
        <v>0</v>
      </c>
      <c r="AF192" s="6" t="n">
        <v>0</v>
      </c>
      <c r="AG192" s="6" t="n">
        <v>0</v>
      </c>
      <c r="AH192" s="6" t="n">
        <v>0</v>
      </c>
      <c r="AI192" s="6" t="s">
        <v>84</v>
      </c>
    </row>
    <row r="193" customFormat="false" ht="15" hidden="false" customHeight="false" outlineLevel="0" collapsed="false">
      <c r="A193" s="6" t="n">
        <v>192</v>
      </c>
      <c r="B193" s="6" t="s">
        <v>1878</v>
      </c>
      <c r="C193" s="6" t="n">
        <v>4</v>
      </c>
      <c r="D193" s="6" t="s">
        <v>237</v>
      </c>
      <c r="E193" s="6" t="s">
        <v>116</v>
      </c>
      <c r="F193" s="6" t="n">
        <v>3</v>
      </c>
      <c r="G193" s="6" t="n">
        <v>35</v>
      </c>
      <c r="H193" s="6" t="s">
        <v>1879</v>
      </c>
      <c r="I193" s="22" t="n">
        <v>643500</v>
      </c>
      <c r="J193" s="22" t="n">
        <v>15000</v>
      </c>
      <c r="K193" s="22" t="n">
        <v>49387.5</v>
      </c>
      <c r="L193" s="22" t="n">
        <v>707887.5</v>
      </c>
      <c r="M193" s="6" t="s">
        <v>57</v>
      </c>
      <c r="N193" s="6" t="s">
        <v>58</v>
      </c>
      <c r="O193" s="6"/>
      <c r="P193" s="6" t="s">
        <v>69</v>
      </c>
      <c r="Q193" s="6" t="str">
        <f aca="false">IF(P193="pass","No","Yes")</f>
        <v>No</v>
      </c>
      <c r="R193" s="6" t="s">
        <v>60</v>
      </c>
      <c r="S193" s="6"/>
      <c r="T193" s="6"/>
      <c r="U193" s="23" t="n">
        <v>17.135</v>
      </c>
      <c r="V193" s="6" t="s">
        <v>1880</v>
      </c>
      <c r="W193" s="6" t="s">
        <v>1881</v>
      </c>
      <c r="X193" s="6" t="s">
        <v>1882</v>
      </c>
      <c r="Y193" s="6" t="s">
        <v>60</v>
      </c>
      <c r="Z193" s="6" t="n">
        <v>0</v>
      </c>
      <c r="AA193" s="6" t="n">
        <v>0</v>
      </c>
      <c r="AB193" s="6" t="n">
        <v>0</v>
      </c>
      <c r="AC193" s="6" t="n">
        <v>0</v>
      </c>
      <c r="AD193" s="6" t="n">
        <v>0</v>
      </c>
      <c r="AE193" s="6" t="n">
        <v>0</v>
      </c>
      <c r="AF193" s="6" t="n">
        <v>0</v>
      </c>
      <c r="AG193" s="6" t="n">
        <v>0</v>
      </c>
      <c r="AH193" s="6" t="n">
        <v>0</v>
      </c>
      <c r="AI193" s="6" t="s">
        <v>84</v>
      </c>
    </row>
    <row r="194" customFormat="false" ht="15" hidden="false" customHeight="false" outlineLevel="0" collapsed="false">
      <c r="A194" s="6" t="n">
        <v>193</v>
      </c>
      <c r="B194" s="6" t="s">
        <v>1883</v>
      </c>
      <c r="C194" s="6" t="n">
        <v>4</v>
      </c>
      <c r="D194" s="6" t="s">
        <v>127</v>
      </c>
      <c r="E194" s="6" t="s">
        <v>55</v>
      </c>
      <c r="F194" s="6" t="n">
        <v>3</v>
      </c>
      <c r="G194" s="6" t="n">
        <v>159</v>
      </c>
      <c r="H194" s="6" t="s">
        <v>1884</v>
      </c>
      <c r="I194" s="22" t="n">
        <v>1267400</v>
      </c>
      <c r="J194" s="22" t="n">
        <v>6000</v>
      </c>
      <c r="K194" s="22" t="n">
        <v>95505</v>
      </c>
      <c r="L194" s="22" t="n">
        <v>1368905</v>
      </c>
      <c r="M194" s="6" t="s">
        <v>984</v>
      </c>
      <c r="N194" s="6" t="s">
        <v>84</v>
      </c>
      <c r="O194" s="6" t="s">
        <v>985</v>
      </c>
      <c r="P194" s="6" t="s">
        <v>85</v>
      </c>
      <c r="Q194" s="6" t="str">
        <f aca="false">IF(P194="pass","No","Yes")</f>
        <v>Yes</v>
      </c>
      <c r="R194" s="6" t="s">
        <v>86</v>
      </c>
      <c r="S194" s="6" t="s">
        <v>1885</v>
      </c>
      <c r="T194" s="6" t="s">
        <v>1886</v>
      </c>
      <c r="U194" s="23" t="n">
        <v>28.434</v>
      </c>
      <c r="V194" s="6" t="s">
        <v>1887</v>
      </c>
      <c r="W194" s="6" t="s">
        <v>1888</v>
      </c>
      <c r="X194" s="6" t="s">
        <v>1889</v>
      </c>
      <c r="Y194" s="6" t="s">
        <v>86</v>
      </c>
      <c r="Z194" s="6" t="n">
        <v>0</v>
      </c>
      <c r="AA194" s="6" t="n">
        <v>0</v>
      </c>
      <c r="AB194" s="6" t="n">
        <v>0</v>
      </c>
      <c r="AC194" s="6" t="n">
        <v>0</v>
      </c>
      <c r="AD194" s="6" t="n">
        <v>0</v>
      </c>
      <c r="AE194" s="6" t="n">
        <v>1</v>
      </c>
      <c r="AF194" s="6" t="n">
        <v>0</v>
      </c>
      <c r="AG194" s="6" t="n">
        <v>0</v>
      </c>
      <c r="AH194" s="6" t="n">
        <v>1</v>
      </c>
      <c r="AI194" s="6" t="s">
        <v>84</v>
      </c>
    </row>
    <row r="195" customFormat="false" ht="15" hidden="false" customHeight="false" outlineLevel="0" collapsed="false">
      <c r="A195" s="6" t="n">
        <v>194</v>
      </c>
      <c r="B195" s="6" t="s">
        <v>1890</v>
      </c>
      <c r="C195" s="6" t="n">
        <v>4</v>
      </c>
      <c r="D195" s="6" t="s">
        <v>89</v>
      </c>
      <c r="E195" s="6" t="s">
        <v>67</v>
      </c>
      <c r="F195" s="6" t="n">
        <v>2</v>
      </c>
      <c r="G195" s="6" t="n">
        <v>24</v>
      </c>
      <c r="H195" s="6" t="s">
        <v>1891</v>
      </c>
      <c r="I195" s="22" t="n">
        <v>292500</v>
      </c>
      <c r="J195" s="22" t="n">
        <v>4500</v>
      </c>
      <c r="K195" s="22" t="n">
        <v>22275</v>
      </c>
      <c r="L195" s="22" t="n">
        <v>319275</v>
      </c>
      <c r="M195" s="6" t="s">
        <v>57</v>
      </c>
      <c r="N195" s="6" t="s">
        <v>58</v>
      </c>
      <c r="O195" s="6"/>
      <c r="P195" s="6" t="s">
        <v>69</v>
      </c>
      <c r="Q195" s="6" t="str">
        <f aca="false">IF(P195="pass","No","Yes")</f>
        <v>No</v>
      </c>
      <c r="R195" s="6" t="s">
        <v>60</v>
      </c>
      <c r="S195" s="6"/>
      <c r="T195" s="6"/>
      <c r="U195" s="23" t="n">
        <v>20.621</v>
      </c>
      <c r="V195" s="6" t="s">
        <v>1892</v>
      </c>
      <c r="W195" s="6" t="s">
        <v>1893</v>
      </c>
      <c r="X195" s="6" t="s">
        <v>1894</v>
      </c>
      <c r="Y195" s="6" t="s">
        <v>60</v>
      </c>
      <c r="Z195" s="6" t="n">
        <v>0</v>
      </c>
      <c r="AA195" s="6" t="n">
        <v>0</v>
      </c>
      <c r="AB195" s="6" t="n">
        <v>0</v>
      </c>
      <c r="AC195" s="6" t="n">
        <v>0</v>
      </c>
      <c r="AD195" s="6" t="n">
        <v>0</v>
      </c>
      <c r="AE195" s="6" t="n">
        <v>0</v>
      </c>
      <c r="AF195" s="6" t="n">
        <v>0</v>
      </c>
      <c r="AG195" s="6" t="n">
        <v>0</v>
      </c>
      <c r="AH195" s="6" t="n">
        <v>0</v>
      </c>
      <c r="AI195" s="6" t="s">
        <v>84</v>
      </c>
    </row>
    <row r="196" customFormat="false" ht="15" hidden="false" customHeight="false" outlineLevel="0" collapsed="false">
      <c r="A196" s="6" t="n">
        <v>195</v>
      </c>
      <c r="B196" s="6" t="s">
        <v>1895</v>
      </c>
      <c r="C196" s="6" t="n">
        <v>4</v>
      </c>
      <c r="D196" s="6" t="s">
        <v>142</v>
      </c>
      <c r="E196" s="6" t="s">
        <v>74</v>
      </c>
      <c r="F196" s="6" t="n">
        <v>2</v>
      </c>
      <c r="G196" s="6" t="n">
        <v>180</v>
      </c>
      <c r="H196" s="6" t="s">
        <v>1896</v>
      </c>
      <c r="I196" s="22" t="n">
        <v>2011000</v>
      </c>
      <c r="J196" s="22" t="n">
        <v>9000</v>
      </c>
      <c r="K196" s="22" t="n">
        <v>151500</v>
      </c>
      <c r="L196" s="22" t="n">
        <v>2171500</v>
      </c>
      <c r="M196" s="6" t="s">
        <v>57</v>
      </c>
      <c r="N196" s="6" t="s">
        <v>58</v>
      </c>
      <c r="O196" s="6"/>
      <c r="P196" s="6" t="s">
        <v>69</v>
      </c>
      <c r="Q196" s="6" t="str">
        <f aca="false">IF(P196="pass","No","Yes")</f>
        <v>No</v>
      </c>
      <c r="R196" s="6" t="s">
        <v>60</v>
      </c>
      <c r="S196" s="6"/>
      <c r="T196" s="6"/>
      <c r="U196" s="23" t="n">
        <v>21.363</v>
      </c>
      <c r="V196" s="6" t="s">
        <v>1897</v>
      </c>
      <c r="W196" s="6" t="s">
        <v>1898</v>
      </c>
      <c r="X196" s="6" t="s">
        <v>1899</v>
      </c>
      <c r="Y196" s="6" t="s">
        <v>60</v>
      </c>
      <c r="Z196" s="6" t="n">
        <v>0</v>
      </c>
      <c r="AA196" s="6" t="n">
        <v>0</v>
      </c>
      <c r="AB196" s="6" t="n">
        <v>0</v>
      </c>
      <c r="AC196" s="6" t="n">
        <v>0</v>
      </c>
      <c r="AD196" s="6" t="n">
        <v>0</v>
      </c>
      <c r="AE196" s="6" t="n">
        <v>0</v>
      </c>
      <c r="AF196" s="6" t="n">
        <v>0</v>
      </c>
      <c r="AG196" s="6" t="n">
        <v>0</v>
      </c>
      <c r="AH196" s="6" t="n">
        <v>0</v>
      </c>
      <c r="AI196" s="6" t="s">
        <v>84</v>
      </c>
    </row>
    <row r="197" customFormat="false" ht="15" hidden="false" customHeight="false" outlineLevel="0" collapsed="false">
      <c r="A197" s="6" t="n">
        <v>196</v>
      </c>
      <c r="B197" s="6" t="s">
        <v>1900</v>
      </c>
      <c r="C197" s="6" t="n">
        <v>4</v>
      </c>
      <c r="D197" s="6" t="s">
        <v>137</v>
      </c>
      <c r="E197" s="6" t="s">
        <v>55</v>
      </c>
      <c r="F197" s="6" t="n">
        <v>4</v>
      </c>
      <c r="G197" s="6" t="n">
        <v>404</v>
      </c>
      <c r="H197" s="6" t="s">
        <v>1901</v>
      </c>
      <c r="I197" s="22" t="n">
        <v>5907000</v>
      </c>
      <c r="J197" s="22" t="n">
        <v>6000</v>
      </c>
      <c r="K197" s="22" t="n">
        <v>443475</v>
      </c>
      <c r="L197" s="22" t="n">
        <v>6356475</v>
      </c>
      <c r="M197" s="6" t="s">
        <v>171</v>
      </c>
      <c r="N197" s="6" t="s">
        <v>84</v>
      </c>
      <c r="O197" s="6" t="s">
        <v>892</v>
      </c>
      <c r="P197" s="6" t="s">
        <v>85</v>
      </c>
      <c r="Q197" s="6" t="str">
        <f aca="false">IF(P197="pass","No","Yes")</f>
        <v>Yes</v>
      </c>
      <c r="R197" s="6" t="s">
        <v>86</v>
      </c>
      <c r="S197" s="6" t="s">
        <v>892</v>
      </c>
      <c r="T197" s="6" t="s">
        <v>1902</v>
      </c>
      <c r="U197" s="23" t="n">
        <v>22.457</v>
      </c>
      <c r="V197" s="6" t="s">
        <v>1903</v>
      </c>
      <c r="W197" s="6" t="s">
        <v>1904</v>
      </c>
      <c r="X197" s="6" t="s">
        <v>1905</v>
      </c>
      <c r="Y197" s="6" t="s">
        <v>86</v>
      </c>
      <c r="Z197" s="6" t="n">
        <v>0</v>
      </c>
      <c r="AA197" s="6" t="n">
        <v>0</v>
      </c>
      <c r="AB197" s="6" t="n">
        <v>0</v>
      </c>
      <c r="AC197" s="6" t="n">
        <v>1</v>
      </c>
      <c r="AD197" s="6" t="n">
        <v>0</v>
      </c>
      <c r="AE197" s="6" t="n">
        <v>0</v>
      </c>
      <c r="AF197" s="6" t="n">
        <v>0</v>
      </c>
      <c r="AG197" s="6" t="n">
        <v>0</v>
      </c>
      <c r="AH197" s="6" t="n">
        <v>0</v>
      </c>
      <c r="AI197" s="6" t="s">
        <v>84</v>
      </c>
    </row>
    <row r="198" customFormat="false" ht="15" hidden="false" customHeight="false" outlineLevel="0" collapsed="false">
      <c r="A198" s="6" t="n">
        <v>197</v>
      </c>
      <c r="B198" s="6" t="s">
        <v>1906</v>
      </c>
      <c r="C198" s="6" t="n">
        <v>4</v>
      </c>
      <c r="D198" s="6" t="s">
        <v>63</v>
      </c>
      <c r="E198" s="6" t="s">
        <v>67</v>
      </c>
      <c r="F198" s="6" t="n">
        <v>2</v>
      </c>
      <c r="G198" s="6" t="n">
        <v>19</v>
      </c>
      <c r="H198" s="6" t="s">
        <v>1907</v>
      </c>
      <c r="I198" s="22" t="n">
        <v>169700</v>
      </c>
      <c r="J198" s="22" t="n">
        <v>4500</v>
      </c>
      <c r="K198" s="22" t="n">
        <v>13065</v>
      </c>
      <c r="L198" s="22" t="n">
        <v>187265</v>
      </c>
      <c r="M198" s="6" t="s">
        <v>57</v>
      </c>
      <c r="N198" s="6" t="s">
        <v>58</v>
      </c>
      <c r="O198" s="6"/>
      <c r="P198" s="6" t="s">
        <v>69</v>
      </c>
      <c r="Q198" s="6" t="str">
        <f aca="false">IF(P198="pass","No","Yes")</f>
        <v>No</v>
      </c>
      <c r="R198" s="6" t="s">
        <v>60</v>
      </c>
      <c r="S198" s="6"/>
      <c r="T198" s="6"/>
      <c r="U198" s="23" t="n">
        <v>22.822</v>
      </c>
      <c r="V198" s="6" t="s">
        <v>1908</v>
      </c>
      <c r="W198" s="6" t="s">
        <v>1909</v>
      </c>
      <c r="X198" s="6" t="s">
        <v>1910</v>
      </c>
      <c r="Y198" s="6" t="s">
        <v>60</v>
      </c>
      <c r="Z198" s="6" t="n">
        <v>0</v>
      </c>
      <c r="AA198" s="6" t="n">
        <v>0</v>
      </c>
      <c r="AB198" s="6" t="n">
        <v>0</v>
      </c>
      <c r="AC198" s="6" t="n">
        <v>0</v>
      </c>
      <c r="AD198" s="6" t="n">
        <v>0</v>
      </c>
      <c r="AE198" s="6" t="n">
        <v>0</v>
      </c>
      <c r="AF198" s="6" t="n">
        <v>0</v>
      </c>
      <c r="AG198" s="6" t="n">
        <v>0</v>
      </c>
      <c r="AH198" s="6" t="n">
        <v>0</v>
      </c>
      <c r="AI198" s="6" t="s">
        <v>84</v>
      </c>
    </row>
    <row r="199" customFormat="false" ht="15" hidden="false" customHeight="false" outlineLevel="0" collapsed="false">
      <c r="A199" s="6" t="n">
        <v>198</v>
      </c>
      <c r="B199" s="6" t="s">
        <v>1911</v>
      </c>
      <c r="C199" s="6" t="n">
        <v>4</v>
      </c>
      <c r="D199" s="6" t="s">
        <v>191</v>
      </c>
      <c r="E199" s="6" t="s">
        <v>116</v>
      </c>
      <c r="F199" s="6" t="n">
        <v>2</v>
      </c>
      <c r="G199" s="6" t="n">
        <v>10</v>
      </c>
      <c r="H199" s="6" t="s">
        <v>1912</v>
      </c>
      <c r="I199" s="22" t="n">
        <v>312200</v>
      </c>
      <c r="J199" s="22" t="n">
        <v>15000</v>
      </c>
      <c r="K199" s="22" t="n">
        <v>24540</v>
      </c>
      <c r="L199" s="22" t="n">
        <v>351740</v>
      </c>
      <c r="M199" s="6" t="s">
        <v>57</v>
      </c>
      <c r="N199" s="6" t="s">
        <v>58</v>
      </c>
      <c r="O199" s="6"/>
      <c r="P199" s="6" t="s">
        <v>69</v>
      </c>
      <c r="Q199" s="6" t="str">
        <f aca="false">IF(P199="pass","No","Yes")</f>
        <v>No</v>
      </c>
      <c r="R199" s="6" t="s">
        <v>60</v>
      </c>
      <c r="S199" s="6"/>
      <c r="T199" s="6"/>
      <c r="U199" s="23" t="n">
        <v>14.187</v>
      </c>
      <c r="V199" s="6" t="s">
        <v>1913</v>
      </c>
      <c r="W199" s="6" t="s">
        <v>1914</v>
      </c>
      <c r="X199" s="6" t="s">
        <v>1915</v>
      </c>
      <c r="Y199" s="6" t="s">
        <v>60</v>
      </c>
      <c r="Z199" s="6" t="n">
        <v>0</v>
      </c>
      <c r="AA199" s="6" t="n">
        <v>0</v>
      </c>
      <c r="AB199" s="6" t="n">
        <v>0</v>
      </c>
      <c r="AC199" s="6" t="n">
        <v>0</v>
      </c>
      <c r="AD199" s="6" t="n">
        <v>0</v>
      </c>
      <c r="AE199" s="6" t="n">
        <v>0</v>
      </c>
      <c r="AF199" s="6" t="n">
        <v>0</v>
      </c>
      <c r="AG199" s="6" t="n">
        <v>0</v>
      </c>
      <c r="AH199" s="6" t="n">
        <v>0</v>
      </c>
      <c r="AI199" s="6" t="s">
        <v>84</v>
      </c>
    </row>
    <row r="200" customFormat="false" ht="15" hidden="false" customHeight="false" outlineLevel="0" collapsed="false">
      <c r="A200" s="6" t="n">
        <v>199</v>
      </c>
      <c r="B200" s="6" t="s">
        <v>1916</v>
      </c>
      <c r="C200" s="6" t="n">
        <v>4</v>
      </c>
      <c r="D200" s="6" t="s">
        <v>105</v>
      </c>
      <c r="E200" s="6" t="s">
        <v>81</v>
      </c>
      <c r="F200" s="6" t="n">
        <v>3</v>
      </c>
      <c r="G200" s="6" t="n">
        <v>157</v>
      </c>
      <c r="H200" s="6" t="s">
        <v>1917</v>
      </c>
      <c r="I200" s="22" t="n">
        <v>1619600</v>
      </c>
      <c r="J200" s="22" t="n">
        <v>4000</v>
      </c>
      <c r="K200" s="22" t="n">
        <v>121770</v>
      </c>
      <c r="L200" s="22" t="n">
        <v>1745370</v>
      </c>
      <c r="M200" s="6" t="s">
        <v>927</v>
      </c>
      <c r="N200" s="6" t="s">
        <v>58</v>
      </c>
      <c r="O200" s="6"/>
      <c r="P200" s="6" t="s">
        <v>59</v>
      </c>
      <c r="Q200" s="6" t="str">
        <f aca="false">IF(P200="pass","No","Yes")</f>
        <v>Yes</v>
      </c>
      <c r="R200" s="6" t="s">
        <v>60</v>
      </c>
      <c r="S200" s="6" t="s">
        <v>915</v>
      </c>
      <c r="T200" s="6" t="s">
        <v>1918</v>
      </c>
      <c r="U200" s="23" t="n">
        <v>28.498</v>
      </c>
      <c r="V200" s="6" t="s">
        <v>1919</v>
      </c>
      <c r="W200" s="6" t="s">
        <v>1920</v>
      </c>
      <c r="X200" s="6" t="s">
        <v>1921</v>
      </c>
      <c r="Y200" s="6" t="s">
        <v>60</v>
      </c>
      <c r="Z200" s="6" t="n">
        <v>0</v>
      </c>
      <c r="AA200" s="6" t="n">
        <v>0</v>
      </c>
      <c r="AB200" s="6" t="n">
        <v>0</v>
      </c>
      <c r="AC200" s="6" t="n">
        <v>0</v>
      </c>
      <c r="AD200" s="6" t="n">
        <v>0</v>
      </c>
      <c r="AE200" s="6" t="n">
        <v>0</v>
      </c>
      <c r="AF200" s="6" t="n">
        <v>0</v>
      </c>
      <c r="AG200" s="6" t="n">
        <v>0</v>
      </c>
      <c r="AH200" s="6" t="n">
        <v>1</v>
      </c>
      <c r="AI200" s="6" t="s">
        <v>84</v>
      </c>
    </row>
    <row r="201" customFormat="false" ht="15" hidden="false" customHeight="false" outlineLevel="0" collapsed="false">
      <c r="A201" s="6" t="n">
        <v>200</v>
      </c>
      <c r="B201" s="6" t="s">
        <v>1922</v>
      </c>
      <c r="C201" s="6" t="n">
        <v>4</v>
      </c>
      <c r="D201" s="6" t="s">
        <v>89</v>
      </c>
      <c r="E201" s="6" t="s">
        <v>146</v>
      </c>
      <c r="F201" s="6" t="n">
        <v>2</v>
      </c>
      <c r="G201" s="6" t="n">
        <v>38</v>
      </c>
      <c r="H201" s="6" t="s">
        <v>1923</v>
      </c>
      <c r="I201" s="22" t="n">
        <v>433000</v>
      </c>
      <c r="J201" s="22" t="n">
        <v>0</v>
      </c>
      <c r="K201" s="22" t="n">
        <v>32475</v>
      </c>
      <c r="L201" s="22" t="n">
        <v>465475</v>
      </c>
      <c r="M201" s="6" t="s">
        <v>148</v>
      </c>
      <c r="N201" s="6" t="s">
        <v>84</v>
      </c>
      <c r="O201" s="6" t="s">
        <v>866</v>
      </c>
      <c r="P201" s="6" t="s">
        <v>85</v>
      </c>
      <c r="Q201" s="6" t="str">
        <f aca="false">IF(P201="pass","No","Yes")</f>
        <v>Yes</v>
      </c>
      <c r="R201" s="6" t="s">
        <v>86</v>
      </c>
      <c r="S201" s="6" t="s">
        <v>866</v>
      </c>
      <c r="T201" s="6" t="s">
        <v>150</v>
      </c>
      <c r="U201" s="23" t="n">
        <v>14.463</v>
      </c>
      <c r="V201" s="6" t="s">
        <v>1924</v>
      </c>
      <c r="W201" s="6" t="s">
        <v>1925</v>
      </c>
      <c r="X201" s="6" t="s">
        <v>1926</v>
      </c>
      <c r="Y201" s="6" t="s">
        <v>86</v>
      </c>
      <c r="Z201" s="6" t="n">
        <v>1</v>
      </c>
      <c r="AA201" s="6" t="n">
        <v>0</v>
      </c>
      <c r="AB201" s="6" t="n">
        <v>0</v>
      </c>
      <c r="AC201" s="6" t="n">
        <v>0</v>
      </c>
      <c r="AD201" s="6" t="n">
        <v>0</v>
      </c>
      <c r="AE201" s="6" t="n">
        <v>0</v>
      </c>
      <c r="AF201" s="6" t="n">
        <v>0</v>
      </c>
      <c r="AG201" s="6" t="n">
        <v>0</v>
      </c>
      <c r="AH201" s="6" t="n">
        <v>0</v>
      </c>
      <c r="AI201" s="6" t="s">
        <v>84</v>
      </c>
    </row>
    <row r="202" customFormat="false" ht="15" hidden="false" customHeight="false" outlineLevel="0" collapsed="false">
      <c r="A202" s="6" t="n">
        <v>201</v>
      </c>
      <c r="B202" s="6" t="s">
        <v>1927</v>
      </c>
      <c r="C202" s="6" t="n">
        <v>5</v>
      </c>
      <c r="D202" s="6" t="s">
        <v>51</v>
      </c>
      <c r="E202" s="6" t="s">
        <v>55</v>
      </c>
      <c r="F202" s="6" t="n">
        <v>1</v>
      </c>
      <c r="G202" s="6" t="n">
        <v>17</v>
      </c>
      <c r="H202" s="6" t="s">
        <v>1928</v>
      </c>
      <c r="I202" s="22" t="n">
        <v>646000</v>
      </c>
      <c r="J202" s="22" t="n">
        <v>6000</v>
      </c>
      <c r="K202" s="22" t="n">
        <v>48900</v>
      </c>
      <c r="L202" s="22" t="n">
        <v>700900</v>
      </c>
      <c r="M202" s="6" t="s">
        <v>57</v>
      </c>
      <c r="N202" s="6" t="s">
        <v>58</v>
      </c>
      <c r="O202" s="6"/>
      <c r="P202" s="6" t="s">
        <v>69</v>
      </c>
      <c r="Q202" s="6" t="str">
        <f aca="false">IF(P202="pass","No","Yes")</f>
        <v>No</v>
      </c>
      <c r="R202" s="6" t="s">
        <v>60</v>
      </c>
      <c r="S202" s="6"/>
      <c r="T202" s="6"/>
      <c r="U202" s="23" t="n">
        <v>9.127</v>
      </c>
      <c r="V202" s="6" t="s">
        <v>1929</v>
      </c>
      <c r="W202" s="6" t="s">
        <v>1930</v>
      </c>
      <c r="X202" s="6" t="s">
        <v>1931</v>
      </c>
      <c r="Y202" s="6" t="s">
        <v>60</v>
      </c>
      <c r="Z202" s="6" t="n">
        <v>0</v>
      </c>
      <c r="AA202" s="6" t="n">
        <v>0</v>
      </c>
      <c r="AB202" s="6" t="n">
        <v>0</v>
      </c>
      <c r="AC202" s="6" t="n">
        <v>0</v>
      </c>
      <c r="AD202" s="6" t="n">
        <v>0</v>
      </c>
      <c r="AE202" s="6" t="n">
        <v>0</v>
      </c>
      <c r="AF202" s="6" t="n">
        <v>0</v>
      </c>
      <c r="AG202" s="6" t="n">
        <v>0</v>
      </c>
      <c r="AH202" s="6" t="n">
        <v>0</v>
      </c>
      <c r="AI202" s="6" t="s">
        <v>84</v>
      </c>
    </row>
    <row r="203" customFormat="false" ht="15" hidden="false" customHeight="false" outlineLevel="0" collapsed="false">
      <c r="A203" s="6" t="n">
        <v>202</v>
      </c>
      <c r="B203" s="6" t="s">
        <v>1932</v>
      </c>
      <c r="C203" s="6" t="n">
        <v>5</v>
      </c>
      <c r="D203" s="6" t="s">
        <v>105</v>
      </c>
      <c r="E203" s="6" t="s">
        <v>81</v>
      </c>
      <c r="F203" s="6" t="n">
        <v>4</v>
      </c>
      <c r="G203" s="6" t="n">
        <v>40</v>
      </c>
      <c r="H203" s="6" t="s">
        <v>1933</v>
      </c>
      <c r="I203" s="22" t="n">
        <v>475000</v>
      </c>
      <c r="J203" s="22" t="n">
        <v>4000</v>
      </c>
      <c r="K203" s="22" t="n">
        <v>35925</v>
      </c>
      <c r="L203" s="22" t="n">
        <v>514925</v>
      </c>
      <c r="M203" s="6" t="s">
        <v>83</v>
      </c>
      <c r="N203" s="6" t="s">
        <v>84</v>
      </c>
      <c r="O203" s="6" t="s">
        <v>886</v>
      </c>
      <c r="P203" s="6" t="s">
        <v>85</v>
      </c>
      <c r="Q203" s="6" t="str">
        <f aca="false">IF(P203="pass","No","Yes")</f>
        <v>Yes</v>
      </c>
      <c r="R203" s="6" t="s">
        <v>86</v>
      </c>
      <c r="S203" s="6" t="s">
        <v>886</v>
      </c>
      <c r="T203" s="6" t="s">
        <v>488</v>
      </c>
      <c r="U203" s="23" t="n">
        <v>42.303</v>
      </c>
      <c r="V203" s="6" t="s">
        <v>1934</v>
      </c>
      <c r="W203" s="6" t="s">
        <v>1935</v>
      </c>
      <c r="X203" s="6" t="s">
        <v>1936</v>
      </c>
      <c r="Y203" s="6" t="s">
        <v>86</v>
      </c>
      <c r="Z203" s="6" t="n">
        <v>0</v>
      </c>
      <c r="AA203" s="6" t="n">
        <v>0</v>
      </c>
      <c r="AB203" s="6" t="n">
        <v>1</v>
      </c>
      <c r="AC203" s="6" t="n">
        <v>0</v>
      </c>
      <c r="AD203" s="6" t="n">
        <v>0</v>
      </c>
      <c r="AE203" s="6" t="n">
        <v>0</v>
      </c>
      <c r="AF203" s="6" t="n">
        <v>0</v>
      </c>
      <c r="AG203" s="6" t="n">
        <v>0</v>
      </c>
      <c r="AH203" s="6" t="n">
        <v>0</v>
      </c>
      <c r="AI203" s="6" t="s">
        <v>84</v>
      </c>
    </row>
    <row r="204" customFormat="false" ht="15" hidden="false" customHeight="false" outlineLevel="0" collapsed="false">
      <c r="A204" s="6" t="n">
        <v>203</v>
      </c>
      <c r="B204" s="6" t="s">
        <v>1937</v>
      </c>
      <c r="C204" s="6" t="n">
        <v>5</v>
      </c>
      <c r="D204" s="6" t="s">
        <v>237</v>
      </c>
      <c r="E204" s="6" t="s">
        <v>116</v>
      </c>
      <c r="F204" s="6" t="n">
        <v>3</v>
      </c>
      <c r="G204" s="6" t="n">
        <v>173</v>
      </c>
      <c r="H204" s="6" t="s">
        <v>1938</v>
      </c>
      <c r="I204" s="22" t="n">
        <v>1918000</v>
      </c>
      <c r="J204" s="22" t="n">
        <v>15000</v>
      </c>
      <c r="K204" s="22" t="n">
        <v>144975</v>
      </c>
      <c r="L204" s="22" t="n">
        <v>2077975</v>
      </c>
      <c r="M204" s="6" t="s">
        <v>57</v>
      </c>
      <c r="N204" s="6" t="s">
        <v>58</v>
      </c>
      <c r="O204" s="6"/>
      <c r="P204" s="6" t="s">
        <v>59</v>
      </c>
      <c r="Q204" s="6" t="str">
        <f aca="false">IF(P204="pass","No","Yes")</f>
        <v>Yes</v>
      </c>
      <c r="R204" s="6" t="s">
        <v>60</v>
      </c>
      <c r="S204" s="6" t="s">
        <v>915</v>
      </c>
      <c r="T204" s="6" t="s">
        <v>1939</v>
      </c>
      <c r="U204" s="23" t="n">
        <v>38.074</v>
      </c>
      <c r="V204" s="6" t="s">
        <v>1940</v>
      </c>
      <c r="W204" s="6" t="s">
        <v>1941</v>
      </c>
      <c r="X204" s="6" t="s">
        <v>1942</v>
      </c>
      <c r="Y204" s="6" t="s">
        <v>60</v>
      </c>
      <c r="Z204" s="6" t="n">
        <v>0</v>
      </c>
      <c r="AA204" s="6" t="n">
        <v>0</v>
      </c>
      <c r="AB204" s="6" t="n">
        <v>0</v>
      </c>
      <c r="AC204" s="6" t="n">
        <v>0</v>
      </c>
      <c r="AD204" s="6" t="n">
        <v>0</v>
      </c>
      <c r="AE204" s="6" t="n">
        <v>0</v>
      </c>
      <c r="AF204" s="6" t="n">
        <v>0</v>
      </c>
      <c r="AG204" s="6" t="n">
        <v>0</v>
      </c>
      <c r="AH204" s="6" t="n">
        <v>1</v>
      </c>
      <c r="AI204" s="6" t="s">
        <v>84</v>
      </c>
    </row>
    <row r="205" customFormat="false" ht="15" hidden="false" customHeight="false" outlineLevel="0" collapsed="false">
      <c r="A205" s="6" t="n">
        <v>204</v>
      </c>
      <c r="B205" s="6" t="s">
        <v>1943</v>
      </c>
      <c r="C205" s="6" t="n">
        <v>5</v>
      </c>
      <c r="D205" s="6" t="s">
        <v>186</v>
      </c>
      <c r="E205" s="6" t="s">
        <v>123</v>
      </c>
      <c r="F205" s="6" t="n">
        <v>2</v>
      </c>
      <c r="G205" s="6" t="n">
        <v>407</v>
      </c>
      <c r="H205" s="6" t="s">
        <v>1944</v>
      </c>
      <c r="I205" s="22" t="n">
        <v>5746500</v>
      </c>
      <c r="J205" s="22" t="n">
        <v>5000</v>
      </c>
      <c r="K205" s="22" t="n">
        <v>431362.5</v>
      </c>
      <c r="L205" s="22" t="n">
        <v>6182862.5</v>
      </c>
      <c r="M205" s="6" t="s">
        <v>171</v>
      </c>
      <c r="N205" s="6" t="s">
        <v>84</v>
      </c>
      <c r="O205" s="6" t="s">
        <v>892</v>
      </c>
      <c r="P205" s="6" t="s">
        <v>85</v>
      </c>
      <c r="Q205" s="6" t="str">
        <f aca="false">IF(P205="pass","No","Yes")</f>
        <v>Yes</v>
      </c>
      <c r="R205" s="6" t="s">
        <v>86</v>
      </c>
      <c r="S205" s="6" t="s">
        <v>892</v>
      </c>
      <c r="T205" s="6" t="s">
        <v>1902</v>
      </c>
      <c r="U205" s="23" t="n">
        <v>22.268</v>
      </c>
      <c r="V205" s="6" t="s">
        <v>1945</v>
      </c>
      <c r="W205" s="6" t="s">
        <v>1946</v>
      </c>
      <c r="X205" s="6" t="s">
        <v>1947</v>
      </c>
      <c r="Y205" s="6" t="s">
        <v>86</v>
      </c>
      <c r="Z205" s="6" t="n">
        <v>0</v>
      </c>
      <c r="AA205" s="6" t="n">
        <v>0</v>
      </c>
      <c r="AB205" s="6" t="n">
        <v>0</v>
      </c>
      <c r="AC205" s="6" t="n">
        <v>1</v>
      </c>
      <c r="AD205" s="6" t="n">
        <v>0</v>
      </c>
      <c r="AE205" s="6" t="n">
        <v>0</v>
      </c>
      <c r="AF205" s="6" t="n">
        <v>0</v>
      </c>
      <c r="AG205" s="6" t="n">
        <v>0</v>
      </c>
      <c r="AH205" s="6" t="n">
        <v>0</v>
      </c>
      <c r="AI205" s="6" t="s">
        <v>84</v>
      </c>
    </row>
    <row r="206" customFormat="false" ht="15" hidden="false" customHeight="false" outlineLevel="0" collapsed="false">
      <c r="A206" s="6" t="n">
        <v>205</v>
      </c>
      <c r="B206" s="6" t="s">
        <v>1948</v>
      </c>
      <c r="C206" s="6" t="n">
        <v>5</v>
      </c>
      <c r="D206" s="6" t="s">
        <v>77</v>
      </c>
      <c r="E206" s="6" t="s">
        <v>81</v>
      </c>
      <c r="F206" s="6" t="n">
        <v>2</v>
      </c>
      <c r="G206" s="6" t="n">
        <v>35</v>
      </c>
      <c r="H206" s="6" t="s">
        <v>1949</v>
      </c>
      <c r="I206" s="22" t="n">
        <v>507500</v>
      </c>
      <c r="J206" s="22" t="n">
        <v>4000</v>
      </c>
      <c r="K206" s="22" t="n">
        <v>38362.5</v>
      </c>
      <c r="L206" s="22" t="n">
        <v>549862.5</v>
      </c>
      <c r="M206" s="6" t="s">
        <v>272</v>
      </c>
      <c r="N206" s="6" t="s">
        <v>84</v>
      </c>
      <c r="O206" s="6" t="s">
        <v>879</v>
      </c>
      <c r="P206" s="6" t="s">
        <v>85</v>
      </c>
      <c r="Q206" s="6" t="str">
        <f aca="false">IF(P206="pass","No","Yes")</f>
        <v>Yes</v>
      </c>
      <c r="R206" s="6" t="s">
        <v>86</v>
      </c>
      <c r="S206" s="6" t="s">
        <v>879</v>
      </c>
      <c r="T206" s="6" t="s">
        <v>1950</v>
      </c>
      <c r="U206" s="23" t="n">
        <v>8.855</v>
      </c>
      <c r="V206" s="6" t="s">
        <v>1951</v>
      </c>
      <c r="W206" s="6" t="s">
        <v>1952</v>
      </c>
      <c r="X206" s="6" t="s">
        <v>1953</v>
      </c>
      <c r="Y206" s="6" t="s">
        <v>86</v>
      </c>
      <c r="Z206" s="6" t="n">
        <v>0</v>
      </c>
      <c r="AA206" s="6" t="n">
        <v>1</v>
      </c>
      <c r="AB206" s="6" t="n">
        <v>0</v>
      </c>
      <c r="AC206" s="6" t="n">
        <v>0</v>
      </c>
      <c r="AD206" s="6" t="n">
        <v>0</v>
      </c>
      <c r="AE206" s="6" t="n">
        <v>0</v>
      </c>
      <c r="AF206" s="6" t="n">
        <v>0</v>
      </c>
      <c r="AG206" s="6" t="n">
        <v>0</v>
      </c>
      <c r="AH206" s="6" t="n">
        <v>0</v>
      </c>
      <c r="AI206" s="6" t="s">
        <v>84</v>
      </c>
    </row>
    <row r="207" customFormat="false" ht="15" hidden="false" customHeight="false" outlineLevel="0" collapsed="false">
      <c r="A207" s="6" t="n">
        <v>206</v>
      </c>
      <c r="B207" s="6" t="s">
        <v>1954</v>
      </c>
      <c r="C207" s="6" t="n">
        <v>5</v>
      </c>
      <c r="D207" s="6" t="s">
        <v>100</v>
      </c>
      <c r="E207" s="6" t="s">
        <v>67</v>
      </c>
      <c r="F207" s="6" t="n">
        <v>2</v>
      </c>
      <c r="G207" s="6" t="n">
        <v>111</v>
      </c>
      <c r="H207" s="6" t="s">
        <v>1955</v>
      </c>
      <c r="I207" s="22" t="n">
        <v>978400</v>
      </c>
      <c r="J207" s="22" t="n">
        <v>4500</v>
      </c>
      <c r="K207" s="22" t="n">
        <v>73717.5</v>
      </c>
      <c r="L207" s="22" t="n">
        <v>1056617.5</v>
      </c>
      <c r="M207" s="6" t="s">
        <v>57</v>
      </c>
      <c r="N207" s="6" t="s">
        <v>58</v>
      </c>
      <c r="O207" s="6"/>
      <c r="P207" s="6" t="s">
        <v>59</v>
      </c>
      <c r="Q207" s="6" t="str">
        <f aca="false">IF(P207="pass","No","Yes")</f>
        <v>Yes</v>
      </c>
      <c r="R207" s="6" t="s">
        <v>60</v>
      </c>
      <c r="S207" s="6" t="s">
        <v>915</v>
      </c>
      <c r="T207" s="6" t="s">
        <v>1956</v>
      </c>
      <c r="U207" s="23" t="n">
        <v>25.109</v>
      </c>
      <c r="V207" s="6" t="s">
        <v>1957</v>
      </c>
      <c r="W207" s="6" t="s">
        <v>1958</v>
      </c>
      <c r="X207" s="6" t="s">
        <v>1959</v>
      </c>
      <c r="Y207" s="6" t="s">
        <v>60</v>
      </c>
      <c r="Z207" s="6" t="n">
        <v>0</v>
      </c>
      <c r="AA207" s="6" t="n">
        <v>0</v>
      </c>
      <c r="AB207" s="6" t="n">
        <v>0</v>
      </c>
      <c r="AC207" s="6" t="n">
        <v>0</v>
      </c>
      <c r="AD207" s="6" t="n">
        <v>0</v>
      </c>
      <c r="AE207" s="6" t="n">
        <v>0</v>
      </c>
      <c r="AF207" s="6" t="n">
        <v>0</v>
      </c>
      <c r="AG207" s="6" t="n">
        <v>0</v>
      </c>
      <c r="AH207" s="6" t="n">
        <v>1</v>
      </c>
      <c r="AI207" s="6" t="s">
        <v>84</v>
      </c>
    </row>
    <row r="208" customFormat="false" ht="15" hidden="false" customHeight="false" outlineLevel="0" collapsed="false">
      <c r="A208" s="6" t="n">
        <v>207</v>
      </c>
      <c r="B208" s="6" t="s">
        <v>1960</v>
      </c>
      <c r="C208" s="6" t="n">
        <v>5</v>
      </c>
      <c r="D208" s="6" t="s">
        <v>191</v>
      </c>
      <c r="E208" s="6" t="s">
        <v>116</v>
      </c>
      <c r="F208" s="6" t="n">
        <v>2</v>
      </c>
      <c r="G208" s="6" t="n">
        <v>68</v>
      </c>
      <c r="H208" s="6" t="s">
        <v>1961</v>
      </c>
      <c r="I208" s="22" t="n">
        <v>1432500</v>
      </c>
      <c r="J208" s="22" t="n">
        <v>15000</v>
      </c>
      <c r="K208" s="22" t="n">
        <v>108562.5</v>
      </c>
      <c r="L208" s="22" t="n">
        <v>1556062.5</v>
      </c>
      <c r="M208" s="6" t="s">
        <v>57</v>
      </c>
      <c r="N208" s="6" t="s">
        <v>58</v>
      </c>
      <c r="O208" s="6"/>
      <c r="P208" s="6" t="s">
        <v>69</v>
      </c>
      <c r="Q208" s="6" t="str">
        <f aca="false">IF(P208="pass","No","Yes")</f>
        <v>No</v>
      </c>
      <c r="R208" s="6" t="s">
        <v>60</v>
      </c>
      <c r="S208" s="6"/>
      <c r="T208" s="6"/>
      <c r="U208" s="23" t="n">
        <v>14.279</v>
      </c>
      <c r="V208" s="6" t="s">
        <v>1962</v>
      </c>
      <c r="W208" s="6" t="s">
        <v>1963</v>
      </c>
      <c r="X208" s="6" t="s">
        <v>1964</v>
      </c>
      <c r="Y208" s="6" t="s">
        <v>60</v>
      </c>
      <c r="Z208" s="6" t="n">
        <v>0</v>
      </c>
      <c r="AA208" s="6" t="n">
        <v>0</v>
      </c>
      <c r="AB208" s="6" t="n">
        <v>0</v>
      </c>
      <c r="AC208" s="6" t="n">
        <v>0</v>
      </c>
      <c r="AD208" s="6" t="n">
        <v>0</v>
      </c>
      <c r="AE208" s="6" t="n">
        <v>0</v>
      </c>
      <c r="AF208" s="6" t="n">
        <v>0</v>
      </c>
      <c r="AG208" s="6" t="n">
        <v>0</v>
      </c>
      <c r="AH208" s="6" t="n">
        <v>0</v>
      </c>
      <c r="AI208" s="6" t="s">
        <v>84</v>
      </c>
    </row>
    <row r="209" customFormat="false" ht="15" hidden="false" customHeight="false" outlineLevel="0" collapsed="false">
      <c r="A209" s="6" t="n">
        <v>208</v>
      </c>
      <c r="B209" s="6" t="s">
        <v>1965</v>
      </c>
      <c r="C209" s="6" t="n">
        <v>5</v>
      </c>
      <c r="D209" s="6" t="s">
        <v>89</v>
      </c>
      <c r="E209" s="6" t="s">
        <v>67</v>
      </c>
      <c r="F209" s="6" t="n">
        <v>2</v>
      </c>
      <c r="G209" s="6" t="n">
        <v>27</v>
      </c>
      <c r="H209" s="6" t="s">
        <v>1966</v>
      </c>
      <c r="I209" s="22" t="n">
        <v>349800</v>
      </c>
      <c r="J209" s="22" t="n">
        <v>4500</v>
      </c>
      <c r="K209" s="22" t="n">
        <v>26572.5</v>
      </c>
      <c r="L209" s="22" t="n">
        <v>380872.5</v>
      </c>
      <c r="M209" s="6" t="s">
        <v>1009</v>
      </c>
      <c r="N209" s="6" t="s">
        <v>58</v>
      </c>
      <c r="O209" s="6"/>
      <c r="P209" s="6" t="s">
        <v>69</v>
      </c>
      <c r="Q209" s="6" t="str">
        <f aca="false">IF(P209="pass","No","Yes")</f>
        <v>No</v>
      </c>
      <c r="R209" s="6" t="s">
        <v>60</v>
      </c>
      <c r="S209" s="6"/>
      <c r="T209" s="6"/>
      <c r="U209" s="23" t="n">
        <v>14.922</v>
      </c>
      <c r="V209" s="6" t="s">
        <v>1967</v>
      </c>
      <c r="W209" s="6" t="s">
        <v>1968</v>
      </c>
      <c r="X209" s="6" t="s">
        <v>1969</v>
      </c>
      <c r="Y209" s="6" t="s">
        <v>60</v>
      </c>
      <c r="Z209" s="6" t="n">
        <v>0</v>
      </c>
      <c r="AA209" s="6" t="n">
        <v>0</v>
      </c>
      <c r="AB209" s="6" t="n">
        <v>0</v>
      </c>
      <c r="AC209" s="6" t="n">
        <v>0</v>
      </c>
      <c r="AD209" s="6" t="n">
        <v>0</v>
      </c>
      <c r="AE209" s="6" t="n">
        <v>0</v>
      </c>
      <c r="AF209" s="6" t="n">
        <v>0</v>
      </c>
      <c r="AG209" s="6" t="n">
        <v>0</v>
      </c>
      <c r="AH209" s="6" t="n">
        <v>0</v>
      </c>
      <c r="AI209" s="6" t="s">
        <v>84</v>
      </c>
    </row>
    <row r="210" customFormat="false" ht="15" hidden="false" customHeight="false" outlineLevel="0" collapsed="false">
      <c r="A210" s="6" t="n">
        <v>209</v>
      </c>
      <c r="B210" s="6" t="s">
        <v>1970</v>
      </c>
      <c r="C210" s="6" t="n">
        <v>5</v>
      </c>
      <c r="D210" s="6" t="s">
        <v>186</v>
      </c>
      <c r="E210" s="6" t="s">
        <v>123</v>
      </c>
      <c r="F210" s="6" t="n">
        <v>4</v>
      </c>
      <c r="G210" s="6" t="n">
        <v>34</v>
      </c>
      <c r="H210" s="6" t="s">
        <v>1971</v>
      </c>
      <c r="I210" s="22" t="n">
        <v>373000</v>
      </c>
      <c r="J210" s="22" t="n">
        <v>5000</v>
      </c>
      <c r="K210" s="22" t="n">
        <v>28350</v>
      </c>
      <c r="L210" s="22" t="n">
        <v>406350</v>
      </c>
      <c r="M210" s="6" t="s">
        <v>152</v>
      </c>
      <c r="N210" s="6" t="s">
        <v>84</v>
      </c>
      <c r="O210" s="6" t="s">
        <v>886</v>
      </c>
      <c r="P210" s="6" t="s">
        <v>85</v>
      </c>
      <c r="Q210" s="6" t="str">
        <f aca="false">IF(P210="pass","No","Yes")</f>
        <v>Yes</v>
      </c>
      <c r="R210" s="6" t="s">
        <v>86</v>
      </c>
      <c r="S210" s="6" t="s">
        <v>886</v>
      </c>
      <c r="T210" s="6" t="s">
        <v>336</v>
      </c>
      <c r="U210" s="23" t="n">
        <v>20.615</v>
      </c>
      <c r="V210" s="6" t="s">
        <v>1972</v>
      </c>
      <c r="W210" s="6" t="s">
        <v>1973</v>
      </c>
      <c r="X210" s="6" t="s">
        <v>1974</v>
      </c>
      <c r="Y210" s="6" t="s">
        <v>86</v>
      </c>
      <c r="Z210" s="6" t="n">
        <v>0</v>
      </c>
      <c r="AA210" s="6" t="n">
        <v>0</v>
      </c>
      <c r="AB210" s="6" t="n">
        <v>1</v>
      </c>
      <c r="AC210" s="6" t="n">
        <v>0</v>
      </c>
      <c r="AD210" s="6" t="n">
        <v>0</v>
      </c>
      <c r="AE210" s="6" t="n">
        <v>0</v>
      </c>
      <c r="AF210" s="6" t="n">
        <v>0</v>
      </c>
      <c r="AG210" s="6" t="n">
        <v>0</v>
      </c>
      <c r="AH210" s="6" t="n">
        <v>0</v>
      </c>
      <c r="AI210" s="6" t="s">
        <v>84</v>
      </c>
    </row>
    <row r="211" customFormat="false" ht="15" hidden="false" customHeight="false" outlineLevel="0" collapsed="false">
      <c r="A211" s="6" t="n">
        <v>210</v>
      </c>
      <c r="B211" s="6" t="s">
        <v>1975</v>
      </c>
      <c r="C211" s="6" t="n">
        <v>5</v>
      </c>
      <c r="D211" s="6" t="s">
        <v>191</v>
      </c>
      <c r="E211" s="6" t="s">
        <v>116</v>
      </c>
      <c r="F211" s="6" t="n">
        <v>2</v>
      </c>
      <c r="G211" s="6" t="n">
        <v>68</v>
      </c>
      <c r="H211" s="6" t="s">
        <v>1961</v>
      </c>
      <c r="I211" s="22" t="n">
        <v>1432500</v>
      </c>
      <c r="J211" s="22" t="n">
        <v>15000</v>
      </c>
      <c r="K211" s="22" t="n">
        <v>108562.5</v>
      </c>
      <c r="L211" s="22" t="n">
        <v>1556062.5</v>
      </c>
      <c r="M211" s="6" t="s">
        <v>97</v>
      </c>
      <c r="N211" s="6" t="s">
        <v>84</v>
      </c>
      <c r="O211" s="6" t="s">
        <v>1185</v>
      </c>
      <c r="P211" s="6" t="s">
        <v>59</v>
      </c>
      <c r="Q211" s="6" t="str">
        <f aca="false">IF(P211="pass","No","Yes")</f>
        <v>Yes</v>
      </c>
      <c r="R211" s="6" t="s">
        <v>98</v>
      </c>
      <c r="S211" s="6" t="s">
        <v>1185</v>
      </c>
      <c r="T211" s="6" t="s">
        <v>1976</v>
      </c>
      <c r="U211" s="23" t="n">
        <v>12.504</v>
      </c>
      <c r="V211" s="6" t="s">
        <v>1977</v>
      </c>
      <c r="W211" s="6"/>
      <c r="X211" s="6" t="s">
        <v>1977</v>
      </c>
      <c r="Y211" s="6" t="s">
        <v>98</v>
      </c>
      <c r="Z211" s="6" t="n">
        <v>0</v>
      </c>
      <c r="AA211" s="6" t="n">
        <v>0</v>
      </c>
      <c r="AB211" s="6" t="n">
        <v>0</v>
      </c>
      <c r="AC211" s="6" t="n">
        <v>0</v>
      </c>
      <c r="AD211" s="6" t="n">
        <v>0</v>
      </c>
      <c r="AE211" s="6" t="n">
        <v>0</v>
      </c>
      <c r="AF211" s="6" t="n">
        <v>0</v>
      </c>
      <c r="AG211" s="6" t="n">
        <v>1</v>
      </c>
      <c r="AH211" s="6" t="n">
        <v>0</v>
      </c>
      <c r="AI211" s="6" t="s">
        <v>84</v>
      </c>
    </row>
    <row r="212" customFormat="false" ht="15" hidden="false" customHeight="false" outlineLevel="0" collapsed="false">
      <c r="A212" s="6" t="n">
        <v>211</v>
      </c>
      <c r="B212" s="6" t="s">
        <v>1978</v>
      </c>
      <c r="C212" s="6" t="n">
        <v>5</v>
      </c>
      <c r="D212" s="6" t="s">
        <v>137</v>
      </c>
      <c r="E212" s="6" t="s">
        <v>55</v>
      </c>
      <c r="F212" s="6" t="n">
        <v>1</v>
      </c>
      <c r="G212" s="6" t="n">
        <v>28</v>
      </c>
      <c r="H212" s="6" t="s">
        <v>1979</v>
      </c>
      <c r="I212" s="22" t="n">
        <v>266000</v>
      </c>
      <c r="J212" s="22" t="n">
        <v>6000</v>
      </c>
      <c r="K212" s="22" t="n">
        <v>20400</v>
      </c>
      <c r="L212" s="22" t="n">
        <v>292400</v>
      </c>
      <c r="M212" s="6" t="s">
        <v>94</v>
      </c>
      <c r="N212" s="6" t="s">
        <v>84</v>
      </c>
      <c r="O212" s="6" t="s">
        <v>909</v>
      </c>
      <c r="P212" s="6" t="s">
        <v>85</v>
      </c>
      <c r="Q212" s="6" t="str">
        <f aca="false">IF(P212="pass","No","Yes")</f>
        <v>Yes</v>
      </c>
      <c r="R212" s="6" t="s">
        <v>86</v>
      </c>
      <c r="S212" s="6" t="s">
        <v>909</v>
      </c>
      <c r="T212" s="6" t="s">
        <v>254</v>
      </c>
      <c r="U212" s="23" t="n">
        <v>18.283</v>
      </c>
      <c r="V212" s="6" t="s">
        <v>1980</v>
      </c>
      <c r="W212" s="6" t="s">
        <v>1981</v>
      </c>
      <c r="X212" s="6" t="s">
        <v>1982</v>
      </c>
      <c r="Y212" s="6" t="s">
        <v>86</v>
      </c>
      <c r="Z212" s="6" t="n">
        <v>0</v>
      </c>
      <c r="AA212" s="6" t="n">
        <v>0</v>
      </c>
      <c r="AB212" s="6" t="n">
        <v>0</v>
      </c>
      <c r="AC212" s="6" t="n">
        <v>0</v>
      </c>
      <c r="AD212" s="6" t="n">
        <v>0</v>
      </c>
      <c r="AE212" s="6" t="n">
        <v>0</v>
      </c>
      <c r="AF212" s="6" t="n">
        <v>1</v>
      </c>
      <c r="AG212" s="6" t="n">
        <v>0</v>
      </c>
      <c r="AH212" s="6" t="n">
        <v>0</v>
      </c>
      <c r="AI212" s="6" t="s">
        <v>84</v>
      </c>
    </row>
    <row r="213" customFormat="false" ht="15" hidden="false" customHeight="false" outlineLevel="0" collapsed="false">
      <c r="A213" s="6" t="n">
        <v>212</v>
      </c>
      <c r="B213" s="6" t="s">
        <v>1983</v>
      </c>
      <c r="C213" s="6" t="n">
        <v>5</v>
      </c>
      <c r="D213" s="6" t="s">
        <v>186</v>
      </c>
      <c r="E213" s="6" t="s">
        <v>123</v>
      </c>
      <c r="F213" s="6" t="n">
        <v>3</v>
      </c>
      <c r="G213" s="6" t="n">
        <v>74</v>
      </c>
      <c r="H213" s="6" t="s">
        <v>1984</v>
      </c>
      <c r="I213" s="22" t="n">
        <v>1242000</v>
      </c>
      <c r="J213" s="22" t="n">
        <v>5000</v>
      </c>
      <c r="K213" s="22" t="n">
        <v>93525</v>
      </c>
      <c r="L213" s="22" t="n">
        <v>1340525</v>
      </c>
      <c r="M213" s="6" t="s">
        <v>57</v>
      </c>
      <c r="N213" s="6" t="s">
        <v>58</v>
      </c>
      <c r="O213" s="6"/>
      <c r="P213" s="6" t="s">
        <v>69</v>
      </c>
      <c r="Q213" s="6" t="str">
        <f aca="false">IF(P213="pass","No","Yes")</f>
        <v>No</v>
      </c>
      <c r="R213" s="6" t="s">
        <v>60</v>
      </c>
      <c r="S213" s="6"/>
      <c r="T213" s="6"/>
      <c r="U213" s="23" t="n">
        <v>20.363</v>
      </c>
      <c r="V213" s="6" t="s">
        <v>1985</v>
      </c>
      <c r="W213" s="6" t="s">
        <v>1986</v>
      </c>
      <c r="X213" s="6" t="s">
        <v>1987</v>
      </c>
      <c r="Y213" s="6" t="s">
        <v>60</v>
      </c>
      <c r="Z213" s="6" t="n">
        <v>0</v>
      </c>
      <c r="AA213" s="6" t="n">
        <v>0</v>
      </c>
      <c r="AB213" s="6" t="n">
        <v>0</v>
      </c>
      <c r="AC213" s="6" t="n">
        <v>0</v>
      </c>
      <c r="AD213" s="6" t="n">
        <v>0</v>
      </c>
      <c r="AE213" s="6" t="n">
        <v>0</v>
      </c>
      <c r="AF213" s="6" t="n">
        <v>0</v>
      </c>
      <c r="AG213" s="6" t="n">
        <v>0</v>
      </c>
      <c r="AH213" s="6" t="n">
        <v>0</v>
      </c>
      <c r="AI213" s="6" t="s">
        <v>84</v>
      </c>
    </row>
    <row r="214" customFormat="false" ht="15" hidden="false" customHeight="false" outlineLevel="0" collapsed="false">
      <c r="A214" s="6" t="n">
        <v>213</v>
      </c>
      <c r="B214" s="6" t="s">
        <v>1988</v>
      </c>
      <c r="C214" s="6" t="n">
        <v>5</v>
      </c>
      <c r="D214" s="6" t="s">
        <v>137</v>
      </c>
      <c r="E214" s="6" t="s">
        <v>55</v>
      </c>
      <c r="F214" s="6" t="n">
        <v>3</v>
      </c>
      <c r="G214" s="6" t="n">
        <v>96</v>
      </c>
      <c r="H214" s="6" t="s">
        <v>1989</v>
      </c>
      <c r="I214" s="22" t="n">
        <v>1263200</v>
      </c>
      <c r="J214" s="22" t="n">
        <v>6000</v>
      </c>
      <c r="K214" s="22" t="n">
        <v>95190</v>
      </c>
      <c r="L214" s="22" t="n">
        <v>1364390</v>
      </c>
      <c r="M214" s="6" t="s">
        <v>1009</v>
      </c>
      <c r="N214" s="6" t="s">
        <v>58</v>
      </c>
      <c r="O214" s="6"/>
      <c r="P214" s="6" t="s">
        <v>69</v>
      </c>
      <c r="Q214" s="6" t="str">
        <f aca="false">IF(P214="pass","No","Yes")</f>
        <v>No</v>
      </c>
      <c r="R214" s="6" t="s">
        <v>60</v>
      </c>
      <c r="S214" s="6"/>
      <c r="T214" s="6"/>
      <c r="U214" s="23" t="n">
        <v>20.456</v>
      </c>
      <c r="V214" s="6" t="s">
        <v>1990</v>
      </c>
      <c r="W214" s="6" t="s">
        <v>1991</v>
      </c>
      <c r="X214" s="6" t="s">
        <v>1992</v>
      </c>
      <c r="Y214" s="6" t="s">
        <v>60</v>
      </c>
      <c r="Z214" s="6" t="n">
        <v>0</v>
      </c>
      <c r="AA214" s="6" t="n">
        <v>0</v>
      </c>
      <c r="AB214" s="6" t="n">
        <v>0</v>
      </c>
      <c r="AC214" s="6" t="n">
        <v>0</v>
      </c>
      <c r="AD214" s="6" t="n">
        <v>0</v>
      </c>
      <c r="AE214" s="6" t="n">
        <v>0</v>
      </c>
      <c r="AF214" s="6" t="n">
        <v>0</v>
      </c>
      <c r="AG214" s="6" t="n">
        <v>0</v>
      </c>
      <c r="AH214" s="6" t="n">
        <v>0</v>
      </c>
      <c r="AI214" s="6" t="s">
        <v>84</v>
      </c>
    </row>
    <row r="215" customFormat="false" ht="15" hidden="false" customHeight="false" outlineLevel="0" collapsed="false">
      <c r="A215" s="6" t="n">
        <v>214</v>
      </c>
      <c r="B215" s="6" t="s">
        <v>1993</v>
      </c>
      <c r="C215" s="6" t="n">
        <v>5</v>
      </c>
      <c r="D215" s="6" t="s">
        <v>77</v>
      </c>
      <c r="E215" s="6" t="s">
        <v>81</v>
      </c>
      <c r="F215" s="6" t="n">
        <v>1</v>
      </c>
      <c r="G215" s="6" t="n">
        <v>10</v>
      </c>
      <c r="H215" s="6" t="s">
        <v>903</v>
      </c>
      <c r="I215" s="22" t="n">
        <v>380000</v>
      </c>
      <c r="J215" s="22" t="n">
        <v>4000</v>
      </c>
      <c r="K215" s="22" t="n">
        <v>28800</v>
      </c>
      <c r="L215" s="22" t="n">
        <v>412800</v>
      </c>
      <c r="M215" s="6" t="s">
        <v>224</v>
      </c>
      <c r="N215" s="6" t="s">
        <v>84</v>
      </c>
      <c r="O215" s="6" t="s">
        <v>866</v>
      </c>
      <c r="P215" s="6" t="s">
        <v>85</v>
      </c>
      <c r="Q215" s="6" t="str">
        <f aca="false">IF(P215="pass","No","Yes")</f>
        <v>Yes</v>
      </c>
      <c r="R215" s="6" t="s">
        <v>86</v>
      </c>
      <c r="S215" s="6" t="s">
        <v>866</v>
      </c>
      <c r="T215" s="6" t="s">
        <v>225</v>
      </c>
      <c r="U215" s="23" t="n">
        <v>9.307</v>
      </c>
      <c r="V215" s="6" t="s">
        <v>1994</v>
      </c>
      <c r="W215" s="6" t="s">
        <v>1995</v>
      </c>
      <c r="X215" s="6" t="s">
        <v>1996</v>
      </c>
      <c r="Y215" s="6" t="s">
        <v>86</v>
      </c>
      <c r="Z215" s="6" t="n">
        <v>1</v>
      </c>
      <c r="AA215" s="6" t="n">
        <v>0</v>
      </c>
      <c r="AB215" s="6" t="n">
        <v>0</v>
      </c>
      <c r="AC215" s="6" t="n">
        <v>0</v>
      </c>
      <c r="AD215" s="6" t="n">
        <v>0</v>
      </c>
      <c r="AE215" s="6" t="n">
        <v>0</v>
      </c>
      <c r="AF215" s="6" t="n">
        <v>0</v>
      </c>
      <c r="AG215" s="6" t="n">
        <v>0</v>
      </c>
      <c r="AH215" s="6" t="n">
        <v>0</v>
      </c>
      <c r="AI215" s="6" t="s">
        <v>58</v>
      </c>
    </row>
    <row r="216" customFormat="false" ht="15" hidden="false" customHeight="false" outlineLevel="0" collapsed="false">
      <c r="A216" s="6" t="n">
        <v>215</v>
      </c>
      <c r="B216" s="6" t="s">
        <v>1997</v>
      </c>
      <c r="C216" s="6" t="n">
        <v>5</v>
      </c>
      <c r="D216" s="6" t="s">
        <v>186</v>
      </c>
      <c r="E216" s="6" t="s">
        <v>123</v>
      </c>
      <c r="F216" s="6" t="n">
        <v>3</v>
      </c>
      <c r="G216" s="6" t="n">
        <v>74</v>
      </c>
      <c r="H216" s="6" t="s">
        <v>1984</v>
      </c>
      <c r="I216" s="22" t="n">
        <v>1242000</v>
      </c>
      <c r="J216" s="22" t="n">
        <v>5000</v>
      </c>
      <c r="K216" s="22" t="n">
        <v>93525</v>
      </c>
      <c r="L216" s="22" t="n">
        <v>1340525</v>
      </c>
      <c r="M216" s="6" t="s">
        <v>97</v>
      </c>
      <c r="N216" s="6" t="s">
        <v>84</v>
      </c>
      <c r="O216" s="6" t="s">
        <v>1185</v>
      </c>
      <c r="P216" s="6" t="s">
        <v>59</v>
      </c>
      <c r="Q216" s="6" t="str">
        <f aca="false">IF(P216="pass","No","Yes")</f>
        <v>Yes</v>
      </c>
      <c r="R216" s="6" t="s">
        <v>98</v>
      </c>
      <c r="S216" s="6" t="s">
        <v>1185</v>
      </c>
      <c r="T216" s="6" t="s">
        <v>1998</v>
      </c>
      <c r="U216" s="23" t="n">
        <v>18.985</v>
      </c>
      <c r="V216" s="6" t="s">
        <v>1999</v>
      </c>
      <c r="W216" s="6"/>
      <c r="X216" s="6" t="s">
        <v>1999</v>
      </c>
      <c r="Y216" s="6" t="s">
        <v>98</v>
      </c>
      <c r="Z216" s="6" t="n">
        <v>0</v>
      </c>
      <c r="AA216" s="6" t="n">
        <v>0</v>
      </c>
      <c r="AB216" s="6" t="n">
        <v>0</v>
      </c>
      <c r="AC216" s="6" t="n">
        <v>0</v>
      </c>
      <c r="AD216" s="6" t="n">
        <v>0</v>
      </c>
      <c r="AE216" s="6" t="n">
        <v>0</v>
      </c>
      <c r="AF216" s="6" t="n">
        <v>0</v>
      </c>
      <c r="AG216" s="6" t="n">
        <v>1</v>
      </c>
      <c r="AH216" s="6" t="n">
        <v>0</v>
      </c>
      <c r="AI216" s="6" t="s">
        <v>84</v>
      </c>
    </row>
    <row r="217" customFormat="false" ht="15" hidden="false" customHeight="false" outlineLevel="0" collapsed="false">
      <c r="A217" s="6" t="n">
        <v>216</v>
      </c>
      <c r="B217" s="6" t="s">
        <v>2000</v>
      </c>
      <c r="C217" s="6" t="n">
        <v>5</v>
      </c>
      <c r="D217" s="6" t="s">
        <v>51</v>
      </c>
      <c r="E217" s="6" t="s">
        <v>55</v>
      </c>
      <c r="F217" s="6" t="n">
        <v>4</v>
      </c>
      <c r="G217" s="6" t="n">
        <v>18</v>
      </c>
      <c r="H217" s="6" t="s">
        <v>2001</v>
      </c>
      <c r="I217" s="22" t="n">
        <v>345700</v>
      </c>
      <c r="J217" s="22" t="n">
        <v>6000</v>
      </c>
      <c r="K217" s="22" t="n">
        <v>26377.5</v>
      </c>
      <c r="L217" s="22" t="n">
        <v>378077.5</v>
      </c>
      <c r="M217" s="6" t="s">
        <v>83</v>
      </c>
      <c r="N217" s="6" t="s">
        <v>84</v>
      </c>
      <c r="O217" s="6" t="s">
        <v>886</v>
      </c>
      <c r="P217" s="6" t="s">
        <v>85</v>
      </c>
      <c r="Q217" s="6" t="str">
        <f aca="false">IF(P217="pass","No","Yes")</f>
        <v>Yes</v>
      </c>
      <c r="R217" s="6" t="s">
        <v>86</v>
      </c>
      <c r="S217" s="6" t="s">
        <v>886</v>
      </c>
      <c r="T217" s="6" t="s">
        <v>88</v>
      </c>
      <c r="U217" s="23" t="n">
        <v>34.278</v>
      </c>
      <c r="V217" s="6" t="s">
        <v>2002</v>
      </c>
      <c r="W217" s="6" t="s">
        <v>2003</v>
      </c>
      <c r="X217" s="6" t="s">
        <v>2004</v>
      </c>
      <c r="Y217" s="6" t="s">
        <v>86</v>
      </c>
      <c r="Z217" s="6" t="n">
        <v>0</v>
      </c>
      <c r="AA217" s="6" t="n">
        <v>0</v>
      </c>
      <c r="AB217" s="6" t="n">
        <v>1</v>
      </c>
      <c r="AC217" s="6" t="n">
        <v>0</v>
      </c>
      <c r="AD217" s="6" t="n">
        <v>0</v>
      </c>
      <c r="AE217" s="6" t="n">
        <v>0</v>
      </c>
      <c r="AF217" s="6" t="n">
        <v>0</v>
      </c>
      <c r="AG217" s="6" t="n">
        <v>0</v>
      </c>
      <c r="AH217" s="6" t="n">
        <v>0</v>
      </c>
      <c r="AI217" s="6" t="s">
        <v>84</v>
      </c>
    </row>
    <row r="218" customFormat="false" ht="15" hidden="false" customHeight="false" outlineLevel="0" collapsed="false">
      <c r="A218" s="6" t="n">
        <v>217</v>
      </c>
      <c r="B218" s="6" t="s">
        <v>2005</v>
      </c>
      <c r="C218" s="6" t="n">
        <v>5</v>
      </c>
      <c r="D218" s="6" t="s">
        <v>177</v>
      </c>
      <c r="E218" s="6" t="s">
        <v>81</v>
      </c>
      <c r="F218" s="6" t="n">
        <v>2</v>
      </c>
      <c r="G218" s="6" t="n">
        <v>129</v>
      </c>
      <c r="H218" s="6" t="s">
        <v>2006</v>
      </c>
      <c r="I218" s="22" t="n">
        <v>1762500</v>
      </c>
      <c r="J218" s="22" t="n">
        <v>4000</v>
      </c>
      <c r="K218" s="22" t="n">
        <v>132487.5</v>
      </c>
      <c r="L218" s="22" t="n">
        <v>1898987.5</v>
      </c>
      <c r="M218" s="6" t="s">
        <v>57</v>
      </c>
      <c r="N218" s="6" t="s">
        <v>58</v>
      </c>
      <c r="O218" s="6"/>
      <c r="P218" s="6" t="s">
        <v>69</v>
      </c>
      <c r="Q218" s="6" t="str">
        <f aca="false">IF(P218="pass","No","Yes")</f>
        <v>No</v>
      </c>
      <c r="R218" s="6" t="s">
        <v>60</v>
      </c>
      <c r="S218" s="6"/>
      <c r="T218" s="6"/>
      <c r="U218" s="23" t="n">
        <v>16.002</v>
      </c>
      <c r="V218" s="6" t="s">
        <v>2007</v>
      </c>
      <c r="W218" s="6" t="s">
        <v>2008</v>
      </c>
      <c r="X218" s="6" t="s">
        <v>2009</v>
      </c>
      <c r="Y218" s="6" t="s">
        <v>60</v>
      </c>
      <c r="Z218" s="6" t="n">
        <v>0</v>
      </c>
      <c r="AA218" s="6" t="n">
        <v>0</v>
      </c>
      <c r="AB218" s="6" t="n">
        <v>0</v>
      </c>
      <c r="AC218" s="6" t="n">
        <v>0</v>
      </c>
      <c r="AD218" s="6" t="n">
        <v>0</v>
      </c>
      <c r="AE218" s="6" t="n">
        <v>0</v>
      </c>
      <c r="AF218" s="6" t="n">
        <v>0</v>
      </c>
      <c r="AG218" s="6" t="n">
        <v>0</v>
      </c>
      <c r="AH218" s="6" t="n">
        <v>0</v>
      </c>
      <c r="AI218" s="6" t="s">
        <v>84</v>
      </c>
    </row>
    <row r="219" customFormat="false" ht="15" hidden="false" customHeight="false" outlineLevel="0" collapsed="false">
      <c r="A219" s="6" t="n">
        <v>218</v>
      </c>
      <c r="B219" s="6" t="s">
        <v>2010</v>
      </c>
      <c r="C219" s="6" t="n">
        <v>5</v>
      </c>
      <c r="D219" s="6" t="s">
        <v>177</v>
      </c>
      <c r="E219" s="6" t="s">
        <v>81</v>
      </c>
      <c r="F219" s="6" t="n">
        <v>3</v>
      </c>
      <c r="G219" s="6" t="n">
        <v>245</v>
      </c>
      <c r="H219" s="6" t="s">
        <v>2011</v>
      </c>
      <c r="I219" s="22" t="n">
        <v>2206200</v>
      </c>
      <c r="J219" s="22" t="n">
        <v>4000</v>
      </c>
      <c r="K219" s="22" t="n">
        <v>165765</v>
      </c>
      <c r="L219" s="22" t="n">
        <v>2375965</v>
      </c>
      <c r="M219" s="6" t="s">
        <v>927</v>
      </c>
      <c r="N219" s="6" t="s">
        <v>58</v>
      </c>
      <c r="O219" s="6"/>
      <c r="P219" s="6" t="s">
        <v>59</v>
      </c>
      <c r="Q219" s="6" t="str">
        <f aca="false">IF(P219="pass","No","Yes")</f>
        <v>Yes</v>
      </c>
      <c r="R219" s="6" t="s">
        <v>60</v>
      </c>
      <c r="S219" s="6" t="s">
        <v>915</v>
      </c>
      <c r="T219" s="6" t="s">
        <v>2012</v>
      </c>
      <c r="U219" s="23" t="n">
        <v>32.384</v>
      </c>
      <c r="V219" s="6" t="s">
        <v>2013</v>
      </c>
      <c r="W219" s="6" t="s">
        <v>2014</v>
      </c>
      <c r="X219" s="6" t="s">
        <v>2015</v>
      </c>
      <c r="Y219" s="6" t="s">
        <v>60</v>
      </c>
      <c r="Z219" s="6" t="n">
        <v>0</v>
      </c>
      <c r="AA219" s="6" t="n">
        <v>0</v>
      </c>
      <c r="AB219" s="6" t="n">
        <v>0</v>
      </c>
      <c r="AC219" s="6" t="n">
        <v>0</v>
      </c>
      <c r="AD219" s="6" t="n">
        <v>0</v>
      </c>
      <c r="AE219" s="6" t="n">
        <v>0</v>
      </c>
      <c r="AF219" s="6" t="n">
        <v>0</v>
      </c>
      <c r="AG219" s="6" t="n">
        <v>0</v>
      </c>
      <c r="AH219" s="6" t="n">
        <v>1</v>
      </c>
      <c r="AI219" s="6" t="s">
        <v>84</v>
      </c>
    </row>
    <row r="220" customFormat="false" ht="15" hidden="false" customHeight="false" outlineLevel="0" collapsed="false">
      <c r="A220" s="6" t="n">
        <v>219</v>
      </c>
      <c r="B220" s="6" t="s">
        <v>2016</v>
      </c>
      <c r="C220" s="6" t="n">
        <v>5</v>
      </c>
      <c r="D220" s="6" t="s">
        <v>142</v>
      </c>
      <c r="E220" s="6" t="s">
        <v>74</v>
      </c>
      <c r="F220" s="6" t="n">
        <v>1</v>
      </c>
      <c r="G220" s="6" t="n">
        <v>2</v>
      </c>
      <c r="H220" s="6" t="s">
        <v>2017</v>
      </c>
      <c r="I220" s="22" t="n">
        <v>76000</v>
      </c>
      <c r="J220" s="22" t="n">
        <v>9000</v>
      </c>
      <c r="K220" s="22" t="n">
        <v>6375</v>
      </c>
      <c r="L220" s="22" t="n">
        <v>91375</v>
      </c>
      <c r="M220" s="6" t="s">
        <v>1042</v>
      </c>
      <c r="N220" s="6" t="s">
        <v>58</v>
      </c>
      <c r="O220" s="6"/>
      <c r="P220" s="6" t="s">
        <v>69</v>
      </c>
      <c r="Q220" s="6" t="str">
        <f aca="false">IF(P220="pass","No","Yes")</f>
        <v>No</v>
      </c>
      <c r="R220" s="6" t="s">
        <v>60</v>
      </c>
      <c r="S220" s="6"/>
      <c r="T220" s="6"/>
      <c r="U220" s="23" t="n">
        <v>10.604</v>
      </c>
      <c r="V220" s="6" t="s">
        <v>2018</v>
      </c>
      <c r="W220" s="6" t="s">
        <v>2019</v>
      </c>
      <c r="X220" s="6" t="s">
        <v>2020</v>
      </c>
      <c r="Y220" s="6" t="s">
        <v>60</v>
      </c>
      <c r="Z220" s="6" t="n">
        <v>0</v>
      </c>
      <c r="AA220" s="6" t="n">
        <v>0</v>
      </c>
      <c r="AB220" s="6" t="n">
        <v>0</v>
      </c>
      <c r="AC220" s="6" t="n">
        <v>0</v>
      </c>
      <c r="AD220" s="6" t="n">
        <v>0</v>
      </c>
      <c r="AE220" s="6" t="n">
        <v>0</v>
      </c>
      <c r="AF220" s="6" t="n">
        <v>0</v>
      </c>
      <c r="AG220" s="6" t="n">
        <v>0</v>
      </c>
      <c r="AH220" s="6" t="n">
        <v>0</v>
      </c>
      <c r="AI220" s="6" t="s">
        <v>84</v>
      </c>
    </row>
    <row r="221" customFormat="false" ht="15" hidden="false" customHeight="false" outlineLevel="0" collapsed="false">
      <c r="A221" s="6" t="n">
        <v>220</v>
      </c>
      <c r="B221" s="6" t="s">
        <v>2021</v>
      </c>
      <c r="C221" s="6" t="n">
        <v>5</v>
      </c>
      <c r="D221" s="6" t="s">
        <v>51</v>
      </c>
      <c r="E221" s="6" t="s">
        <v>55</v>
      </c>
      <c r="F221" s="6" t="n">
        <v>2</v>
      </c>
      <c r="G221" s="6" t="n">
        <v>2</v>
      </c>
      <c r="H221" s="6" t="s">
        <v>2022</v>
      </c>
      <c r="I221" s="22" t="n">
        <v>8200</v>
      </c>
      <c r="J221" s="22" t="n">
        <v>6000</v>
      </c>
      <c r="K221" s="22" t="n">
        <v>1065</v>
      </c>
      <c r="L221" s="22" t="n">
        <v>15265</v>
      </c>
      <c r="M221" s="6" t="s">
        <v>152</v>
      </c>
      <c r="N221" s="6" t="s">
        <v>84</v>
      </c>
      <c r="O221" s="6" t="s">
        <v>886</v>
      </c>
      <c r="P221" s="6" t="s">
        <v>85</v>
      </c>
      <c r="Q221" s="6" t="str">
        <f aca="false">IF(P221="pass","No","Yes")</f>
        <v>Yes</v>
      </c>
      <c r="R221" s="6" t="s">
        <v>86</v>
      </c>
      <c r="S221" s="6" t="s">
        <v>886</v>
      </c>
      <c r="T221" s="6" t="s">
        <v>336</v>
      </c>
      <c r="U221" s="23" t="n">
        <v>10.63</v>
      </c>
      <c r="V221" s="6" t="s">
        <v>2023</v>
      </c>
      <c r="W221" s="6" t="s">
        <v>2024</v>
      </c>
      <c r="X221" s="6" t="s">
        <v>2025</v>
      </c>
      <c r="Y221" s="6" t="s">
        <v>86</v>
      </c>
      <c r="Z221" s="6" t="n">
        <v>0</v>
      </c>
      <c r="AA221" s="6" t="n">
        <v>0</v>
      </c>
      <c r="AB221" s="6" t="n">
        <v>1</v>
      </c>
      <c r="AC221" s="6" t="n">
        <v>0</v>
      </c>
      <c r="AD221" s="6" t="n">
        <v>0</v>
      </c>
      <c r="AE221" s="6" t="n">
        <v>0</v>
      </c>
      <c r="AF221" s="6" t="n">
        <v>0</v>
      </c>
      <c r="AG221" s="6" t="n">
        <v>0</v>
      </c>
      <c r="AH221" s="6" t="n">
        <v>0</v>
      </c>
      <c r="AI221" s="6" t="s">
        <v>84</v>
      </c>
    </row>
    <row r="222" customFormat="false" ht="15" hidden="false" customHeight="false" outlineLevel="0" collapsed="false">
      <c r="A222" s="6" t="n">
        <v>221</v>
      </c>
      <c r="B222" s="6" t="s">
        <v>2026</v>
      </c>
      <c r="C222" s="6" t="n">
        <v>5</v>
      </c>
      <c r="D222" s="6" t="s">
        <v>89</v>
      </c>
      <c r="E222" s="6" t="s">
        <v>67</v>
      </c>
      <c r="F222" s="6" t="n">
        <v>3</v>
      </c>
      <c r="G222" s="6" t="n">
        <v>105</v>
      </c>
      <c r="H222" s="6" t="s">
        <v>2027</v>
      </c>
      <c r="I222" s="22" t="n">
        <v>1103300</v>
      </c>
      <c r="J222" s="22" t="n">
        <v>4500</v>
      </c>
      <c r="K222" s="22" t="n">
        <v>83085</v>
      </c>
      <c r="L222" s="22" t="n">
        <v>1190885</v>
      </c>
      <c r="M222" s="6" t="s">
        <v>960</v>
      </c>
      <c r="N222" s="6" t="s">
        <v>84</v>
      </c>
      <c r="O222" s="6" t="s">
        <v>961</v>
      </c>
      <c r="P222" s="6" t="s">
        <v>85</v>
      </c>
      <c r="Q222" s="6" t="str">
        <f aca="false">IF(P222="pass","No","Yes")</f>
        <v>Yes</v>
      </c>
      <c r="R222" s="6" t="s">
        <v>86</v>
      </c>
      <c r="S222" s="6" t="s">
        <v>961</v>
      </c>
      <c r="T222" s="6" t="s">
        <v>962</v>
      </c>
      <c r="U222" s="23" t="n">
        <v>21.992</v>
      </c>
      <c r="V222" s="6" t="s">
        <v>2028</v>
      </c>
      <c r="W222" s="6" t="s">
        <v>2029</v>
      </c>
      <c r="X222" s="6" t="s">
        <v>2030</v>
      </c>
      <c r="Y222" s="6" t="s">
        <v>86</v>
      </c>
      <c r="Z222" s="6" t="n">
        <v>0</v>
      </c>
      <c r="AA222" s="6" t="n">
        <v>0</v>
      </c>
      <c r="AB222" s="6" t="n">
        <v>0</v>
      </c>
      <c r="AC222" s="6" t="n">
        <v>0</v>
      </c>
      <c r="AD222" s="6" t="n">
        <v>1</v>
      </c>
      <c r="AE222" s="6" t="n">
        <v>0</v>
      </c>
      <c r="AF222" s="6" t="n">
        <v>0</v>
      </c>
      <c r="AG222" s="6" t="n">
        <v>0</v>
      </c>
      <c r="AH222" s="6" t="n">
        <v>0</v>
      </c>
      <c r="AI222" s="6" t="s">
        <v>84</v>
      </c>
    </row>
    <row r="223" customFormat="false" ht="15" hidden="false" customHeight="false" outlineLevel="0" collapsed="false">
      <c r="A223" s="6" t="n">
        <v>222</v>
      </c>
      <c r="B223" s="6" t="s">
        <v>2031</v>
      </c>
      <c r="C223" s="6" t="n">
        <v>5</v>
      </c>
      <c r="D223" s="6" t="s">
        <v>70</v>
      </c>
      <c r="E223" s="6" t="s">
        <v>74</v>
      </c>
      <c r="F223" s="6" t="n">
        <v>1</v>
      </c>
      <c r="G223" s="6" t="n">
        <v>58</v>
      </c>
      <c r="H223" s="6" t="s">
        <v>2032</v>
      </c>
      <c r="I223" s="22" t="n">
        <v>841000</v>
      </c>
      <c r="J223" s="22" t="n">
        <v>9000</v>
      </c>
      <c r="K223" s="22" t="n">
        <v>63750</v>
      </c>
      <c r="L223" s="22" t="n">
        <v>913750</v>
      </c>
      <c r="M223" s="6" t="s">
        <v>984</v>
      </c>
      <c r="N223" s="6" t="s">
        <v>84</v>
      </c>
      <c r="O223" s="6" t="s">
        <v>985</v>
      </c>
      <c r="P223" s="6" t="s">
        <v>85</v>
      </c>
      <c r="Q223" s="6" t="str">
        <f aca="false">IF(P223="pass","No","Yes")</f>
        <v>Yes</v>
      </c>
      <c r="R223" s="6" t="s">
        <v>86</v>
      </c>
      <c r="S223" s="6" t="s">
        <v>985</v>
      </c>
      <c r="T223" s="6" t="s">
        <v>2033</v>
      </c>
      <c r="U223" s="23" t="n">
        <v>10.378</v>
      </c>
      <c r="V223" s="6" t="s">
        <v>2034</v>
      </c>
      <c r="W223" s="6" t="s">
        <v>2035</v>
      </c>
      <c r="X223" s="6" t="s">
        <v>2036</v>
      </c>
      <c r="Y223" s="6" t="s">
        <v>86</v>
      </c>
      <c r="Z223" s="6" t="n">
        <v>0</v>
      </c>
      <c r="AA223" s="6" t="n">
        <v>0</v>
      </c>
      <c r="AB223" s="6" t="n">
        <v>0</v>
      </c>
      <c r="AC223" s="6" t="n">
        <v>0</v>
      </c>
      <c r="AD223" s="6" t="n">
        <v>0</v>
      </c>
      <c r="AE223" s="6" t="n">
        <v>1</v>
      </c>
      <c r="AF223" s="6" t="n">
        <v>0</v>
      </c>
      <c r="AG223" s="6" t="n">
        <v>0</v>
      </c>
      <c r="AH223" s="6" t="n">
        <v>0</v>
      </c>
      <c r="AI223" s="6" t="s">
        <v>84</v>
      </c>
    </row>
    <row r="224" customFormat="false" ht="15" hidden="false" customHeight="false" outlineLevel="0" collapsed="false">
      <c r="A224" s="6" t="n">
        <v>223</v>
      </c>
      <c r="B224" s="6" t="s">
        <v>2037</v>
      </c>
      <c r="C224" s="6" t="n">
        <v>5</v>
      </c>
      <c r="D224" s="6" t="s">
        <v>70</v>
      </c>
      <c r="E224" s="6" t="s">
        <v>74</v>
      </c>
      <c r="F224" s="6" t="n">
        <v>2</v>
      </c>
      <c r="G224" s="6" t="n">
        <v>192</v>
      </c>
      <c r="H224" s="6" t="s">
        <v>2038</v>
      </c>
      <c r="I224" s="22" t="n">
        <v>1813200</v>
      </c>
      <c r="J224" s="22" t="n">
        <v>9000</v>
      </c>
      <c r="K224" s="22" t="n">
        <v>136665</v>
      </c>
      <c r="L224" s="22" t="n">
        <v>1958865</v>
      </c>
      <c r="M224" s="6" t="s">
        <v>927</v>
      </c>
      <c r="N224" s="6" t="s">
        <v>58</v>
      </c>
      <c r="O224" s="6"/>
      <c r="P224" s="6" t="s">
        <v>69</v>
      </c>
      <c r="Q224" s="6" t="str">
        <f aca="false">IF(P224="pass","No","Yes")</f>
        <v>No</v>
      </c>
      <c r="R224" s="6" t="s">
        <v>60</v>
      </c>
      <c r="S224" s="6"/>
      <c r="T224" s="6"/>
      <c r="U224" s="23" t="n">
        <v>26.402</v>
      </c>
      <c r="V224" s="6" t="s">
        <v>2039</v>
      </c>
      <c r="W224" s="6" t="s">
        <v>2040</v>
      </c>
      <c r="X224" s="6" t="s">
        <v>2041</v>
      </c>
      <c r="Y224" s="6" t="s">
        <v>60</v>
      </c>
      <c r="Z224" s="6" t="n">
        <v>0</v>
      </c>
      <c r="AA224" s="6" t="n">
        <v>0</v>
      </c>
      <c r="AB224" s="6" t="n">
        <v>0</v>
      </c>
      <c r="AC224" s="6" t="n">
        <v>0</v>
      </c>
      <c r="AD224" s="6" t="n">
        <v>0</v>
      </c>
      <c r="AE224" s="6" t="n">
        <v>0</v>
      </c>
      <c r="AF224" s="6" t="n">
        <v>0</v>
      </c>
      <c r="AG224" s="6" t="n">
        <v>0</v>
      </c>
      <c r="AH224" s="6" t="n">
        <v>0</v>
      </c>
      <c r="AI224" s="6" t="s">
        <v>84</v>
      </c>
    </row>
    <row r="225" customFormat="false" ht="15" hidden="false" customHeight="false" outlineLevel="0" collapsed="false">
      <c r="A225" s="6" t="n">
        <v>224</v>
      </c>
      <c r="B225" s="6" t="s">
        <v>2042</v>
      </c>
      <c r="C225" s="6" t="n">
        <v>5</v>
      </c>
      <c r="D225" s="6" t="s">
        <v>119</v>
      </c>
      <c r="E225" s="6" t="s">
        <v>123</v>
      </c>
      <c r="F225" s="6" t="n">
        <v>2</v>
      </c>
      <c r="G225" s="6" t="n">
        <v>14</v>
      </c>
      <c r="H225" s="6" t="s">
        <v>2043</v>
      </c>
      <c r="I225" s="22" t="n">
        <v>126300</v>
      </c>
      <c r="J225" s="22" t="n">
        <v>5000</v>
      </c>
      <c r="K225" s="22" t="n">
        <v>9847.5</v>
      </c>
      <c r="L225" s="22" t="n">
        <v>141147.5</v>
      </c>
      <c r="M225" s="6" t="s">
        <v>83</v>
      </c>
      <c r="N225" s="6" t="s">
        <v>84</v>
      </c>
      <c r="O225" s="6" t="s">
        <v>886</v>
      </c>
      <c r="P225" s="6" t="s">
        <v>85</v>
      </c>
      <c r="Q225" s="6" t="str">
        <f aca="false">IF(P225="pass","No","Yes")</f>
        <v>Yes</v>
      </c>
      <c r="R225" s="6" t="s">
        <v>86</v>
      </c>
      <c r="S225" s="6" t="s">
        <v>886</v>
      </c>
      <c r="T225" s="6" t="s">
        <v>517</v>
      </c>
      <c r="U225" s="23" t="n">
        <v>16.422</v>
      </c>
      <c r="V225" s="6" t="s">
        <v>2044</v>
      </c>
      <c r="W225" s="6" t="s">
        <v>2045</v>
      </c>
      <c r="X225" s="6" t="s">
        <v>2046</v>
      </c>
      <c r="Y225" s="6" t="s">
        <v>86</v>
      </c>
      <c r="Z225" s="6" t="n">
        <v>0</v>
      </c>
      <c r="AA225" s="6" t="n">
        <v>0</v>
      </c>
      <c r="AB225" s="6" t="n">
        <v>1</v>
      </c>
      <c r="AC225" s="6" t="n">
        <v>0</v>
      </c>
      <c r="AD225" s="6" t="n">
        <v>0</v>
      </c>
      <c r="AE225" s="6" t="n">
        <v>0</v>
      </c>
      <c r="AF225" s="6" t="n">
        <v>0</v>
      </c>
      <c r="AG225" s="6" t="n">
        <v>0</v>
      </c>
      <c r="AH225" s="6" t="n">
        <v>0</v>
      </c>
      <c r="AI225" s="6" t="s">
        <v>84</v>
      </c>
    </row>
    <row r="226" customFormat="false" ht="15" hidden="false" customHeight="false" outlineLevel="0" collapsed="false">
      <c r="A226" s="6" t="n">
        <v>225</v>
      </c>
      <c r="B226" s="6" t="s">
        <v>2047</v>
      </c>
      <c r="C226" s="6" t="n">
        <v>5</v>
      </c>
      <c r="D226" s="6" t="s">
        <v>119</v>
      </c>
      <c r="E226" s="6" t="s">
        <v>123</v>
      </c>
      <c r="F226" s="6" t="n">
        <v>1</v>
      </c>
      <c r="G226" s="6" t="n">
        <v>56</v>
      </c>
      <c r="H226" s="6" t="s">
        <v>2048</v>
      </c>
      <c r="I226" s="22" t="n">
        <v>481600</v>
      </c>
      <c r="J226" s="22" t="n">
        <v>5000</v>
      </c>
      <c r="K226" s="22" t="n">
        <v>36495</v>
      </c>
      <c r="L226" s="22" t="n">
        <v>523095</v>
      </c>
      <c r="M226" s="6" t="s">
        <v>224</v>
      </c>
      <c r="N226" s="6" t="s">
        <v>84</v>
      </c>
      <c r="O226" s="6" t="s">
        <v>866</v>
      </c>
      <c r="P226" s="6" t="s">
        <v>85</v>
      </c>
      <c r="Q226" s="6" t="str">
        <f aca="false">IF(P226="pass","No","Yes")</f>
        <v>Yes</v>
      </c>
      <c r="R226" s="6" t="s">
        <v>86</v>
      </c>
      <c r="S226" s="6" t="s">
        <v>866</v>
      </c>
      <c r="T226" s="6" t="s">
        <v>225</v>
      </c>
      <c r="U226" s="23" t="n">
        <v>10.668</v>
      </c>
      <c r="V226" s="6" t="s">
        <v>2049</v>
      </c>
      <c r="W226" s="6" t="s">
        <v>2050</v>
      </c>
      <c r="X226" s="6" t="s">
        <v>2051</v>
      </c>
      <c r="Y226" s="6" t="s">
        <v>86</v>
      </c>
      <c r="Z226" s="6" t="n">
        <v>1</v>
      </c>
      <c r="AA226" s="6" t="n">
        <v>0</v>
      </c>
      <c r="AB226" s="6" t="n">
        <v>0</v>
      </c>
      <c r="AC226" s="6" t="n">
        <v>0</v>
      </c>
      <c r="AD226" s="6" t="n">
        <v>0</v>
      </c>
      <c r="AE226" s="6" t="n">
        <v>0</v>
      </c>
      <c r="AF226" s="6" t="n">
        <v>0</v>
      </c>
      <c r="AG226" s="6" t="n">
        <v>0</v>
      </c>
      <c r="AH226" s="6" t="n">
        <v>0</v>
      </c>
      <c r="AI226" s="6" t="s">
        <v>58</v>
      </c>
    </row>
    <row r="227" customFormat="false" ht="15" hidden="false" customHeight="false" outlineLevel="0" collapsed="false">
      <c r="A227" s="6" t="n">
        <v>226</v>
      </c>
      <c r="B227" s="6" t="s">
        <v>2052</v>
      </c>
      <c r="C227" s="6" t="n">
        <v>5</v>
      </c>
      <c r="D227" s="6" t="s">
        <v>51</v>
      </c>
      <c r="E227" s="6" t="s">
        <v>55</v>
      </c>
      <c r="F227" s="6" t="n">
        <v>2</v>
      </c>
      <c r="G227" s="6" t="n">
        <v>45</v>
      </c>
      <c r="H227" s="6" t="s">
        <v>2053</v>
      </c>
      <c r="I227" s="22" t="n">
        <v>317800</v>
      </c>
      <c r="J227" s="22" t="n">
        <v>6000</v>
      </c>
      <c r="K227" s="22" t="n">
        <v>24285</v>
      </c>
      <c r="L227" s="22" t="n">
        <v>348085</v>
      </c>
      <c r="M227" s="6" t="s">
        <v>94</v>
      </c>
      <c r="N227" s="6" t="s">
        <v>84</v>
      </c>
      <c r="O227" s="6" t="s">
        <v>909</v>
      </c>
      <c r="P227" s="6" t="s">
        <v>85</v>
      </c>
      <c r="Q227" s="6" t="str">
        <f aca="false">IF(P227="pass","No","Yes")</f>
        <v>Yes</v>
      </c>
      <c r="R227" s="6" t="s">
        <v>86</v>
      </c>
      <c r="S227" s="6" t="s">
        <v>909</v>
      </c>
      <c r="T227" s="6" t="s">
        <v>254</v>
      </c>
      <c r="U227" s="23" t="n">
        <v>27.508</v>
      </c>
      <c r="V227" s="6" t="s">
        <v>2054</v>
      </c>
      <c r="W227" s="6" t="s">
        <v>2055</v>
      </c>
      <c r="X227" s="6" t="s">
        <v>2056</v>
      </c>
      <c r="Y227" s="6" t="s">
        <v>86</v>
      </c>
      <c r="Z227" s="6" t="n">
        <v>0</v>
      </c>
      <c r="AA227" s="6" t="n">
        <v>0</v>
      </c>
      <c r="AB227" s="6" t="n">
        <v>0</v>
      </c>
      <c r="AC227" s="6" t="n">
        <v>0</v>
      </c>
      <c r="AD227" s="6" t="n">
        <v>0</v>
      </c>
      <c r="AE227" s="6" t="n">
        <v>0</v>
      </c>
      <c r="AF227" s="6" t="n">
        <v>1</v>
      </c>
      <c r="AG227" s="6" t="n">
        <v>0</v>
      </c>
      <c r="AH227" s="6" t="n">
        <v>0</v>
      </c>
      <c r="AI227" s="6" t="s">
        <v>84</v>
      </c>
    </row>
    <row r="228" customFormat="false" ht="15" hidden="false" customHeight="false" outlineLevel="0" collapsed="false">
      <c r="A228" s="6" t="n">
        <v>227</v>
      </c>
      <c r="B228" s="6" t="s">
        <v>2057</v>
      </c>
      <c r="C228" s="6" t="n">
        <v>5</v>
      </c>
      <c r="D228" s="6" t="s">
        <v>186</v>
      </c>
      <c r="E228" s="6" t="s">
        <v>123</v>
      </c>
      <c r="F228" s="6" t="n">
        <v>4</v>
      </c>
      <c r="G228" s="6" t="n">
        <v>91</v>
      </c>
      <c r="H228" s="6" t="s">
        <v>2058</v>
      </c>
      <c r="I228" s="22" t="n">
        <v>1298600</v>
      </c>
      <c r="J228" s="22" t="n">
        <v>5000</v>
      </c>
      <c r="K228" s="22" t="n">
        <v>97770</v>
      </c>
      <c r="L228" s="22" t="n">
        <v>1401370</v>
      </c>
      <c r="M228" s="6" t="s">
        <v>1009</v>
      </c>
      <c r="N228" s="6" t="s">
        <v>58</v>
      </c>
      <c r="O228" s="6"/>
      <c r="P228" s="6" t="s">
        <v>69</v>
      </c>
      <c r="Q228" s="6" t="str">
        <f aca="false">IF(P228="pass","No","Yes")</f>
        <v>No</v>
      </c>
      <c r="R228" s="6" t="s">
        <v>60</v>
      </c>
      <c r="S228" s="6"/>
      <c r="T228" s="6"/>
      <c r="U228" s="23" t="n">
        <v>34.011</v>
      </c>
      <c r="V228" s="6" t="s">
        <v>2059</v>
      </c>
      <c r="W228" s="6" t="s">
        <v>2060</v>
      </c>
      <c r="X228" s="6" t="s">
        <v>2061</v>
      </c>
      <c r="Y228" s="6" t="s">
        <v>60</v>
      </c>
      <c r="Z228" s="6" t="n">
        <v>0</v>
      </c>
      <c r="AA228" s="6" t="n">
        <v>0</v>
      </c>
      <c r="AB228" s="6" t="n">
        <v>0</v>
      </c>
      <c r="AC228" s="6" t="n">
        <v>0</v>
      </c>
      <c r="AD228" s="6" t="n">
        <v>0</v>
      </c>
      <c r="AE228" s="6" t="n">
        <v>0</v>
      </c>
      <c r="AF228" s="6" t="n">
        <v>0</v>
      </c>
      <c r="AG228" s="6" t="n">
        <v>0</v>
      </c>
      <c r="AH228" s="6" t="n">
        <v>0</v>
      </c>
      <c r="AI228" s="6" t="s">
        <v>84</v>
      </c>
    </row>
    <row r="229" customFormat="false" ht="15" hidden="false" customHeight="false" outlineLevel="0" collapsed="false">
      <c r="A229" s="6" t="n">
        <v>228</v>
      </c>
      <c r="B229" s="6" t="s">
        <v>2062</v>
      </c>
      <c r="C229" s="6" t="n">
        <v>5</v>
      </c>
      <c r="D229" s="6" t="s">
        <v>137</v>
      </c>
      <c r="E229" s="6" t="s">
        <v>55</v>
      </c>
      <c r="F229" s="6" t="n">
        <v>1</v>
      </c>
      <c r="G229" s="6" t="n">
        <v>6</v>
      </c>
      <c r="H229" s="6" t="s">
        <v>2063</v>
      </c>
      <c r="I229" s="22" t="n">
        <v>312000</v>
      </c>
      <c r="J229" s="22" t="n">
        <v>6000</v>
      </c>
      <c r="K229" s="22" t="n">
        <v>23850</v>
      </c>
      <c r="L229" s="22" t="n">
        <v>341850</v>
      </c>
      <c r="M229" s="6" t="s">
        <v>57</v>
      </c>
      <c r="N229" s="6" t="s">
        <v>58</v>
      </c>
      <c r="O229" s="6"/>
      <c r="P229" s="6" t="s">
        <v>69</v>
      </c>
      <c r="Q229" s="6" t="str">
        <f aca="false">IF(P229="pass","No","Yes")</f>
        <v>No</v>
      </c>
      <c r="R229" s="6" t="s">
        <v>60</v>
      </c>
      <c r="S229" s="6"/>
      <c r="T229" s="6"/>
      <c r="U229" s="23" t="n">
        <v>10.993</v>
      </c>
      <c r="V229" s="6" t="s">
        <v>2064</v>
      </c>
      <c r="W229" s="6" t="s">
        <v>2065</v>
      </c>
      <c r="X229" s="6" t="s">
        <v>2066</v>
      </c>
      <c r="Y229" s="6" t="s">
        <v>60</v>
      </c>
      <c r="Z229" s="6" t="n">
        <v>0</v>
      </c>
      <c r="AA229" s="6" t="n">
        <v>0</v>
      </c>
      <c r="AB229" s="6" t="n">
        <v>0</v>
      </c>
      <c r="AC229" s="6" t="n">
        <v>0</v>
      </c>
      <c r="AD229" s="6" t="n">
        <v>0</v>
      </c>
      <c r="AE229" s="6" t="n">
        <v>0</v>
      </c>
      <c r="AF229" s="6" t="n">
        <v>0</v>
      </c>
      <c r="AG229" s="6" t="n">
        <v>0</v>
      </c>
      <c r="AH229" s="6" t="n">
        <v>0</v>
      </c>
      <c r="AI229" s="6" t="s">
        <v>84</v>
      </c>
    </row>
    <row r="230" customFormat="false" ht="15" hidden="false" customHeight="false" outlineLevel="0" collapsed="false">
      <c r="A230" s="6" t="n">
        <v>229</v>
      </c>
      <c r="B230" s="6" t="s">
        <v>2067</v>
      </c>
      <c r="C230" s="6" t="n">
        <v>5</v>
      </c>
      <c r="D230" s="6" t="s">
        <v>51</v>
      </c>
      <c r="E230" s="6" t="s">
        <v>55</v>
      </c>
      <c r="F230" s="6" t="n">
        <v>4</v>
      </c>
      <c r="G230" s="6" t="n">
        <v>235</v>
      </c>
      <c r="H230" s="6" t="s">
        <v>2068</v>
      </c>
      <c r="I230" s="22" t="n">
        <v>2305200</v>
      </c>
      <c r="J230" s="22" t="n">
        <v>6000</v>
      </c>
      <c r="K230" s="22" t="n">
        <v>173340</v>
      </c>
      <c r="L230" s="22" t="n">
        <v>2484540</v>
      </c>
      <c r="M230" s="6" t="s">
        <v>927</v>
      </c>
      <c r="N230" s="6" t="s">
        <v>58</v>
      </c>
      <c r="O230" s="6"/>
      <c r="P230" s="6" t="s">
        <v>59</v>
      </c>
      <c r="Q230" s="6" t="str">
        <f aca="false">IF(P230="pass","No","Yes")</f>
        <v>Yes</v>
      </c>
      <c r="R230" s="6" t="s">
        <v>60</v>
      </c>
      <c r="S230" s="6" t="s">
        <v>915</v>
      </c>
      <c r="T230" s="6" t="s">
        <v>2069</v>
      </c>
      <c r="U230" s="23" t="n">
        <v>40.167</v>
      </c>
      <c r="V230" s="6" t="s">
        <v>2070</v>
      </c>
      <c r="W230" s="6" t="s">
        <v>2071</v>
      </c>
      <c r="X230" s="6" t="s">
        <v>2072</v>
      </c>
      <c r="Y230" s="6" t="s">
        <v>60</v>
      </c>
      <c r="Z230" s="6" t="n">
        <v>0</v>
      </c>
      <c r="AA230" s="6" t="n">
        <v>0</v>
      </c>
      <c r="AB230" s="6" t="n">
        <v>0</v>
      </c>
      <c r="AC230" s="6" t="n">
        <v>0</v>
      </c>
      <c r="AD230" s="6" t="n">
        <v>0</v>
      </c>
      <c r="AE230" s="6" t="n">
        <v>0</v>
      </c>
      <c r="AF230" s="6" t="n">
        <v>0</v>
      </c>
      <c r="AG230" s="6" t="n">
        <v>0</v>
      </c>
      <c r="AH230" s="6" t="n">
        <v>1</v>
      </c>
      <c r="AI230" s="6" t="s">
        <v>84</v>
      </c>
    </row>
    <row r="231" customFormat="false" ht="15" hidden="false" customHeight="false" outlineLevel="0" collapsed="false">
      <c r="A231" s="6" t="n">
        <v>230</v>
      </c>
      <c r="B231" s="6" t="s">
        <v>2073</v>
      </c>
      <c r="C231" s="6" t="n">
        <v>5</v>
      </c>
      <c r="D231" s="6" t="s">
        <v>112</v>
      </c>
      <c r="E231" s="6" t="s">
        <v>116</v>
      </c>
      <c r="F231" s="6" t="n">
        <v>2</v>
      </c>
      <c r="G231" s="6" t="n">
        <v>91</v>
      </c>
      <c r="H231" s="6" t="s">
        <v>2074</v>
      </c>
      <c r="I231" s="22" t="n">
        <v>1596500</v>
      </c>
      <c r="J231" s="22" t="n">
        <v>15000</v>
      </c>
      <c r="K231" s="22" t="n">
        <v>120862.5</v>
      </c>
      <c r="L231" s="22" t="n">
        <v>1732362.5</v>
      </c>
      <c r="M231" s="6" t="s">
        <v>57</v>
      </c>
      <c r="N231" s="6" t="s">
        <v>58</v>
      </c>
      <c r="O231" s="6"/>
      <c r="P231" s="6" t="s">
        <v>69</v>
      </c>
      <c r="Q231" s="6" t="str">
        <f aca="false">IF(P231="pass","No","Yes")</f>
        <v>No</v>
      </c>
      <c r="R231" s="6" t="s">
        <v>60</v>
      </c>
      <c r="S231" s="6"/>
      <c r="T231" s="6"/>
      <c r="U231" s="23" t="n">
        <v>16.059</v>
      </c>
      <c r="V231" s="6" t="s">
        <v>2075</v>
      </c>
      <c r="W231" s="6" t="s">
        <v>2076</v>
      </c>
      <c r="X231" s="6" t="s">
        <v>2077</v>
      </c>
      <c r="Y231" s="6" t="s">
        <v>60</v>
      </c>
      <c r="Z231" s="6" t="n">
        <v>0</v>
      </c>
      <c r="AA231" s="6" t="n">
        <v>0</v>
      </c>
      <c r="AB231" s="6" t="n">
        <v>0</v>
      </c>
      <c r="AC231" s="6" t="n">
        <v>0</v>
      </c>
      <c r="AD231" s="6" t="n">
        <v>0</v>
      </c>
      <c r="AE231" s="6" t="n">
        <v>0</v>
      </c>
      <c r="AF231" s="6" t="n">
        <v>0</v>
      </c>
      <c r="AG231" s="6" t="n">
        <v>0</v>
      </c>
      <c r="AH231" s="6" t="n">
        <v>0</v>
      </c>
      <c r="AI231" s="6" t="s">
        <v>84</v>
      </c>
    </row>
    <row r="232" customFormat="false" ht="15" hidden="false" customHeight="false" outlineLevel="0" collapsed="false">
      <c r="A232" s="6" t="n">
        <v>231</v>
      </c>
      <c r="B232" s="6" t="s">
        <v>2078</v>
      </c>
      <c r="C232" s="6" t="n">
        <v>5</v>
      </c>
      <c r="D232" s="6" t="s">
        <v>105</v>
      </c>
      <c r="E232" s="6" t="s">
        <v>81</v>
      </c>
      <c r="F232" s="6" t="n">
        <v>1</v>
      </c>
      <c r="G232" s="6" t="n">
        <v>5</v>
      </c>
      <c r="H232" s="6" t="s">
        <v>2079</v>
      </c>
      <c r="I232" s="22" t="n">
        <v>190000</v>
      </c>
      <c r="J232" s="22" t="n">
        <v>4000</v>
      </c>
      <c r="K232" s="22" t="n">
        <v>14550</v>
      </c>
      <c r="L232" s="22" t="n">
        <v>208550</v>
      </c>
      <c r="M232" s="6" t="s">
        <v>57</v>
      </c>
      <c r="N232" s="6" t="s">
        <v>58</v>
      </c>
      <c r="O232" s="6"/>
      <c r="P232" s="6" t="s">
        <v>69</v>
      </c>
      <c r="Q232" s="6" t="str">
        <f aca="false">IF(P232="pass","No","Yes")</f>
        <v>No</v>
      </c>
      <c r="R232" s="6" t="s">
        <v>60</v>
      </c>
      <c r="S232" s="6"/>
      <c r="T232" s="6"/>
      <c r="U232" s="23" t="n">
        <v>10.665</v>
      </c>
      <c r="V232" s="6" t="s">
        <v>2080</v>
      </c>
      <c r="W232" s="6" t="s">
        <v>2081</v>
      </c>
      <c r="X232" s="6" t="s">
        <v>2082</v>
      </c>
      <c r="Y232" s="6" t="s">
        <v>60</v>
      </c>
      <c r="Z232" s="6" t="n">
        <v>0</v>
      </c>
      <c r="AA232" s="6" t="n">
        <v>0</v>
      </c>
      <c r="AB232" s="6" t="n">
        <v>0</v>
      </c>
      <c r="AC232" s="6" t="n">
        <v>0</v>
      </c>
      <c r="AD232" s="6" t="n">
        <v>0</v>
      </c>
      <c r="AE232" s="6" t="n">
        <v>0</v>
      </c>
      <c r="AF232" s="6" t="n">
        <v>0</v>
      </c>
      <c r="AG232" s="6" t="n">
        <v>0</v>
      </c>
      <c r="AH232" s="6" t="n">
        <v>0</v>
      </c>
      <c r="AI232" s="6" t="s">
        <v>84</v>
      </c>
    </row>
    <row r="233" customFormat="false" ht="15" hidden="false" customHeight="false" outlineLevel="0" collapsed="false">
      <c r="A233" s="6" t="n">
        <v>232</v>
      </c>
      <c r="B233" s="6" t="s">
        <v>2083</v>
      </c>
      <c r="C233" s="6" t="n">
        <v>5</v>
      </c>
      <c r="D233" s="6" t="s">
        <v>112</v>
      </c>
      <c r="E233" s="6" t="s">
        <v>116</v>
      </c>
      <c r="F233" s="6" t="n">
        <v>2</v>
      </c>
      <c r="G233" s="6" t="n">
        <v>32</v>
      </c>
      <c r="H233" s="6" t="s">
        <v>2084</v>
      </c>
      <c r="I233" s="22" t="n">
        <v>292900</v>
      </c>
      <c r="J233" s="22" t="n">
        <v>15000</v>
      </c>
      <c r="K233" s="22" t="n">
        <v>23092.5</v>
      </c>
      <c r="L233" s="22" t="n">
        <v>330992.5</v>
      </c>
      <c r="M233" s="6" t="s">
        <v>57</v>
      </c>
      <c r="N233" s="6" t="s">
        <v>58</v>
      </c>
      <c r="O233" s="6"/>
      <c r="P233" s="6" t="s">
        <v>69</v>
      </c>
      <c r="Q233" s="6" t="str">
        <f aca="false">IF(P233="pass","No","Yes")</f>
        <v>No</v>
      </c>
      <c r="R233" s="6" t="s">
        <v>60</v>
      </c>
      <c r="S233" s="6"/>
      <c r="T233" s="6"/>
      <c r="U233" s="23" t="n">
        <v>18.387</v>
      </c>
      <c r="V233" s="6" t="s">
        <v>2085</v>
      </c>
      <c r="W233" s="6" t="s">
        <v>2086</v>
      </c>
      <c r="X233" s="6" t="s">
        <v>2087</v>
      </c>
      <c r="Y233" s="6" t="s">
        <v>60</v>
      </c>
      <c r="Z233" s="6" t="n">
        <v>0</v>
      </c>
      <c r="AA233" s="6" t="n">
        <v>0</v>
      </c>
      <c r="AB233" s="6" t="n">
        <v>0</v>
      </c>
      <c r="AC233" s="6" t="n">
        <v>0</v>
      </c>
      <c r="AD233" s="6" t="n">
        <v>0</v>
      </c>
      <c r="AE233" s="6" t="n">
        <v>0</v>
      </c>
      <c r="AF233" s="6" t="n">
        <v>0</v>
      </c>
      <c r="AG233" s="6" t="n">
        <v>0</v>
      </c>
      <c r="AH233" s="6" t="n">
        <v>0</v>
      </c>
      <c r="AI233" s="6" t="s">
        <v>84</v>
      </c>
    </row>
    <row r="234" customFormat="false" ht="15" hidden="false" customHeight="false" outlineLevel="0" collapsed="false">
      <c r="A234" s="6" t="n">
        <v>233</v>
      </c>
      <c r="B234" s="6" t="s">
        <v>2088</v>
      </c>
      <c r="C234" s="6" t="n">
        <v>5</v>
      </c>
      <c r="D234" s="6" t="s">
        <v>119</v>
      </c>
      <c r="E234" s="6" t="s">
        <v>123</v>
      </c>
      <c r="F234" s="6" t="n">
        <v>2</v>
      </c>
      <c r="G234" s="6" t="n">
        <v>344</v>
      </c>
      <c r="H234" s="6" t="s">
        <v>2089</v>
      </c>
      <c r="I234" s="22" t="n">
        <v>3921600</v>
      </c>
      <c r="J234" s="22" t="n">
        <v>5000</v>
      </c>
      <c r="K234" s="22" t="n">
        <v>294495</v>
      </c>
      <c r="L234" s="22" t="n">
        <v>4221095</v>
      </c>
      <c r="M234" s="6" t="s">
        <v>171</v>
      </c>
      <c r="N234" s="6" t="s">
        <v>84</v>
      </c>
      <c r="O234" s="6" t="s">
        <v>892</v>
      </c>
      <c r="P234" s="6" t="s">
        <v>85</v>
      </c>
      <c r="Q234" s="6" t="str">
        <f aca="false">IF(P234="pass","No","Yes")</f>
        <v>Yes</v>
      </c>
      <c r="R234" s="6" t="s">
        <v>86</v>
      </c>
      <c r="S234" s="6" t="s">
        <v>892</v>
      </c>
      <c r="T234" s="6" t="s">
        <v>368</v>
      </c>
      <c r="U234" s="23" t="n">
        <v>17.806</v>
      </c>
      <c r="V234" s="6" t="s">
        <v>2090</v>
      </c>
      <c r="W234" s="6" t="s">
        <v>2091</v>
      </c>
      <c r="X234" s="6" t="s">
        <v>2092</v>
      </c>
      <c r="Y234" s="6" t="s">
        <v>86</v>
      </c>
      <c r="Z234" s="6" t="n">
        <v>0</v>
      </c>
      <c r="AA234" s="6" t="n">
        <v>0</v>
      </c>
      <c r="AB234" s="6" t="n">
        <v>0</v>
      </c>
      <c r="AC234" s="6" t="n">
        <v>1</v>
      </c>
      <c r="AD234" s="6" t="n">
        <v>0</v>
      </c>
      <c r="AE234" s="6" t="n">
        <v>0</v>
      </c>
      <c r="AF234" s="6" t="n">
        <v>0</v>
      </c>
      <c r="AG234" s="6" t="n">
        <v>0</v>
      </c>
      <c r="AH234" s="6" t="n">
        <v>0</v>
      </c>
      <c r="AI234" s="6" t="s">
        <v>84</v>
      </c>
    </row>
    <row r="235" customFormat="false" ht="15" hidden="false" customHeight="false" outlineLevel="0" collapsed="false">
      <c r="A235" s="6" t="n">
        <v>234</v>
      </c>
      <c r="B235" s="6" t="s">
        <v>2093</v>
      </c>
      <c r="C235" s="6" t="n">
        <v>5</v>
      </c>
      <c r="D235" s="6" t="s">
        <v>137</v>
      </c>
      <c r="E235" s="6" t="s">
        <v>55</v>
      </c>
      <c r="F235" s="6" t="n">
        <v>3</v>
      </c>
      <c r="G235" s="6" t="n">
        <v>565</v>
      </c>
      <c r="H235" s="6" t="s">
        <v>2094</v>
      </c>
      <c r="I235" s="22" t="n">
        <v>4963100</v>
      </c>
      <c r="J235" s="22" t="n">
        <v>6000</v>
      </c>
      <c r="K235" s="22" t="n">
        <v>372682.5</v>
      </c>
      <c r="L235" s="22" t="n">
        <v>5341782.5</v>
      </c>
      <c r="M235" s="6" t="s">
        <v>159</v>
      </c>
      <c r="N235" s="6" t="s">
        <v>84</v>
      </c>
      <c r="O235" s="6" t="s">
        <v>886</v>
      </c>
      <c r="P235" s="6" t="s">
        <v>85</v>
      </c>
      <c r="Q235" s="6" t="str">
        <f aca="false">IF(P235="pass","No","Yes")</f>
        <v>Yes</v>
      </c>
      <c r="R235" s="6" t="s">
        <v>86</v>
      </c>
      <c r="S235" s="6" t="s">
        <v>934</v>
      </c>
      <c r="T235" s="6" t="s">
        <v>524</v>
      </c>
      <c r="U235" s="23" t="n">
        <v>25.208</v>
      </c>
      <c r="V235" s="6" t="s">
        <v>2095</v>
      </c>
      <c r="W235" s="6" t="s">
        <v>2096</v>
      </c>
      <c r="X235" s="6" t="s">
        <v>2097</v>
      </c>
      <c r="Y235" s="6" t="s">
        <v>86</v>
      </c>
      <c r="Z235" s="6" t="n">
        <v>0</v>
      </c>
      <c r="AA235" s="6" t="n">
        <v>0</v>
      </c>
      <c r="AB235" s="6" t="n">
        <v>1</v>
      </c>
      <c r="AC235" s="6" t="n">
        <v>1</v>
      </c>
      <c r="AD235" s="6" t="n">
        <v>0</v>
      </c>
      <c r="AE235" s="6" t="n">
        <v>0</v>
      </c>
      <c r="AF235" s="6" t="n">
        <v>0</v>
      </c>
      <c r="AG235" s="6" t="n">
        <v>0</v>
      </c>
      <c r="AH235" s="6" t="n">
        <v>0</v>
      </c>
      <c r="AI235" s="6" t="s">
        <v>84</v>
      </c>
    </row>
    <row r="236" customFormat="false" ht="15" hidden="false" customHeight="false" outlineLevel="0" collapsed="false">
      <c r="A236" s="6" t="n">
        <v>235</v>
      </c>
      <c r="B236" s="6" t="s">
        <v>2098</v>
      </c>
      <c r="C236" s="6" t="n">
        <v>5</v>
      </c>
      <c r="D236" s="6" t="s">
        <v>198</v>
      </c>
      <c r="E236" s="6" t="s">
        <v>81</v>
      </c>
      <c r="F236" s="6" t="n">
        <v>3</v>
      </c>
      <c r="G236" s="6" t="n">
        <v>62</v>
      </c>
      <c r="H236" s="6" t="s">
        <v>2099</v>
      </c>
      <c r="I236" s="22" t="n">
        <v>1222700</v>
      </c>
      <c r="J236" s="22" t="n">
        <v>4000</v>
      </c>
      <c r="K236" s="22" t="n">
        <v>92002.5</v>
      </c>
      <c r="L236" s="22" t="n">
        <v>1318702.5</v>
      </c>
      <c r="M236" s="6" t="s">
        <v>1009</v>
      </c>
      <c r="N236" s="6" t="s">
        <v>58</v>
      </c>
      <c r="O236" s="6"/>
      <c r="P236" s="6" t="s">
        <v>69</v>
      </c>
      <c r="Q236" s="6" t="str">
        <f aca="false">IF(P236="pass","No","Yes")</f>
        <v>No</v>
      </c>
      <c r="R236" s="6" t="s">
        <v>60</v>
      </c>
      <c r="S236" s="6"/>
      <c r="T236" s="6"/>
      <c r="U236" s="23" t="n">
        <v>24.264</v>
      </c>
      <c r="V236" s="6" t="s">
        <v>2100</v>
      </c>
      <c r="W236" s="6" t="s">
        <v>2101</v>
      </c>
      <c r="X236" s="6" t="s">
        <v>2102</v>
      </c>
      <c r="Y236" s="6" t="s">
        <v>60</v>
      </c>
      <c r="Z236" s="6" t="n">
        <v>0</v>
      </c>
      <c r="AA236" s="6" t="n">
        <v>0</v>
      </c>
      <c r="AB236" s="6" t="n">
        <v>0</v>
      </c>
      <c r="AC236" s="6" t="n">
        <v>0</v>
      </c>
      <c r="AD236" s="6" t="n">
        <v>0</v>
      </c>
      <c r="AE236" s="6" t="n">
        <v>0</v>
      </c>
      <c r="AF236" s="6" t="n">
        <v>0</v>
      </c>
      <c r="AG236" s="6" t="n">
        <v>0</v>
      </c>
      <c r="AH236" s="6" t="n">
        <v>0</v>
      </c>
      <c r="AI236" s="6" t="s">
        <v>84</v>
      </c>
    </row>
    <row r="237" customFormat="false" ht="15" hidden="false" customHeight="false" outlineLevel="0" collapsed="false">
      <c r="A237" s="6" t="n">
        <v>236</v>
      </c>
      <c r="B237" s="6" t="s">
        <v>2103</v>
      </c>
      <c r="C237" s="6" t="n">
        <v>5</v>
      </c>
      <c r="D237" s="6" t="s">
        <v>213</v>
      </c>
      <c r="E237" s="6" t="s">
        <v>67</v>
      </c>
      <c r="F237" s="6" t="n">
        <v>3</v>
      </c>
      <c r="G237" s="6" t="n">
        <v>71</v>
      </c>
      <c r="H237" s="6" t="s">
        <v>2104</v>
      </c>
      <c r="I237" s="22" t="n">
        <v>1140700</v>
      </c>
      <c r="J237" s="22" t="n">
        <v>4500</v>
      </c>
      <c r="K237" s="22" t="n">
        <v>85890</v>
      </c>
      <c r="L237" s="22" t="n">
        <v>1231090</v>
      </c>
      <c r="M237" s="6" t="s">
        <v>57</v>
      </c>
      <c r="N237" s="6" t="s">
        <v>58</v>
      </c>
      <c r="O237" s="6"/>
      <c r="P237" s="6" t="s">
        <v>69</v>
      </c>
      <c r="Q237" s="6" t="str">
        <f aca="false">IF(P237="pass","No","Yes")</f>
        <v>No</v>
      </c>
      <c r="R237" s="6" t="s">
        <v>60</v>
      </c>
      <c r="S237" s="6"/>
      <c r="T237" s="6"/>
      <c r="U237" s="23" t="n">
        <v>23.957</v>
      </c>
      <c r="V237" s="6" t="s">
        <v>2105</v>
      </c>
      <c r="W237" s="6" t="s">
        <v>2106</v>
      </c>
      <c r="X237" s="6" t="s">
        <v>2107</v>
      </c>
      <c r="Y237" s="6" t="s">
        <v>60</v>
      </c>
      <c r="Z237" s="6" t="n">
        <v>0</v>
      </c>
      <c r="AA237" s="6" t="n">
        <v>0</v>
      </c>
      <c r="AB237" s="6" t="n">
        <v>0</v>
      </c>
      <c r="AC237" s="6" t="n">
        <v>0</v>
      </c>
      <c r="AD237" s="6" t="n">
        <v>0</v>
      </c>
      <c r="AE237" s="6" t="n">
        <v>0</v>
      </c>
      <c r="AF237" s="6" t="n">
        <v>0</v>
      </c>
      <c r="AG237" s="6" t="n">
        <v>0</v>
      </c>
      <c r="AH237" s="6" t="n">
        <v>0</v>
      </c>
      <c r="AI237" s="6" t="s">
        <v>84</v>
      </c>
    </row>
    <row r="238" customFormat="false" ht="15" hidden="false" customHeight="false" outlineLevel="0" collapsed="false">
      <c r="A238" s="6" t="n">
        <v>237</v>
      </c>
      <c r="B238" s="6" t="s">
        <v>2108</v>
      </c>
      <c r="C238" s="6" t="n">
        <v>5</v>
      </c>
      <c r="D238" s="6" t="s">
        <v>198</v>
      </c>
      <c r="E238" s="6" t="s">
        <v>81</v>
      </c>
      <c r="F238" s="6" t="n">
        <v>1</v>
      </c>
      <c r="G238" s="6" t="n">
        <v>71</v>
      </c>
      <c r="H238" s="6" t="s">
        <v>2109</v>
      </c>
      <c r="I238" s="22" t="n">
        <v>887500</v>
      </c>
      <c r="J238" s="22" t="n">
        <v>4000</v>
      </c>
      <c r="K238" s="22" t="n">
        <v>66862.5</v>
      </c>
      <c r="L238" s="22" t="n">
        <v>958362.5</v>
      </c>
      <c r="M238" s="6" t="s">
        <v>57</v>
      </c>
      <c r="N238" s="6" t="s">
        <v>58</v>
      </c>
      <c r="O238" s="6"/>
      <c r="P238" s="6" t="s">
        <v>69</v>
      </c>
      <c r="Q238" s="6" t="str">
        <f aca="false">IF(P238="pass","No","Yes")</f>
        <v>No</v>
      </c>
      <c r="R238" s="6" t="s">
        <v>60</v>
      </c>
      <c r="S238" s="6"/>
      <c r="T238" s="6"/>
      <c r="U238" s="23" t="n">
        <v>11.105</v>
      </c>
      <c r="V238" s="6" t="s">
        <v>2110</v>
      </c>
      <c r="W238" s="6" t="s">
        <v>2111</v>
      </c>
      <c r="X238" s="6" t="s">
        <v>2112</v>
      </c>
      <c r="Y238" s="6" t="s">
        <v>60</v>
      </c>
      <c r="Z238" s="6" t="n">
        <v>0</v>
      </c>
      <c r="AA238" s="6" t="n">
        <v>0</v>
      </c>
      <c r="AB238" s="6" t="n">
        <v>0</v>
      </c>
      <c r="AC238" s="6" t="n">
        <v>0</v>
      </c>
      <c r="AD238" s="6" t="n">
        <v>0</v>
      </c>
      <c r="AE238" s="6" t="n">
        <v>0</v>
      </c>
      <c r="AF238" s="6" t="n">
        <v>0</v>
      </c>
      <c r="AG238" s="6" t="n">
        <v>0</v>
      </c>
      <c r="AH238" s="6" t="n">
        <v>0</v>
      </c>
      <c r="AI238" s="6" t="s">
        <v>84</v>
      </c>
    </row>
    <row r="239" customFormat="false" ht="15" hidden="false" customHeight="false" outlineLevel="0" collapsed="false">
      <c r="A239" s="6" t="n">
        <v>238</v>
      </c>
      <c r="B239" s="6" t="s">
        <v>2113</v>
      </c>
      <c r="C239" s="6" t="n">
        <v>5</v>
      </c>
      <c r="D239" s="6" t="s">
        <v>70</v>
      </c>
      <c r="E239" s="6" t="s">
        <v>74</v>
      </c>
      <c r="F239" s="6" t="n">
        <v>2</v>
      </c>
      <c r="G239" s="6" t="n">
        <v>192</v>
      </c>
      <c r="H239" s="6" t="s">
        <v>2114</v>
      </c>
      <c r="I239" s="22" t="n">
        <v>2239000</v>
      </c>
      <c r="J239" s="22" t="n">
        <v>9000</v>
      </c>
      <c r="K239" s="22" t="n">
        <v>168600</v>
      </c>
      <c r="L239" s="22" t="n">
        <v>2416600</v>
      </c>
      <c r="M239" s="6" t="s">
        <v>94</v>
      </c>
      <c r="N239" s="6" t="s">
        <v>84</v>
      </c>
      <c r="O239" s="6" t="s">
        <v>909</v>
      </c>
      <c r="P239" s="6" t="s">
        <v>85</v>
      </c>
      <c r="Q239" s="6" t="str">
        <f aca="false">IF(P239="pass","No","Yes")</f>
        <v>Yes</v>
      </c>
      <c r="R239" s="6" t="s">
        <v>86</v>
      </c>
      <c r="S239" s="6" t="s">
        <v>909</v>
      </c>
      <c r="T239" s="6" t="s">
        <v>254</v>
      </c>
      <c r="U239" s="23" t="n">
        <v>26.886</v>
      </c>
      <c r="V239" s="6" t="s">
        <v>2115</v>
      </c>
      <c r="W239" s="6" t="s">
        <v>2116</v>
      </c>
      <c r="X239" s="6" t="s">
        <v>2117</v>
      </c>
      <c r="Y239" s="6" t="s">
        <v>86</v>
      </c>
      <c r="Z239" s="6" t="n">
        <v>0</v>
      </c>
      <c r="AA239" s="6" t="n">
        <v>0</v>
      </c>
      <c r="AB239" s="6" t="n">
        <v>0</v>
      </c>
      <c r="AC239" s="6" t="n">
        <v>0</v>
      </c>
      <c r="AD239" s="6" t="n">
        <v>0</v>
      </c>
      <c r="AE239" s="6" t="n">
        <v>0</v>
      </c>
      <c r="AF239" s="6" t="n">
        <v>1</v>
      </c>
      <c r="AG239" s="6" t="n">
        <v>0</v>
      </c>
      <c r="AH239" s="6" t="n">
        <v>0</v>
      </c>
      <c r="AI239" s="6" t="s">
        <v>84</v>
      </c>
    </row>
    <row r="240" customFormat="false" ht="15" hidden="false" customHeight="false" outlineLevel="0" collapsed="false">
      <c r="A240" s="6" t="n">
        <v>239</v>
      </c>
      <c r="B240" s="6" t="s">
        <v>2118</v>
      </c>
      <c r="C240" s="6" t="n">
        <v>5</v>
      </c>
      <c r="D240" s="6" t="s">
        <v>177</v>
      </c>
      <c r="E240" s="6" t="s">
        <v>81</v>
      </c>
      <c r="F240" s="6" t="n">
        <v>1</v>
      </c>
      <c r="G240" s="6" t="n">
        <v>125</v>
      </c>
      <c r="H240" s="6" t="s">
        <v>2119</v>
      </c>
      <c r="I240" s="22" t="n">
        <v>1187500</v>
      </c>
      <c r="J240" s="22" t="n">
        <v>4000</v>
      </c>
      <c r="K240" s="22" t="n">
        <v>89362.5</v>
      </c>
      <c r="L240" s="22" t="n">
        <v>1280862.5</v>
      </c>
      <c r="M240" s="6" t="s">
        <v>984</v>
      </c>
      <c r="N240" s="6" t="s">
        <v>84</v>
      </c>
      <c r="O240" s="6" t="s">
        <v>985</v>
      </c>
      <c r="P240" s="6" t="s">
        <v>85</v>
      </c>
      <c r="Q240" s="6" t="str">
        <f aca="false">IF(P240="pass","No","Yes")</f>
        <v>Yes</v>
      </c>
      <c r="R240" s="6" t="s">
        <v>86</v>
      </c>
      <c r="S240" s="6" t="s">
        <v>985</v>
      </c>
      <c r="T240" s="6" t="s">
        <v>986</v>
      </c>
      <c r="U240" s="23" t="n">
        <v>20.418</v>
      </c>
      <c r="V240" s="6" t="s">
        <v>2120</v>
      </c>
      <c r="W240" s="6" t="s">
        <v>2121</v>
      </c>
      <c r="X240" s="6" t="s">
        <v>2122</v>
      </c>
      <c r="Y240" s="6" t="s">
        <v>86</v>
      </c>
      <c r="Z240" s="6" t="n">
        <v>0</v>
      </c>
      <c r="AA240" s="6" t="n">
        <v>0</v>
      </c>
      <c r="AB240" s="6" t="n">
        <v>0</v>
      </c>
      <c r="AC240" s="6" t="n">
        <v>0</v>
      </c>
      <c r="AD240" s="6" t="n">
        <v>0</v>
      </c>
      <c r="AE240" s="6" t="n">
        <v>1</v>
      </c>
      <c r="AF240" s="6" t="n">
        <v>0</v>
      </c>
      <c r="AG240" s="6" t="n">
        <v>0</v>
      </c>
      <c r="AH240" s="6" t="n">
        <v>0</v>
      </c>
      <c r="AI240" s="6" t="s">
        <v>84</v>
      </c>
    </row>
    <row r="241" customFormat="false" ht="15" hidden="false" customHeight="false" outlineLevel="0" collapsed="false">
      <c r="A241" s="6" t="n">
        <v>240</v>
      </c>
      <c r="B241" s="6" t="s">
        <v>2123</v>
      </c>
      <c r="C241" s="6" t="n">
        <v>5</v>
      </c>
      <c r="D241" s="6" t="s">
        <v>77</v>
      </c>
      <c r="E241" s="6" t="s">
        <v>81</v>
      </c>
      <c r="F241" s="6" t="n">
        <v>3</v>
      </c>
      <c r="G241" s="6" t="n">
        <v>27</v>
      </c>
      <c r="H241" s="6" t="s">
        <v>2124</v>
      </c>
      <c r="I241" s="22" t="n">
        <v>662000</v>
      </c>
      <c r="J241" s="22" t="n">
        <v>4000</v>
      </c>
      <c r="K241" s="22" t="n">
        <v>49950</v>
      </c>
      <c r="L241" s="22" t="n">
        <v>715950</v>
      </c>
      <c r="M241" s="6" t="s">
        <v>224</v>
      </c>
      <c r="N241" s="6" t="s">
        <v>84</v>
      </c>
      <c r="O241" s="6" t="s">
        <v>866</v>
      </c>
      <c r="P241" s="6" t="s">
        <v>85</v>
      </c>
      <c r="Q241" s="6" t="str">
        <f aca="false">IF(P241="pass","No","Yes")</f>
        <v>Yes</v>
      </c>
      <c r="R241" s="6" t="s">
        <v>86</v>
      </c>
      <c r="S241" s="6" t="s">
        <v>866</v>
      </c>
      <c r="T241" s="6" t="s">
        <v>225</v>
      </c>
      <c r="U241" s="23" t="n">
        <v>23.403</v>
      </c>
      <c r="V241" s="6" t="s">
        <v>2125</v>
      </c>
      <c r="W241" s="6" t="s">
        <v>2126</v>
      </c>
      <c r="X241" s="6" t="s">
        <v>2127</v>
      </c>
      <c r="Y241" s="6" t="s">
        <v>86</v>
      </c>
      <c r="Z241" s="6" t="n">
        <v>1</v>
      </c>
      <c r="AA241" s="6" t="n">
        <v>0</v>
      </c>
      <c r="AB241" s="6" t="n">
        <v>0</v>
      </c>
      <c r="AC241" s="6" t="n">
        <v>0</v>
      </c>
      <c r="AD241" s="6" t="n">
        <v>0</v>
      </c>
      <c r="AE241" s="6" t="n">
        <v>0</v>
      </c>
      <c r="AF241" s="6" t="n">
        <v>0</v>
      </c>
      <c r="AG241" s="6" t="n">
        <v>0</v>
      </c>
      <c r="AH241" s="6" t="n">
        <v>0</v>
      </c>
      <c r="AI241" s="6" t="s">
        <v>58</v>
      </c>
    </row>
    <row r="242" customFormat="false" ht="15" hidden="false" customHeight="false" outlineLevel="0" collapsed="false">
      <c r="A242" s="6" t="n">
        <v>241</v>
      </c>
      <c r="B242" s="6" t="s">
        <v>2128</v>
      </c>
      <c r="C242" s="6" t="n">
        <v>5</v>
      </c>
      <c r="D242" s="6" t="s">
        <v>177</v>
      </c>
      <c r="E242" s="6" t="s">
        <v>81</v>
      </c>
      <c r="F242" s="6" t="n">
        <v>3</v>
      </c>
      <c r="G242" s="6" t="n">
        <v>169</v>
      </c>
      <c r="H242" s="6" t="s">
        <v>2129</v>
      </c>
      <c r="I242" s="22" t="n">
        <v>2490000</v>
      </c>
      <c r="J242" s="22" t="n">
        <v>4000</v>
      </c>
      <c r="K242" s="22" t="n">
        <v>187050</v>
      </c>
      <c r="L242" s="22" t="n">
        <v>2681050</v>
      </c>
      <c r="M242" s="6" t="s">
        <v>94</v>
      </c>
      <c r="N242" s="6" t="s">
        <v>84</v>
      </c>
      <c r="O242" s="6" t="s">
        <v>909</v>
      </c>
      <c r="P242" s="6" t="s">
        <v>85</v>
      </c>
      <c r="Q242" s="6" t="str">
        <f aca="false">IF(P242="pass","No","Yes")</f>
        <v>Yes</v>
      </c>
      <c r="R242" s="6" t="s">
        <v>86</v>
      </c>
      <c r="S242" s="6" t="s">
        <v>909</v>
      </c>
      <c r="T242" s="6" t="s">
        <v>254</v>
      </c>
      <c r="U242" s="23" t="n">
        <v>23.908</v>
      </c>
      <c r="V242" s="6" t="s">
        <v>2130</v>
      </c>
      <c r="W242" s="6" t="s">
        <v>2131</v>
      </c>
      <c r="X242" s="6" t="s">
        <v>2132</v>
      </c>
      <c r="Y242" s="6" t="s">
        <v>86</v>
      </c>
      <c r="Z242" s="6" t="n">
        <v>0</v>
      </c>
      <c r="AA242" s="6" t="n">
        <v>0</v>
      </c>
      <c r="AB242" s="6" t="n">
        <v>0</v>
      </c>
      <c r="AC242" s="6" t="n">
        <v>0</v>
      </c>
      <c r="AD242" s="6" t="n">
        <v>0</v>
      </c>
      <c r="AE242" s="6" t="n">
        <v>0</v>
      </c>
      <c r="AF242" s="6" t="n">
        <v>1</v>
      </c>
      <c r="AG242" s="6" t="n">
        <v>0</v>
      </c>
      <c r="AH242" s="6" t="n">
        <v>0</v>
      </c>
      <c r="AI242" s="6" t="s">
        <v>84</v>
      </c>
    </row>
    <row r="243" customFormat="false" ht="15" hidden="false" customHeight="false" outlineLevel="0" collapsed="false">
      <c r="A243" s="6" t="n">
        <v>242</v>
      </c>
      <c r="B243" s="6" t="s">
        <v>2133</v>
      </c>
      <c r="C243" s="6" t="n">
        <v>5</v>
      </c>
      <c r="D243" s="6" t="s">
        <v>89</v>
      </c>
      <c r="E243" s="6" t="s">
        <v>67</v>
      </c>
      <c r="F243" s="6" t="n">
        <v>2</v>
      </c>
      <c r="G243" s="6" t="n">
        <v>33</v>
      </c>
      <c r="H243" s="6" t="s">
        <v>2134</v>
      </c>
      <c r="I243" s="22" t="n">
        <v>374000</v>
      </c>
      <c r="J243" s="22" t="n">
        <v>4500</v>
      </c>
      <c r="K243" s="22" t="n">
        <v>28387.5</v>
      </c>
      <c r="L243" s="22" t="n">
        <v>406887.5</v>
      </c>
      <c r="M243" s="6" t="s">
        <v>57</v>
      </c>
      <c r="N243" s="6" t="s">
        <v>58</v>
      </c>
      <c r="O243" s="6"/>
      <c r="P243" s="6" t="s">
        <v>69</v>
      </c>
      <c r="Q243" s="6" t="str">
        <f aca="false">IF(P243="pass","No","Yes")</f>
        <v>No</v>
      </c>
      <c r="R243" s="6" t="s">
        <v>60</v>
      </c>
      <c r="S243" s="6"/>
      <c r="T243" s="6"/>
      <c r="U243" s="23" t="n">
        <v>19.346</v>
      </c>
      <c r="V243" s="6" t="s">
        <v>2135</v>
      </c>
      <c r="W243" s="6" t="s">
        <v>2136</v>
      </c>
      <c r="X243" s="6" t="s">
        <v>2137</v>
      </c>
      <c r="Y243" s="6" t="s">
        <v>60</v>
      </c>
      <c r="Z243" s="6" t="n">
        <v>0</v>
      </c>
      <c r="AA243" s="6" t="n">
        <v>0</v>
      </c>
      <c r="AB243" s="6" t="n">
        <v>0</v>
      </c>
      <c r="AC243" s="6" t="n">
        <v>0</v>
      </c>
      <c r="AD243" s="6" t="n">
        <v>0</v>
      </c>
      <c r="AE243" s="6" t="n">
        <v>0</v>
      </c>
      <c r="AF243" s="6" t="n">
        <v>0</v>
      </c>
      <c r="AG243" s="6" t="n">
        <v>0</v>
      </c>
      <c r="AH243" s="6" t="n">
        <v>0</v>
      </c>
      <c r="AI243" s="6" t="s">
        <v>84</v>
      </c>
    </row>
    <row r="244" customFormat="false" ht="15" hidden="false" customHeight="false" outlineLevel="0" collapsed="false">
      <c r="A244" s="6" t="n">
        <v>243</v>
      </c>
      <c r="B244" s="6" t="s">
        <v>2138</v>
      </c>
      <c r="C244" s="6" t="n">
        <v>5</v>
      </c>
      <c r="D244" s="6" t="s">
        <v>112</v>
      </c>
      <c r="E244" s="6" t="s">
        <v>116</v>
      </c>
      <c r="F244" s="6" t="n">
        <v>2</v>
      </c>
      <c r="G244" s="6" t="n">
        <v>96</v>
      </c>
      <c r="H244" s="6" t="s">
        <v>2139</v>
      </c>
      <c r="I244" s="22" t="n">
        <v>940500</v>
      </c>
      <c r="J244" s="22" t="n">
        <v>15000</v>
      </c>
      <c r="K244" s="22" t="n">
        <v>71662.5</v>
      </c>
      <c r="L244" s="22" t="n">
        <v>1027162.5</v>
      </c>
      <c r="M244" s="6" t="s">
        <v>984</v>
      </c>
      <c r="N244" s="6" t="s">
        <v>84</v>
      </c>
      <c r="O244" s="6" t="s">
        <v>985</v>
      </c>
      <c r="P244" s="6" t="s">
        <v>85</v>
      </c>
      <c r="Q244" s="6" t="str">
        <f aca="false">IF(P244="pass","No","Yes")</f>
        <v>Yes</v>
      </c>
      <c r="R244" s="6" t="s">
        <v>86</v>
      </c>
      <c r="S244" s="6" t="s">
        <v>1885</v>
      </c>
      <c r="T244" s="6" t="s">
        <v>2140</v>
      </c>
      <c r="U244" s="23" t="n">
        <v>26.844</v>
      </c>
      <c r="V244" s="6" t="s">
        <v>2141</v>
      </c>
      <c r="W244" s="6" t="s">
        <v>2142</v>
      </c>
      <c r="X244" s="6" t="s">
        <v>2143</v>
      </c>
      <c r="Y244" s="6" t="s">
        <v>86</v>
      </c>
      <c r="Z244" s="6" t="n">
        <v>0</v>
      </c>
      <c r="AA244" s="6" t="n">
        <v>0</v>
      </c>
      <c r="AB244" s="6" t="n">
        <v>0</v>
      </c>
      <c r="AC244" s="6" t="n">
        <v>0</v>
      </c>
      <c r="AD244" s="6" t="n">
        <v>0</v>
      </c>
      <c r="AE244" s="6" t="n">
        <v>1</v>
      </c>
      <c r="AF244" s="6" t="n">
        <v>0</v>
      </c>
      <c r="AG244" s="6" t="n">
        <v>0</v>
      </c>
      <c r="AH244" s="6" t="n">
        <v>1</v>
      </c>
      <c r="AI244" s="6" t="s">
        <v>84</v>
      </c>
    </row>
    <row r="245" customFormat="false" ht="15" hidden="false" customHeight="false" outlineLevel="0" collapsed="false">
      <c r="A245" s="6" t="n">
        <v>244</v>
      </c>
      <c r="B245" s="6" t="s">
        <v>2144</v>
      </c>
      <c r="C245" s="6" t="n">
        <v>5</v>
      </c>
      <c r="D245" s="6" t="s">
        <v>127</v>
      </c>
      <c r="E245" s="6" t="s">
        <v>55</v>
      </c>
      <c r="F245" s="6" t="n">
        <v>1</v>
      </c>
      <c r="G245" s="6" t="n">
        <v>171</v>
      </c>
      <c r="H245" s="6" t="s">
        <v>2145</v>
      </c>
      <c r="I245" s="22" t="n">
        <v>1624500</v>
      </c>
      <c r="J245" s="22" t="n">
        <v>6000</v>
      </c>
      <c r="K245" s="22" t="n">
        <v>122287.5</v>
      </c>
      <c r="L245" s="22" t="n">
        <v>1752787.5</v>
      </c>
      <c r="M245" s="6" t="s">
        <v>57</v>
      </c>
      <c r="N245" s="6" t="s">
        <v>58</v>
      </c>
      <c r="O245" s="6"/>
      <c r="P245" s="6" t="s">
        <v>59</v>
      </c>
      <c r="Q245" s="6" t="str">
        <f aca="false">IF(P245="pass","No","Yes")</f>
        <v>Yes</v>
      </c>
      <c r="R245" s="6" t="s">
        <v>60</v>
      </c>
      <c r="S245" s="6" t="s">
        <v>915</v>
      </c>
      <c r="T245" s="6" t="s">
        <v>2146</v>
      </c>
      <c r="U245" s="23" t="n">
        <v>21.706</v>
      </c>
      <c r="V245" s="6" t="s">
        <v>2147</v>
      </c>
      <c r="W245" s="6" t="s">
        <v>2148</v>
      </c>
      <c r="X245" s="6" t="s">
        <v>2149</v>
      </c>
      <c r="Y245" s="6" t="s">
        <v>60</v>
      </c>
      <c r="Z245" s="6" t="n">
        <v>0</v>
      </c>
      <c r="AA245" s="6" t="n">
        <v>0</v>
      </c>
      <c r="AB245" s="6" t="n">
        <v>0</v>
      </c>
      <c r="AC245" s="6" t="n">
        <v>0</v>
      </c>
      <c r="AD245" s="6" t="n">
        <v>0</v>
      </c>
      <c r="AE245" s="6" t="n">
        <v>0</v>
      </c>
      <c r="AF245" s="6" t="n">
        <v>0</v>
      </c>
      <c r="AG245" s="6" t="n">
        <v>0</v>
      </c>
      <c r="AH245" s="6" t="n">
        <v>1</v>
      </c>
      <c r="AI245" s="6" t="s">
        <v>84</v>
      </c>
    </row>
    <row r="246" customFormat="false" ht="15" hidden="false" customHeight="false" outlineLevel="0" collapsed="false">
      <c r="A246" s="6" t="n">
        <v>245</v>
      </c>
      <c r="B246" s="6" t="s">
        <v>2150</v>
      </c>
      <c r="C246" s="6" t="n">
        <v>5</v>
      </c>
      <c r="D246" s="6" t="s">
        <v>51</v>
      </c>
      <c r="E246" s="6" t="s">
        <v>55</v>
      </c>
      <c r="F246" s="6" t="n">
        <v>3</v>
      </c>
      <c r="G246" s="6" t="n">
        <v>141</v>
      </c>
      <c r="H246" s="6" t="s">
        <v>2151</v>
      </c>
      <c r="I246" s="22" t="n">
        <v>2391900</v>
      </c>
      <c r="J246" s="22" t="n">
        <v>6000</v>
      </c>
      <c r="K246" s="22" t="n">
        <v>179842.5</v>
      </c>
      <c r="L246" s="22" t="n">
        <v>2577742.5</v>
      </c>
      <c r="M246" s="6" t="s">
        <v>57</v>
      </c>
      <c r="N246" s="6" t="s">
        <v>58</v>
      </c>
      <c r="O246" s="6"/>
      <c r="P246" s="6" t="s">
        <v>69</v>
      </c>
      <c r="Q246" s="6" t="str">
        <f aca="false">IF(P246="pass","No","Yes")</f>
        <v>No</v>
      </c>
      <c r="R246" s="6" t="s">
        <v>60</v>
      </c>
      <c r="S246" s="6"/>
      <c r="T246" s="6"/>
      <c r="U246" s="23" t="n">
        <v>26.132</v>
      </c>
      <c r="V246" s="6" t="s">
        <v>2152</v>
      </c>
      <c r="W246" s="6" t="s">
        <v>2153</v>
      </c>
      <c r="X246" s="6" t="s">
        <v>2154</v>
      </c>
      <c r="Y246" s="6" t="s">
        <v>60</v>
      </c>
      <c r="Z246" s="6" t="n">
        <v>0</v>
      </c>
      <c r="AA246" s="6" t="n">
        <v>0</v>
      </c>
      <c r="AB246" s="6" t="n">
        <v>0</v>
      </c>
      <c r="AC246" s="6" t="n">
        <v>0</v>
      </c>
      <c r="AD246" s="6" t="n">
        <v>0</v>
      </c>
      <c r="AE246" s="6" t="n">
        <v>0</v>
      </c>
      <c r="AF246" s="6" t="n">
        <v>0</v>
      </c>
      <c r="AG246" s="6" t="n">
        <v>0</v>
      </c>
      <c r="AH246" s="6" t="n">
        <v>0</v>
      </c>
      <c r="AI246" s="6" t="s">
        <v>84</v>
      </c>
    </row>
    <row r="247" customFormat="false" ht="15" hidden="false" customHeight="false" outlineLevel="0" collapsed="false">
      <c r="A247" s="6" t="n">
        <v>246</v>
      </c>
      <c r="B247" s="6" t="s">
        <v>2155</v>
      </c>
      <c r="C247" s="6" t="n">
        <v>5</v>
      </c>
      <c r="D247" s="6" t="s">
        <v>70</v>
      </c>
      <c r="E247" s="6" t="s">
        <v>74</v>
      </c>
      <c r="F247" s="6" t="n">
        <v>3</v>
      </c>
      <c r="G247" s="6" t="n">
        <v>34</v>
      </c>
      <c r="H247" s="6" t="s">
        <v>2156</v>
      </c>
      <c r="I247" s="22" t="n">
        <v>1016200</v>
      </c>
      <c r="J247" s="22" t="n">
        <v>9000</v>
      </c>
      <c r="K247" s="22" t="n">
        <v>76890</v>
      </c>
      <c r="L247" s="22" t="n">
        <v>1102090</v>
      </c>
      <c r="M247" s="6" t="s">
        <v>1042</v>
      </c>
      <c r="N247" s="6" t="s">
        <v>58</v>
      </c>
      <c r="O247" s="6"/>
      <c r="P247" s="6" t="s">
        <v>69</v>
      </c>
      <c r="Q247" s="6" t="str">
        <f aca="false">IF(P247="pass","No","Yes")</f>
        <v>No</v>
      </c>
      <c r="R247" s="6" t="s">
        <v>60</v>
      </c>
      <c r="S247" s="6"/>
      <c r="T247" s="6"/>
      <c r="U247" s="23" t="n">
        <v>26.709</v>
      </c>
      <c r="V247" s="6" t="s">
        <v>2157</v>
      </c>
      <c r="W247" s="6" t="s">
        <v>2158</v>
      </c>
      <c r="X247" s="6" t="s">
        <v>2159</v>
      </c>
      <c r="Y247" s="6" t="s">
        <v>60</v>
      </c>
      <c r="Z247" s="6" t="n">
        <v>0</v>
      </c>
      <c r="AA247" s="6" t="n">
        <v>0</v>
      </c>
      <c r="AB247" s="6" t="n">
        <v>0</v>
      </c>
      <c r="AC247" s="6" t="n">
        <v>0</v>
      </c>
      <c r="AD247" s="6" t="n">
        <v>0</v>
      </c>
      <c r="AE247" s="6" t="n">
        <v>0</v>
      </c>
      <c r="AF247" s="6" t="n">
        <v>0</v>
      </c>
      <c r="AG247" s="6" t="n">
        <v>0</v>
      </c>
      <c r="AH247" s="6" t="n">
        <v>0</v>
      </c>
      <c r="AI247" s="6" t="s">
        <v>84</v>
      </c>
    </row>
    <row r="248" customFormat="false" ht="15" hidden="false" customHeight="false" outlineLevel="0" collapsed="false">
      <c r="A248" s="6" t="n">
        <v>247</v>
      </c>
      <c r="B248" s="6" t="s">
        <v>2160</v>
      </c>
      <c r="C248" s="6" t="n">
        <v>5</v>
      </c>
      <c r="D248" s="6" t="s">
        <v>70</v>
      </c>
      <c r="E248" s="6" t="s">
        <v>74</v>
      </c>
      <c r="F248" s="6" t="n">
        <v>4</v>
      </c>
      <c r="G248" s="6" t="n">
        <v>139</v>
      </c>
      <c r="H248" s="6" t="s">
        <v>2161</v>
      </c>
      <c r="I248" s="22" t="n">
        <v>2289000</v>
      </c>
      <c r="J248" s="22" t="n">
        <v>9000</v>
      </c>
      <c r="K248" s="22" t="n">
        <v>172350</v>
      </c>
      <c r="L248" s="22" t="n">
        <v>2470350</v>
      </c>
      <c r="M248" s="6" t="s">
        <v>83</v>
      </c>
      <c r="N248" s="6" t="s">
        <v>84</v>
      </c>
      <c r="O248" s="6" t="s">
        <v>886</v>
      </c>
      <c r="P248" s="6" t="s">
        <v>85</v>
      </c>
      <c r="Q248" s="6" t="str">
        <f aca="false">IF(P248="pass","No","Yes")</f>
        <v>Yes</v>
      </c>
      <c r="R248" s="6" t="s">
        <v>86</v>
      </c>
      <c r="S248" s="6" t="s">
        <v>886</v>
      </c>
      <c r="T248" s="6" t="s">
        <v>517</v>
      </c>
      <c r="U248" s="23" t="n">
        <v>40.658</v>
      </c>
      <c r="V248" s="6" t="s">
        <v>2162</v>
      </c>
      <c r="W248" s="6" t="s">
        <v>2163</v>
      </c>
      <c r="X248" s="6" t="s">
        <v>2164</v>
      </c>
      <c r="Y248" s="6" t="s">
        <v>86</v>
      </c>
      <c r="Z248" s="6" t="n">
        <v>0</v>
      </c>
      <c r="AA248" s="6" t="n">
        <v>0</v>
      </c>
      <c r="AB248" s="6" t="n">
        <v>1</v>
      </c>
      <c r="AC248" s="6" t="n">
        <v>0</v>
      </c>
      <c r="AD248" s="6" t="n">
        <v>0</v>
      </c>
      <c r="AE248" s="6" t="n">
        <v>0</v>
      </c>
      <c r="AF248" s="6" t="n">
        <v>0</v>
      </c>
      <c r="AG248" s="6" t="n">
        <v>0</v>
      </c>
      <c r="AH248" s="6" t="n">
        <v>0</v>
      </c>
      <c r="AI248" s="6" t="s">
        <v>84</v>
      </c>
    </row>
    <row r="249" customFormat="false" ht="15" hidden="false" customHeight="false" outlineLevel="0" collapsed="false">
      <c r="A249" s="6" t="n">
        <v>248</v>
      </c>
      <c r="B249" s="6" t="s">
        <v>2165</v>
      </c>
      <c r="C249" s="6" t="n">
        <v>5</v>
      </c>
      <c r="D249" s="6" t="s">
        <v>213</v>
      </c>
      <c r="E249" s="6" t="s">
        <v>67</v>
      </c>
      <c r="F249" s="6" t="n">
        <v>3</v>
      </c>
      <c r="G249" s="6" t="n">
        <v>36</v>
      </c>
      <c r="H249" s="6" t="s">
        <v>2166</v>
      </c>
      <c r="I249" s="22" t="n">
        <v>686800</v>
      </c>
      <c r="J249" s="22" t="n">
        <v>4500</v>
      </c>
      <c r="K249" s="22" t="n">
        <v>51847.5</v>
      </c>
      <c r="L249" s="22" t="n">
        <v>743147.5</v>
      </c>
      <c r="M249" s="6" t="s">
        <v>152</v>
      </c>
      <c r="N249" s="6" t="s">
        <v>84</v>
      </c>
      <c r="O249" s="6" t="s">
        <v>886</v>
      </c>
      <c r="P249" s="6" t="s">
        <v>85</v>
      </c>
      <c r="Q249" s="6" t="str">
        <f aca="false">IF(P249="pass","No","Yes")</f>
        <v>Yes</v>
      </c>
      <c r="R249" s="6" t="s">
        <v>86</v>
      </c>
      <c r="S249" s="6" t="s">
        <v>886</v>
      </c>
      <c r="T249" s="6" t="s">
        <v>264</v>
      </c>
      <c r="U249" s="23" t="n">
        <v>18.223</v>
      </c>
      <c r="V249" s="6" t="s">
        <v>2167</v>
      </c>
      <c r="W249" s="6" t="s">
        <v>2168</v>
      </c>
      <c r="X249" s="6" t="s">
        <v>2169</v>
      </c>
      <c r="Y249" s="6" t="s">
        <v>86</v>
      </c>
      <c r="Z249" s="6" t="n">
        <v>0</v>
      </c>
      <c r="AA249" s="6" t="n">
        <v>0</v>
      </c>
      <c r="AB249" s="6" t="n">
        <v>1</v>
      </c>
      <c r="AC249" s="6" t="n">
        <v>0</v>
      </c>
      <c r="AD249" s="6" t="n">
        <v>0</v>
      </c>
      <c r="AE249" s="6" t="n">
        <v>0</v>
      </c>
      <c r="AF249" s="6" t="n">
        <v>0</v>
      </c>
      <c r="AG249" s="6" t="n">
        <v>0</v>
      </c>
      <c r="AH249" s="6" t="n">
        <v>0</v>
      </c>
      <c r="AI249" s="6" t="s">
        <v>84</v>
      </c>
    </row>
    <row r="250" customFormat="false" ht="15" hidden="false" customHeight="false" outlineLevel="0" collapsed="false">
      <c r="A250" s="6" t="n">
        <v>249</v>
      </c>
      <c r="B250" s="6" t="s">
        <v>2170</v>
      </c>
      <c r="C250" s="6" t="n">
        <v>5</v>
      </c>
      <c r="D250" s="6" t="s">
        <v>186</v>
      </c>
      <c r="E250" s="6" t="s">
        <v>123</v>
      </c>
      <c r="F250" s="6" t="n">
        <v>3</v>
      </c>
      <c r="G250" s="6" t="n">
        <v>64</v>
      </c>
      <c r="H250" s="6" t="s">
        <v>2171</v>
      </c>
      <c r="I250" s="22" t="n">
        <v>1248000</v>
      </c>
      <c r="J250" s="22" t="n">
        <v>5000</v>
      </c>
      <c r="K250" s="22" t="n">
        <v>93975</v>
      </c>
      <c r="L250" s="22" t="n">
        <v>1346975</v>
      </c>
      <c r="M250" s="6" t="s">
        <v>960</v>
      </c>
      <c r="N250" s="6" t="s">
        <v>84</v>
      </c>
      <c r="O250" s="6" t="s">
        <v>961</v>
      </c>
      <c r="P250" s="6" t="s">
        <v>85</v>
      </c>
      <c r="Q250" s="6" t="str">
        <f aca="false">IF(P250="pass","No","Yes")</f>
        <v>Yes</v>
      </c>
      <c r="R250" s="6" t="s">
        <v>86</v>
      </c>
      <c r="S250" s="6" t="s">
        <v>961</v>
      </c>
      <c r="T250" s="6" t="s">
        <v>962</v>
      </c>
      <c r="U250" s="23" t="n">
        <v>24.648</v>
      </c>
      <c r="V250" s="6" t="s">
        <v>2172</v>
      </c>
      <c r="W250" s="6" t="s">
        <v>2173</v>
      </c>
      <c r="X250" s="6" t="s">
        <v>2174</v>
      </c>
      <c r="Y250" s="6" t="s">
        <v>86</v>
      </c>
      <c r="Z250" s="6" t="n">
        <v>0</v>
      </c>
      <c r="AA250" s="6" t="n">
        <v>0</v>
      </c>
      <c r="AB250" s="6" t="n">
        <v>0</v>
      </c>
      <c r="AC250" s="6" t="n">
        <v>0</v>
      </c>
      <c r="AD250" s="6" t="n">
        <v>1</v>
      </c>
      <c r="AE250" s="6" t="n">
        <v>0</v>
      </c>
      <c r="AF250" s="6" t="n">
        <v>0</v>
      </c>
      <c r="AG250" s="6" t="n">
        <v>0</v>
      </c>
      <c r="AH250" s="6" t="n">
        <v>0</v>
      </c>
      <c r="AI250" s="6" t="s">
        <v>84</v>
      </c>
    </row>
    <row r="251" customFormat="false" ht="15" hidden="false" customHeight="false" outlineLevel="0" collapsed="false">
      <c r="A251" s="6" t="n">
        <v>250</v>
      </c>
      <c r="B251" s="6" t="s">
        <v>2175</v>
      </c>
      <c r="C251" s="6" t="n">
        <v>5</v>
      </c>
      <c r="D251" s="6" t="s">
        <v>70</v>
      </c>
      <c r="E251" s="6" t="s">
        <v>74</v>
      </c>
      <c r="F251" s="6" t="n">
        <v>1</v>
      </c>
      <c r="G251" s="6" t="n">
        <v>3</v>
      </c>
      <c r="H251" s="6" t="s">
        <v>2176</v>
      </c>
      <c r="I251" s="22" t="n">
        <v>114000</v>
      </c>
      <c r="J251" s="22" t="n">
        <v>9000</v>
      </c>
      <c r="K251" s="22" t="n">
        <v>9225</v>
      </c>
      <c r="L251" s="22" t="n">
        <v>132225</v>
      </c>
      <c r="M251" s="6" t="s">
        <v>57</v>
      </c>
      <c r="N251" s="6" t="s">
        <v>58</v>
      </c>
      <c r="O251" s="6"/>
      <c r="P251" s="6" t="s">
        <v>69</v>
      </c>
      <c r="Q251" s="6" t="str">
        <f aca="false">IF(P251="pass","No","Yes")</f>
        <v>No</v>
      </c>
      <c r="R251" s="6" t="s">
        <v>60</v>
      </c>
      <c r="S251" s="6"/>
      <c r="T251" s="6"/>
      <c r="U251" s="23" t="n">
        <v>12.513</v>
      </c>
      <c r="V251" s="6" t="s">
        <v>2177</v>
      </c>
      <c r="W251" s="6" t="s">
        <v>2178</v>
      </c>
      <c r="X251" s="6" t="s">
        <v>2179</v>
      </c>
      <c r="Y251" s="6" t="s">
        <v>60</v>
      </c>
      <c r="Z251" s="6" t="n">
        <v>0</v>
      </c>
      <c r="AA251" s="6" t="n">
        <v>0</v>
      </c>
      <c r="AB251" s="6" t="n">
        <v>0</v>
      </c>
      <c r="AC251" s="6" t="n">
        <v>0</v>
      </c>
      <c r="AD251" s="6" t="n">
        <v>0</v>
      </c>
      <c r="AE251" s="6" t="n">
        <v>0</v>
      </c>
      <c r="AF251" s="6" t="n">
        <v>0</v>
      </c>
      <c r="AG251" s="6" t="n">
        <v>0</v>
      </c>
      <c r="AH251" s="6" t="n">
        <v>0</v>
      </c>
      <c r="AI251" s="6" t="s">
        <v>84</v>
      </c>
    </row>
    <row r="252" customFormat="false" ht="15" hidden="false" customHeight="false" outlineLevel="0" collapsed="false">
      <c r="A252" s="6" t="n">
        <v>251</v>
      </c>
      <c r="B252" s="6" t="s">
        <v>2180</v>
      </c>
      <c r="C252" s="6" t="n">
        <v>6</v>
      </c>
      <c r="D252" s="6" t="s">
        <v>105</v>
      </c>
      <c r="E252" s="6" t="s">
        <v>81</v>
      </c>
      <c r="F252" s="6" t="n">
        <v>1</v>
      </c>
      <c r="G252" s="6" t="n">
        <v>134</v>
      </c>
      <c r="H252" s="6" t="s">
        <v>2181</v>
      </c>
      <c r="I252" s="22" t="n">
        <v>1273000</v>
      </c>
      <c r="J252" s="22" t="n">
        <v>4000</v>
      </c>
      <c r="K252" s="22" t="n">
        <v>95775</v>
      </c>
      <c r="L252" s="22" t="n">
        <v>1372775</v>
      </c>
      <c r="M252" s="6" t="s">
        <v>57</v>
      </c>
      <c r="N252" s="6" t="s">
        <v>58</v>
      </c>
      <c r="O252" s="6"/>
      <c r="P252" s="6" t="s">
        <v>59</v>
      </c>
      <c r="Q252" s="6" t="str">
        <f aca="false">IF(P252="pass","No","Yes")</f>
        <v>Yes</v>
      </c>
      <c r="R252" s="6" t="s">
        <v>60</v>
      </c>
      <c r="S252" s="6" t="s">
        <v>915</v>
      </c>
      <c r="T252" s="6" t="s">
        <v>2182</v>
      </c>
      <c r="U252" s="23" t="n">
        <v>22.372</v>
      </c>
      <c r="V252" s="6" t="s">
        <v>2183</v>
      </c>
      <c r="W252" s="6" t="s">
        <v>2184</v>
      </c>
      <c r="X252" s="6" t="s">
        <v>2185</v>
      </c>
      <c r="Y252" s="6" t="s">
        <v>60</v>
      </c>
      <c r="Z252" s="6" t="n">
        <v>0</v>
      </c>
      <c r="AA252" s="6" t="n">
        <v>0</v>
      </c>
      <c r="AB252" s="6" t="n">
        <v>0</v>
      </c>
      <c r="AC252" s="6" t="n">
        <v>0</v>
      </c>
      <c r="AD252" s="6" t="n">
        <v>0</v>
      </c>
      <c r="AE252" s="6" t="n">
        <v>0</v>
      </c>
      <c r="AF252" s="6" t="n">
        <v>0</v>
      </c>
      <c r="AG252" s="6" t="n">
        <v>0</v>
      </c>
      <c r="AH252" s="6" t="n">
        <v>1</v>
      </c>
      <c r="AI252" s="6" t="s">
        <v>84</v>
      </c>
    </row>
    <row r="253" customFormat="false" ht="15" hidden="false" customHeight="false" outlineLevel="0" collapsed="false">
      <c r="A253" s="6" t="n">
        <v>252</v>
      </c>
      <c r="B253" s="6" t="s">
        <v>2186</v>
      </c>
      <c r="C253" s="6" t="n">
        <v>6</v>
      </c>
      <c r="D253" s="6" t="s">
        <v>198</v>
      </c>
      <c r="E253" s="6" t="s">
        <v>81</v>
      </c>
      <c r="F253" s="6" t="n">
        <v>2</v>
      </c>
      <c r="G253" s="6" t="n">
        <v>7</v>
      </c>
      <c r="H253" s="6" t="s">
        <v>2187</v>
      </c>
      <c r="I253" s="22" t="n">
        <v>364000</v>
      </c>
      <c r="J253" s="22" t="n">
        <v>4000</v>
      </c>
      <c r="K253" s="22" t="n">
        <v>27600</v>
      </c>
      <c r="L253" s="22" t="n">
        <v>395600</v>
      </c>
      <c r="M253" s="6" t="s">
        <v>272</v>
      </c>
      <c r="N253" s="6" t="s">
        <v>84</v>
      </c>
      <c r="O253" s="6" t="s">
        <v>879</v>
      </c>
      <c r="P253" s="6" t="s">
        <v>85</v>
      </c>
      <c r="Q253" s="6" t="str">
        <f aca="false">IF(P253="pass","No","Yes")</f>
        <v>Yes</v>
      </c>
      <c r="R253" s="6" t="s">
        <v>86</v>
      </c>
      <c r="S253" s="6" t="s">
        <v>879</v>
      </c>
      <c r="T253" s="6" t="s">
        <v>2188</v>
      </c>
      <c r="U253" s="23" t="n">
        <v>11.998</v>
      </c>
      <c r="V253" s="6" t="s">
        <v>2189</v>
      </c>
      <c r="W253" s="6" t="s">
        <v>2190</v>
      </c>
      <c r="X253" s="6" t="s">
        <v>2191</v>
      </c>
      <c r="Y253" s="6" t="s">
        <v>86</v>
      </c>
      <c r="Z253" s="6" t="n">
        <v>0</v>
      </c>
      <c r="AA253" s="6" t="n">
        <v>1</v>
      </c>
      <c r="AB253" s="6" t="n">
        <v>0</v>
      </c>
      <c r="AC253" s="6" t="n">
        <v>0</v>
      </c>
      <c r="AD253" s="6" t="n">
        <v>0</v>
      </c>
      <c r="AE253" s="6" t="n">
        <v>0</v>
      </c>
      <c r="AF253" s="6" t="n">
        <v>0</v>
      </c>
      <c r="AG253" s="6" t="n">
        <v>0</v>
      </c>
      <c r="AH253" s="6" t="n">
        <v>0</v>
      </c>
      <c r="AI253" s="6" t="s">
        <v>84</v>
      </c>
    </row>
    <row r="254" customFormat="false" ht="15" hidden="false" customHeight="false" outlineLevel="0" collapsed="false">
      <c r="A254" s="6" t="n">
        <v>253</v>
      </c>
      <c r="B254" s="6" t="s">
        <v>2192</v>
      </c>
      <c r="C254" s="6" t="n">
        <v>6</v>
      </c>
      <c r="D254" s="6" t="s">
        <v>105</v>
      </c>
      <c r="E254" s="6" t="s">
        <v>81</v>
      </c>
      <c r="F254" s="6" t="n">
        <v>2</v>
      </c>
      <c r="G254" s="6" t="n">
        <v>104</v>
      </c>
      <c r="H254" s="6" t="s">
        <v>2193</v>
      </c>
      <c r="I254" s="22" t="n">
        <v>1050100</v>
      </c>
      <c r="J254" s="22" t="n">
        <v>4000</v>
      </c>
      <c r="K254" s="22" t="n">
        <v>79057.5</v>
      </c>
      <c r="L254" s="22" t="n">
        <v>1133157.5</v>
      </c>
      <c r="M254" s="6" t="s">
        <v>57</v>
      </c>
      <c r="N254" s="6" t="s">
        <v>58</v>
      </c>
      <c r="O254" s="6"/>
      <c r="P254" s="6" t="s">
        <v>69</v>
      </c>
      <c r="Q254" s="6" t="str">
        <f aca="false">IF(P254="pass","No","Yes")</f>
        <v>No</v>
      </c>
      <c r="R254" s="6" t="s">
        <v>60</v>
      </c>
      <c r="S254" s="6"/>
      <c r="T254" s="6"/>
      <c r="U254" s="23" t="n">
        <v>30.106</v>
      </c>
      <c r="V254" s="6" t="s">
        <v>2194</v>
      </c>
      <c r="W254" s="6" t="s">
        <v>2195</v>
      </c>
      <c r="X254" s="6" t="s">
        <v>2196</v>
      </c>
      <c r="Y254" s="6" t="s">
        <v>60</v>
      </c>
      <c r="Z254" s="6" t="n">
        <v>0</v>
      </c>
      <c r="AA254" s="6" t="n">
        <v>0</v>
      </c>
      <c r="AB254" s="6" t="n">
        <v>0</v>
      </c>
      <c r="AC254" s="6" t="n">
        <v>0</v>
      </c>
      <c r="AD254" s="6" t="n">
        <v>0</v>
      </c>
      <c r="AE254" s="6" t="n">
        <v>0</v>
      </c>
      <c r="AF254" s="6" t="n">
        <v>0</v>
      </c>
      <c r="AG254" s="6" t="n">
        <v>0</v>
      </c>
      <c r="AH254" s="6" t="n">
        <v>0</v>
      </c>
      <c r="AI254" s="6" t="s">
        <v>84</v>
      </c>
    </row>
    <row r="255" customFormat="false" ht="15" hidden="false" customHeight="false" outlineLevel="0" collapsed="false">
      <c r="A255" s="6" t="n">
        <v>254</v>
      </c>
      <c r="B255" s="6" t="s">
        <v>2197</v>
      </c>
      <c r="C255" s="6" t="n">
        <v>6</v>
      </c>
      <c r="D255" s="6" t="s">
        <v>105</v>
      </c>
      <c r="E255" s="6" t="s">
        <v>81</v>
      </c>
      <c r="F255" s="6" t="n">
        <v>2</v>
      </c>
      <c r="G255" s="6" t="n">
        <v>104</v>
      </c>
      <c r="H255" s="6" t="s">
        <v>2193</v>
      </c>
      <c r="I255" s="22" t="n">
        <v>1050100</v>
      </c>
      <c r="J255" s="22" t="n">
        <v>4000</v>
      </c>
      <c r="K255" s="22" t="n">
        <v>79057.5</v>
      </c>
      <c r="L255" s="22" t="n">
        <v>1133157.5</v>
      </c>
      <c r="M255" s="6" t="s">
        <v>97</v>
      </c>
      <c r="N255" s="6" t="s">
        <v>84</v>
      </c>
      <c r="O255" s="6" t="s">
        <v>1185</v>
      </c>
      <c r="P255" s="6" t="s">
        <v>59</v>
      </c>
      <c r="Q255" s="6" t="str">
        <f aca="false">IF(P255="pass","No","Yes")</f>
        <v>Yes</v>
      </c>
      <c r="R255" s="6" t="s">
        <v>98</v>
      </c>
      <c r="S255" s="6" t="s">
        <v>1185</v>
      </c>
      <c r="T255" s="6" t="s">
        <v>2198</v>
      </c>
      <c r="U255" s="23" t="n">
        <v>28.348</v>
      </c>
      <c r="V255" s="6" t="s">
        <v>2199</v>
      </c>
      <c r="W255" s="6"/>
      <c r="X255" s="6" t="s">
        <v>2199</v>
      </c>
      <c r="Y255" s="6" t="s">
        <v>98</v>
      </c>
      <c r="Z255" s="6" t="n">
        <v>0</v>
      </c>
      <c r="AA255" s="6" t="n">
        <v>0</v>
      </c>
      <c r="AB255" s="6" t="n">
        <v>0</v>
      </c>
      <c r="AC255" s="6" t="n">
        <v>0</v>
      </c>
      <c r="AD255" s="6" t="n">
        <v>0</v>
      </c>
      <c r="AE255" s="6" t="n">
        <v>0</v>
      </c>
      <c r="AF255" s="6" t="n">
        <v>0</v>
      </c>
      <c r="AG255" s="6" t="n">
        <v>1</v>
      </c>
      <c r="AH255" s="6" t="n">
        <v>0</v>
      </c>
      <c r="AI255" s="6" t="s">
        <v>84</v>
      </c>
    </row>
    <row r="256" customFormat="false" ht="15" hidden="false" customHeight="false" outlineLevel="0" collapsed="false">
      <c r="A256" s="6" t="n">
        <v>255</v>
      </c>
      <c r="B256" s="6" t="s">
        <v>2200</v>
      </c>
      <c r="C256" s="6" t="n">
        <v>6</v>
      </c>
      <c r="D256" s="6" t="s">
        <v>105</v>
      </c>
      <c r="E256" s="6" t="s">
        <v>81</v>
      </c>
      <c r="F256" s="6" t="n">
        <v>2</v>
      </c>
      <c r="G256" s="6" t="n">
        <v>104</v>
      </c>
      <c r="H256" s="6" t="s">
        <v>2193</v>
      </c>
      <c r="I256" s="22" t="n">
        <v>1050100</v>
      </c>
      <c r="J256" s="22" t="n">
        <v>4000</v>
      </c>
      <c r="K256" s="22" t="n">
        <v>79057.5</v>
      </c>
      <c r="L256" s="22" t="n">
        <v>1133157.5</v>
      </c>
      <c r="M256" s="6" t="s">
        <v>97</v>
      </c>
      <c r="N256" s="6" t="s">
        <v>84</v>
      </c>
      <c r="O256" s="6" t="s">
        <v>1185</v>
      </c>
      <c r="P256" s="6" t="s">
        <v>59</v>
      </c>
      <c r="Q256" s="6" t="str">
        <f aca="false">IF(P256="pass","No","Yes")</f>
        <v>Yes</v>
      </c>
      <c r="R256" s="6" t="s">
        <v>98</v>
      </c>
      <c r="S256" s="6" t="s">
        <v>1185</v>
      </c>
      <c r="T256" s="6" t="s">
        <v>2198</v>
      </c>
      <c r="U256" s="23" t="n">
        <v>28.593</v>
      </c>
      <c r="V256" s="6" t="s">
        <v>2201</v>
      </c>
      <c r="W256" s="6"/>
      <c r="X256" s="6" t="s">
        <v>2201</v>
      </c>
      <c r="Y256" s="6" t="s">
        <v>98</v>
      </c>
      <c r="Z256" s="6" t="n">
        <v>0</v>
      </c>
      <c r="AA256" s="6" t="n">
        <v>0</v>
      </c>
      <c r="AB256" s="6" t="n">
        <v>0</v>
      </c>
      <c r="AC256" s="6" t="n">
        <v>0</v>
      </c>
      <c r="AD256" s="6" t="n">
        <v>0</v>
      </c>
      <c r="AE256" s="6" t="n">
        <v>0</v>
      </c>
      <c r="AF256" s="6" t="n">
        <v>0</v>
      </c>
      <c r="AG256" s="6" t="n">
        <v>1</v>
      </c>
      <c r="AH256" s="6" t="n">
        <v>0</v>
      </c>
      <c r="AI256" s="6" t="s">
        <v>84</v>
      </c>
    </row>
    <row r="257" customFormat="false" ht="15" hidden="false" customHeight="false" outlineLevel="0" collapsed="false">
      <c r="A257" s="6" t="n">
        <v>256</v>
      </c>
      <c r="B257" s="6" t="s">
        <v>2202</v>
      </c>
      <c r="C257" s="6" t="n">
        <v>6</v>
      </c>
      <c r="D257" s="6" t="s">
        <v>105</v>
      </c>
      <c r="E257" s="6" t="s">
        <v>81</v>
      </c>
      <c r="F257" s="6" t="n">
        <v>2</v>
      </c>
      <c r="G257" s="6" t="n">
        <v>104</v>
      </c>
      <c r="H257" s="6" t="s">
        <v>2193</v>
      </c>
      <c r="I257" s="22" t="n">
        <v>1050100</v>
      </c>
      <c r="J257" s="22" t="n">
        <v>4000</v>
      </c>
      <c r="K257" s="22" t="n">
        <v>79057.5</v>
      </c>
      <c r="L257" s="22" t="n">
        <v>1133157.5</v>
      </c>
      <c r="M257" s="6" t="s">
        <v>97</v>
      </c>
      <c r="N257" s="6" t="s">
        <v>84</v>
      </c>
      <c r="O257" s="6" t="s">
        <v>1185</v>
      </c>
      <c r="P257" s="6" t="s">
        <v>59</v>
      </c>
      <c r="Q257" s="6" t="str">
        <f aca="false">IF(P257="pass","No","Yes")</f>
        <v>Yes</v>
      </c>
      <c r="R257" s="6" t="s">
        <v>98</v>
      </c>
      <c r="S257" s="6" t="s">
        <v>1185</v>
      </c>
      <c r="T257" s="6" t="s">
        <v>2198</v>
      </c>
      <c r="U257" s="23" t="n">
        <v>28.87</v>
      </c>
      <c r="V257" s="6" t="s">
        <v>2203</v>
      </c>
      <c r="W257" s="6"/>
      <c r="X257" s="6" t="s">
        <v>2203</v>
      </c>
      <c r="Y257" s="6" t="s">
        <v>98</v>
      </c>
      <c r="Z257" s="6" t="n">
        <v>0</v>
      </c>
      <c r="AA257" s="6" t="n">
        <v>0</v>
      </c>
      <c r="AB257" s="6" t="n">
        <v>0</v>
      </c>
      <c r="AC257" s="6" t="n">
        <v>0</v>
      </c>
      <c r="AD257" s="6" t="n">
        <v>0</v>
      </c>
      <c r="AE257" s="6" t="n">
        <v>0</v>
      </c>
      <c r="AF257" s="6" t="n">
        <v>0</v>
      </c>
      <c r="AG257" s="6" t="n">
        <v>1</v>
      </c>
      <c r="AH257" s="6" t="n">
        <v>0</v>
      </c>
      <c r="AI257" s="6" t="s">
        <v>84</v>
      </c>
    </row>
    <row r="258" customFormat="false" ht="15" hidden="false" customHeight="false" outlineLevel="0" collapsed="false">
      <c r="A258" s="6" t="n">
        <v>257</v>
      </c>
      <c r="B258" s="6" t="s">
        <v>2204</v>
      </c>
      <c r="C258" s="6" t="n">
        <v>6</v>
      </c>
      <c r="D258" s="6" t="s">
        <v>63</v>
      </c>
      <c r="E258" s="6" t="s">
        <v>67</v>
      </c>
      <c r="F258" s="6" t="n">
        <v>3</v>
      </c>
      <c r="G258" s="6" t="n">
        <v>561</v>
      </c>
      <c r="H258" s="6" t="s">
        <v>2205</v>
      </c>
      <c r="I258" s="22" t="n">
        <v>2587800</v>
      </c>
      <c r="J258" s="22" t="n">
        <v>4500</v>
      </c>
      <c r="K258" s="22" t="n">
        <v>194422.5</v>
      </c>
      <c r="L258" s="22" t="n">
        <v>2786722.5</v>
      </c>
      <c r="M258" s="6" t="s">
        <v>159</v>
      </c>
      <c r="N258" s="6" t="s">
        <v>84</v>
      </c>
      <c r="O258" s="6" t="s">
        <v>886</v>
      </c>
      <c r="P258" s="6" t="s">
        <v>85</v>
      </c>
      <c r="Q258" s="6" t="str">
        <f aca="false">IF(P258="pass","No","Yes")</f>
        <v>Yes</v>
      </c>
      <c r="R258" s="6" t="s">
        <v>86</v>
      </c>
      <c r="S258" s="6" t="s">
        <v>992</v>
      </c>
      <c r="T258" s="6" t="s">
        <v>2206</v>
      </c>
      <c r="U258" s="23" t="n">
        <v>28.73</v>
      </c>
      <c r="V258" s="6" t="s">
        <v>2207</v>
      </c>
      <c r="W258" s="6" t="s">
        <v>2208</v>
      </c>
      <c r="X258" s="6" t="s">
        <v>2209</v>
      </c>
      <c r="Y258" s="6" t="s">
        <v>86</v>
      </c>
      <c r="Z258" s="6" t="n">
        <v>0</v>
      </c>
      <c r="AA258" s="6" t="n">
        <v>0</v>
      </c>
      <c r="AB258" s="6" t="n">
        <v>1</v>
      </c>
      <c r="AC258" s="6" t="n">
        <v>1</v>
      </c>
      <c r="AD258" s="6" t="n">
        <v>0</v>
      </c>
      <c r="AE258" s="6" t="n">
        <v>0</v>
      </c>
      <c r="AF258" s="6" t="n">
        <v>0</v>
      </c>
      <c r="AG258" s="6" t="n">
        <v>0</v>
      </c>
      <c r="AH258" s="6" t="n">
        <v>1</v>
      </c>
      <c r="AI258" s="6" t="s">
        <v>84</v>
      </c>
    </row>
    <row r="259" customFormat="false" ht="15" hidden="false" customHeight="false" outlineLevel="0" collapsed="false">
      <c r="A259" s="6" t="n">
        <v>258</v>
      </c>
      <c r="B259" s="6" t="s">
        <v>2210</v>
      </c>
      <c r="C259" s="6" t="n">
        <v>6</v>
      </c>
      <c r="D259" s="6" t="s">
        <v>127</v>
      </c>
      <c r="E259" s="6" t="s">
        <v>55</v>
      </c>
      <c r="F259" s="6" t="n">
        <v>4</v>
      </c>
      <c r="G259" s="6" t="n">
        <v>788</v>
      </c>
      <c r="H259" s="6" t="s">
        <v>2211</v>
      </c>
      <c r="I259" s="22" t="n">
        <v>7829000</v>
      </c>
      <c r="J259" s="22" t="n">
        <v>6000</v>
      </c>
      <c r="K259" s="22" t="n">
        <v>587625</v>
      </c>
      <c r="L259" s="22" t="n">
        <v>8422625</v>
      </c>
      <c r="M259" s="6" t="s">
        <v>171</v>
      </c>
      <c r="N259" s="6" t="s">
        <v>84</v>
      </c>
      <c r="O259" s="6" t="s">
        <v>892</v>
      </c>
      <c r="P259" s="6" t="s">
        <v>85</v>
      </c>
      <c r="Q259" s="6" t="str">
        <f aca="false">IF(P259="pass","No","Yes")</f>
        <v>Yes</v>
      </c>
      <c r="R259" s="6" t="s">
        <v>86</v>
      </c>
      <c r="S259" s="6" t="s">
        <v>893</v>
      </c>
      <c r="T259" s="6" t="s">
        <v>2212</v>
      </c>
      <c r="U259" s="23" t="n">
        <v>44.199</v>
      </c>
      <c r="V259" s="6" t="s">
        <v>2213</v>
      </c>
      <c r="W259" s="6" t="s">
        <v>2214</v>
      </c>
      <c r="X259" s="6" t="s">
        <v>2215</v>
      </c>
      <c r="Y259" s="6" t="s">
        <v>86</v>
      </c>
      <c r="Z259" s="6" t="n">
        <v>0</v>
      </c>
      <c r="AA259" s="6" t="n">
        <v>0</v>
      </c>
      <c r="AB259" s="6" t="n">
        <v>0</v>
      </c>
      <c r="AC259" s="6" t="n">
        <v>1</v>
      </c>
      <c r="AD259" s="6" t="n">
        <v>0</v>
      </c>
      <c r="AE259" s="6" t="n">
        <v>0</v>
      </c>
      <c r="AF259" s="6" t="n">
        <v>0</v>
      </c>
      <c r="AG259" s="6" t="n">
        <v>0</v>
      </c>
      <c r="AH259" s="6" t="n">
        <v>1</v>
      </c>
      <c r="AI259" s="6" t="s">
        <v>84</v>
      </c>
    </row>
    <row r="260" customFormat="false" ht="15" hidden="false" customHeight="false" outlineLevel="0" collapsed="false">
      <c r="A260" s="6" t="n">
        <v>259</v>
      </c>
      <c r="B260" s="6" t="s">
        <v>2216</v>
      </c>
      <c r="C260" s="6" t="n">
        <v>6</v>
      </c>
      <c r="D260" s="6" t="s">
        <v>198</v>
      </c>
      <c r="E260" s="6" t="s">
        <v>81</v>
      </c>
      <c r="F260" s="6" t="n">
        <v>3</v>
      </c>
      <c r="G260" s="6" t="n">
        <v>80</v>
      </c>
      <c r="H260" s="6" t="s">
        <v>2217</v>
      </c>
      <c r="I260" s="22" t="n">
        <v>1029200</v>
      </c>
      <c r="J260" s="22" t="n">
        <v>4000</v>
      </c>
      <c r="K260" s="22" t="n">
        <v>77490</v>
      </c>
      <c r="L260" s="22" t="n">
        <v>1110690</v>
      </c>
      <c r="M260" s="6" t="s">
        <v>94</v>
      </c>
      <c r="N260" s="6" t="s">
        <v>84</v>
      </c>
      <c r="O260" s="6" t="s">
        <v>909</v>
      </c>
      <c r="P260" s="6" t="s">
        <v>85</v>
      </c>
      <c r="Q260" s="6" t="str">
        <f aca="false">IF(P260="pass","No","Yes")</f>
        <v>Yes</v>
      </c>
      <c r="R260" s="6" t="s">
        <v>86</v>
      </c>
      <c r="S260" s="6" t="s">
        <v>909</v>
      </c>
      <c r="T260" s="6" t="s">
        <v>254</v>
      </c>
      <c r="U260" s="23" t="n">
        <v>27.559</v>
      </c>
      <c r="V260" s="6" t="s">
        <v>2218</v>
      </c>
      <c r="W260" s="6" t="s">
        <v>2219</v>
      </c>
      <c r="X260" s="6" t="s">
        <v>2220</v>
      </c>
      <c r="Y260" s="6" t="s">
        <v>86</v>
      </c>
      <c r="Z260" s="6" t="n">
        <v>0</v>
      </c>
      <c r="AA260" s="6" t="n">
        <v>0</v>
      </c>
      <c r="AB260" s="6" t="n">
        <v>0</v>
      </c>
      <c r="AC260" s="6" t="n">
        <v>0</v>
      </c>
      <c r="AD260" s="6" t="n">
        <v>0</v>
      </c>
      <c r="AE260" s="6" t="n">
        <v>0</v>
      </c>
      <c r="AF260" s="6" t="n">
        <v>1</v>
      </c>
      <c r="AG260" s="6" t="n">
        <v>0</v>
      </c>
      <c r="AH260" s="6" t="n">
        <v>0</v>
      </c>
      <c r="AI260" s="6" t="s">
        <v>84</v>
      </c>
    </row>
    <row r="261" customFormat="false" ht="15" hidden="false" customHeight="false" outlineLevel="0" collapsed="false">
      <c r="A261" s="6" t="n">
        <v>260</v>
      </c>
      <c r="B261" s="6" t="s">
        <v>2221</v>
      </c>
      <c r="C261" s="6" t="n">
        <v>6</v>
      </c>
      <c r="D261" s="6" t="s">
        <v>177</v>
      </c>
      <c r="E261" s="6" t="s">
        <v>81</v>
      </c>
      <c r="F261" s="6" t="n">
        <v>4</v>
      </c>
      <c r="G261" s="6" t="n">
        <v>79</v>
      </c>
      <c r="H261" s="6" t="s">
        <v>2222</v>
      </c>
      <c r="I261" s="22" t="n">
        <v>1551500</v>
      </c>
      <c r="J261" s="22" t="n">
        <v>4000</v>
      </c>
      <c r="K261" s="22" t="n">
        <v>116662.5</v>
      </c>
      <c r="L261" s="22" t="n">
        <v>1672162.5</v>
      </c>
      <c r="M261" s="6" t="s">
        <v>152</v>
      </c>
      <c r="N261" s="6" t="s">
        <v>84</v>
      </c>
      <c r="O261" s="6" t="s">
        <v>886</v>
      </c>
      <c r="P261" s="6" t="s">
        <v>85</v>
      </c>
      <c r="Q261" s="6" t="str">
        <f aca="false">IF(P261="pass","No","Yes")</f>
        <v>Yes</v>
      </c>
      <c r="R261" s="6" t="s">
        <v>86</v>
      </c>
      <c r="S261" s="6" t="s">
        <v>886</v>
      </c>
      <c r="T261" s="6" t="s">
        <v>153</v>
      </c>
      <c r="U261" s="23" t="n">
        <v>26.054</v>
      </c>
      <c r="V261" s="6" t="s">
        <v>2223</v>
      </c>
      <c r="W261" s="6" t="s">
        <v>2224</v>
      </c>
      <c r="X261" s="6" t="s">
        <v>2225</v>
      </c>
      <c r="Y261" s="6" t="s">
        <v>86</v>
      </c>
      <c r="Z261" s="6" t="n">
        <v>0</v>
      </c>
      <c r="AA261" s="6" t="n">
        <v>0</v>
      </c>
      <c r="AB261" s="6" t="n">
        <v>1</v>
      </c>
      <c r="AC261" s="6" t="n">
        <v>0</v>
      </c>
      <c r="AD261" s="6" t="n">
        <v>0</v>
      </c>
      <c r="AE261" s="6" t="n">
        <v>0</v>
      </c>
      <c r="AF261" s="6" t="n">
        <v>0</v>
      </c>
      <c r="AG261" s="6" t="n">
        <v>0</v>
      </c>
      <c r="AH261" s="6" t="n">
        <v>0</v>
      </c>
      <c r="AI261" s="6" t="s">
        <v>84</v>
      </c>
    </row>
    <row r="262" customFormat="false" ht="15" hidden="false" customHeight="false" outlineLevel="0" collapsed="false">
      <c r="A262" s="6" t="n">
        <v>261</v>
      </c>
      <c r="B262" s="6" t="s">
        <v>2226</v>
      </c>
      <c r="C262" s="6" t="n">
        <v>6</v>
      </c>
      <c r="D262" s="6" t="s">
        <v>166</v>
      </c>
      <c r="E262" s="6" t="s">
        <v>74</v>
      </c>
      <c r="F262" s="6" t="n">
        <v>2</v>
      </c>
      <c r="G262" s="6" t="n">
        <v>182</v>
      </c>
      <c r="H262" s="6" t="s">
        <v>2227</v>
      </c>
      <c r="I262" s="22" t="n">
        <v>1718200</v>
      </c>
      <c r="J262" s="22" t="n">
        <v>9000</v>
      </c>
      <c r="K262" s="22" t="n">
        <v>129540</v>
      </c>
      <c r="L262" s="22" t="n">
        <v>1856740</v>
      </c>
      <c r="M262" s="6" t="s">
        <v>927</v>
      </c>
      <c r="N262" s="6" t="s">
        <v>58</v>
      </c>
      <c r="O262" s="6"/>
      <c r="P262" s="6" t="s">
        <v>69</v>
      </c>
      <c r="Q262" s="6" t="str">
        <f aca="false">IF(P262="pass","No","Yes")</f>
        <v>No</v>
      </c>
      <c r="R262" s="6" t="s">
        <v>60</v>
      </c>
      <c r="S262" s="6"/>
      <c r="T262" s="6"/>
      <c r="U262" s="23" t="n">
        <v>31.559</v>
      </c>
      <c r="V262" s="6" t="s">
        <v>2228</v>
      </c>
      <c r="W262" s="6" t="s">
        <v>2229</v>
      </c>
      <c r="X262" s="6" t="s">
        <v>2230</v>
      </c>
      <c r="Y262" s="6" t="s">
        <v>60</v>
      </c>
      <c r="Z262" s="6" t="n">
        <v>0</v>
      </c>
      <c r="AA262" s="6" t="n">
        <v>0</v>
      </c>
      <c r="AB262" s="6" t="n">
        <v>0</v>
      </c>
      <c r="AC262" s="6" t="n">
        <v>0</v>
      </c>
      <c r="AD262" s="6" t="n">
        <v>0</v>
      </c>
      <c r="AE262" s="6" t="n">
        <v>0</v>
      </c>
      <c r="AF262" s="6" t="n">
        <v>0</v>
      </c>
      <c r="AG262" s="6" t="n">
        <v>0</v>
      </c>
      <c r="AH262" s="6" t="n">
        <v>0</v>
      </c>
      <c r="AI262" s="6" t="s">
        <v>84</v>
      </c>
    </row>
    <row r="263" customFormat="false" ht="15" hidden="false" customHeight="false" outlineLevel="0" collapsed="false">
      <c r="A263" s="6" t="n">
        <v>262</v>
      </c>
      <c r="B263" s="6" t="s">
        <v>2231</v>
      </c>
      <c r="C263" s="6" t="n">
        <v>6</v>
      </c>
      <c r="D263" s="6" t="s">
        <v>51</v>
      </c>
      <c r="E263" s="6" t="s">
        <v>55</v>
      </c>
      <c r="F263" s="6" t="n">
        <v>3</v>
      </c>
      <c r="G263" s="6" t="n">
        <v>61</v>
      </c>
      <c r="H263" s="6" t="s">
        <v>2232</v>
      </c>
      <c r="I263" s="22" t="n">
        <v>652500</v>
      </c>
      <c r="J263" s="22" t="n">
        <v>6000</v>
      </c>
      <c r="K263" s="22" t="n">
        <v>49387.5</v>
      </c>
      <c r="L263" s="22" t="n">
        <v>707887.5</v>
      </c>
      <c r="M263" s="6" t="s">
        <v>1009</v>
      </c>
      <c r="N263" s="6" t="s">
        <v>58</v>
      </c>
      <c r="O263" s="6"/>
      <c r="P263" s="6" t="s">
        <v>69</v>
      </c>
      <c r="Q263" s="6" t="str">
        <f aca="false">IF(P263="pass","No","Yes")</f>
        <v>No</v>
      </c>
      <c r="R263" s="6" t="s">
        <v>60</v>
      </c>
      <c r="S263" s="6"/>
      <c r="T263" s="6"/>
      <c r="U263" s="23" t="n">
        <v>40.465</v>
      </c>
      <c r="V263" s="6" t="s">
        <v>2233</v>
      </c>
      <c r="W263" s="6" t="s">
        <v>2234</v>
      </c>
      <c r="X263" s="6" t="s">
        <v>2235</v>
      </c>
      <c r="Y263" s="6" t="s">
        <v>60</v>
      </c>
      <c r="Z263" s="6" t="n">
        <v>0</v>
      </c>
      <c r="AA263" s="6" t="n">
        <v>0</v>
      </c>
      <c r="AB263" s="6" t="n">
        <v>0</v>
      </c>
      <c r="AC263" s="6" t="n">
        <v>0</v>
      </c>
      <c r="AD263" s="6" t="n">
        <v>0</v>
      </c>
      <c r="AE263" s="6" t="n">
        <v>0</v>
      </c>
      <c r="AF263" s="6" t="n">
        <v>0</v>
      </c>
      <c r="AG263" s="6" t="n">
        <v>0</v>
      </c>
      <c r="AH263" s="6" t="n">
        <v>0</v>
      </c>
      <c r="AI263" s="6" t="s">
        <v>84</v>
      </c>
    </row>
    <row r="264" customFormat="false" ht="15" hidden="false" customHeight="false" outlineLevel="0" collapsed="false">
      <c r="A264" s="6" t="n">
        <v>263</v>
      </c>
      <c r="B264" s="6" t="s">
        <v>2236</v>
      </c>
      <c r="C264" s="6" t="n">
        <v>6</v>
      </c>
      <c r="D264" s="6" t="s">
        <v>186</v>
      </c>
      <c r="E264" s="6" t="s">
        <v>123</v>
      </c>
      <c r="F264" s="6" t="n">
        <v>4</v>
      </c>
      <c r="G264" s="6" t="n">
        <v>471</v>
      </c>
      <c r="H264" s="6" t="s">
        <v>2237</v>
      </c>
      <c r="I264" s="22" t="n">
        <v>7514000</v>
      </c>
      <c r="J264" s="22" t="n">
        <v>5000</v>
      </c>
      <c r="K264" s="22" t="n">
        <v>563925</v>
      </c>
      <c r="L264" s="22" t="n">
        <v>8082925</v>
      </c>
      <c r="M264" s="6" t="s">
        <v>171</v>
      </c>
      <c r="N264" s="6" t="s">
        <v>84</v>
      </c>
      <c r="O264" s="6" t="s">
        <v>892</v>
      </c>
      <c r="P264" s="6" t="s">
        <v>85</v>
      </c>
      <c r="Q264" s="6" t="str">
        <f aca="false">IF(P264="pass","No","Yes")</f>
        <v>Yes</v>
      </c>
      <c r="R264" s="6" t="s">
        <v>86</v>
      </c>
      <c r="S264" s="6" t="s">
        <v>892</v>
      </c>
      <c r="T264" s="6" t="s">
        <v>1902</v>
      </c>
      <c r="U264" s="23" t="n">
        <v>35.105</v>
      </c>
      <c r="V264" s="6" t="s">
        <v>2238</v>
      </c>
      <c r="W264" s="6" t="s">
        <v>2239</v>
      </c>
      <c r="X264" s="6" t="s">
        <v>2240</v>
      </c>
      <c r="Y264" s="6" t="s">
        <v>86</v>
      </c>
      <c r="Z264" s="6" t="n">
        <v>0</v>
      </c>
      <c r="AA264" s="6" t="n">
        <v>0</v>
      </c>
      <c r="AB264" s="6" t="n">
        <v>0</v>
      </c>
      <c r="AC264" s="6" t="n">
        <v>1</v>
      </c>
      <c r="AD264" s="6" t="n">
        <v>0</v>
      </c>
      <c r="AE264" s="6" t="n">
        <v>0</v>
      </c>
      <c r="AF264" s="6" t="n">
        <v>0</v>
      </c>
      <c r="AG264" s="6" t="n">
        <v>0</v>
      </c>
      <c r="AH264" s="6" t="n">
        <v>0</v>
      </c>
      <c r="AI264" s="6" t="s">
        <v>84</v>
      </c>
    </row>
    <row r="265" customFormat="false" ht="15" hidden="false" customHeight="false" outlineLevel="0" collapsed="false">
      <c r="A265" s="6" t="n">
        <v>264</v>
      </c>
      <c r="B265" s="6" t="s">
        <v>2241</v>
      </c>
      <c r="C265" s="6" t="n">
        <v>6</v>
      </c>
      <c r="D265" s="6" t="s">
        <v>89</v>
      </c>
      <c r="E265" s="6" t="s">
        <v>67</v>
      </c>
      <c r="F265" s="6" t="n">
        <v>4</v>
      </c>
      <c r="G265" s="6" t="n">
        <v>247</v>
      </c>
      <c r="H265" s="6" t="s">
        <v>2242</v>
      </c>
      <c r="I265" s="22" t="n">
        <v>2630000</v>
      </c>
      <c r="J265" s="22" t="n">
        <v>4500</v>
      </c>
      <c r="K265" s="22" t="n">
        <v>197587.5</v>
      </c>
      <c r="L265" s="22" t="n">
        <v>2832087.5</v>
      </c>
      <c r="M265" s="6" t="s">
        <v>927</v>
      </c>
      <c r="N265" s="6" t="s">
        <v>58</v>
      </c>
      <c r="O265" s="6"/>
      <c r="P265" s="6" t="s">
        <v>59</v>
      </c>
      <c r="Q265" s="6" t="str">
        <f aca="false">IF(P265="pass","No","Yes")</f>
        <v>Yes</v>
      </c>
      <c r="R265" s="6" t="s">
        <v>60</v>
      </c>
      <c r="S265" s="6" t="s">
        <v>915</v>
      </c>
      <c r="T265" s="6" t="s">
        <v>1026</v>
      </c>
      <c r="U265" s="23" t="n">
        <v>56.425</v>
      </c>
      <c r="V265" s="6" t="s">
        <v>2243</v>
      </c>
      <c r="W265" s="6" t="s">
        <v>2244</v>
      </c>
      <c r="X265" s="6" t="s">
        <v>2245</v>
      </c>
      <c r="Y265" s="6" t="s">
        <v>60</v>
      </c>
      <c r="Z265" s="6" t="n">
        <v>0</v>
      </c>
      <c r="AA265" s="6" t="n">
        <v>0</v>
      </c>
      <c r="AB265" s="6" t="n">
        <v>0</v>
      </c>
      <c r="AC265" s="6" t="n">
        <v>0</v>
      </c>
      <c r="AD265" s="6" t="n">
        <v>0</v>
      </c>
      <c r="AE265" s="6" t="n">
        <v>0</v>
      </c>
      <c r="AF265" s="6" t="n">
        <v>0</v>
      </c>
      <c r="AG265" s="6" t="n">
        <v>0</v>
      </c>
      <c r="AH265" s="6" t="n">
        <v>1</v>
      </c>
      <c r="AI265" s="6" t="s">
        <v>84</v>
      </c>
    </row>
    <row r="266" customFormat="false" ht="15" hidden="false" customHeight="false" outlineLevel="0" collapsed="false">
      <c r="A266" s="6" t="n">
        <v>265</v>
      </c>
      <c r="B266" s="6" t="s">
        <v>2246</v>
      </c>
      <c r="C266" s="6" t="n">
        <v>6</v>
      </c>
      <c r="D266" s="6" t="s">
        <v>137</v>
      </c>
      <c r="E266" s="6" t="s">
        <v>146</v>
      </c>
      <c r="F266" s="6" t="n">
        <v>2</v>
      </c>
      <c r="G266" s="6" t="n">
        <v>14</v>
      </c>
      <c r="H266" s="6" t="s">
        <v>2247</v>
      </c>
      <c r="I266" s="22" t="n">
        <v>366200</v>
      </c>
      <c r="J266" s="22" t="n">
        <v>0</v>
      </c>
      <c r="K266" s="22" t="n">
        <v>27465</v>
      </c>
      <c r="L266" s="22" t="n">
        <v>393665</v>
      </c>
      <c r="M266" s="6" t="s">
        <v>148</v>
      </c>
      <c r="N266" s="6" t="s">
        <v>84</v>
      </c>
      <c r="O266" s="6" t="s">
        <v>866</v>
      </c>
      <c r="P266" s="6" t="s">
        <v>85</v>
      </c>
      <c r="Q266" s="6" t="str">
        <f aca="false">IF(P266="pass","No","Yes")</f>
        <v>Yes</v>
      </c>
      <c r="R266" s="6" t="s">
        <v>86</v>
      </c>
      <c r="S266" s="6" t="s">
        <v>866</v>
      </c>
      <c r="T266" s="6" t="s">
        <v>150</v>
      </c>
      <c r="U266" s="23" t="n">
        <v>21.104</v>
      </c>
      <c r="V266" s="6" t="s">
        <v>2248</v>
      </c>
      <c r="W266" s="6" t="s">
        <v>2249</v>
      </c>
      <c r="X266" s="6" t="s">
        <v>2250</v>
      </c>
      <c r="Y266" s="6" t="s">
        <v>86</v>
      </c>
      <c r="Z266" s="6" t="n">
        <v>1</v>
      </c>
      <c r="AA266" s="6" t="n">
        <v>0</v>
      </c>
      <c r="AB266" s="6" t="n">
        <v>0</v>
      </c>
      <c r="AC266" s="6" t="n">
        <v>0</v>
      </c>
      <c r="AD266" s="6" t="n">
        <v>0</v>
      </c>
      <c r="AE266" s="6" t="n">
        <v>0</v>
      </c>
      <c r="AF266" s="6" t="n">
        <v>0</v>
      </c>
      <c r="AG266" s="6" t="n">
        <v>0</v>
      </c>
      <c r="AH266" s="6" t="n">
        <v>0</v>
      </c>
      <c r="AI266" s="6" t="s">
        <v>84</v>
      </c>
    </row>
    <row r="267" customFormat="false" ht="15" hidden="false" customHeight="false" outlineLevel="0" collapsed="false">
      <c r="A267" s="6" t="n">
        <v>266</v>
      </c>
      <c r="B267" s="6" t="s">
        <v>2251</v>
      </c>
      <c r="C267" s="6" t="n">
        <v>6</v>
      </c>
      <c r="D267" s="6" t="s">
        <v>105</v>
      </c>
      <c r="E267" s="6" t="s">
        <v>81</v>
      </c>
      <c r="F267" s="6" t="n">
        <v>4</v>
      </c>
      <c r="G267" s="6" t="n">
        <v>73</v>
      </c>
      <c r="H267" s="6" t="s">
        <v>2252</v>
      </c>
      <c r="I267" s="22" t="n">
        <v>989400</v>
      </c>
      <c r="J267" s="22" t="n">
        <v>4000</v>
      </c>
      <c r="K267" s="22" t="n">
        <v>74505</v>
      </c>
      <c r="L267" s="22" t="n">
        <v>1067905</v>
      </c>
      <c r="M267" s="6" t="s">
        <v>152</v>
      </c>
      <c r="N267" s="6" t="s">
        <v>84</v>
      </c>
      <c r="O267" s="6" t="s">
        <v>886</v>
      </c>
      <c r="P267" s="6" t="s">
        <v>85</v>
      </c>
      <c r="Q267" s="6" t="str">
        <f aca="false">IF(P267="pass","No","Yes")</f>
        <v>Yes</v>
      </c>
      <c r="R267" s="6" t="s">
        <v>86</v>
      </c>
      <c r="S267" s="6" t="s">
        <v>886</v>
      </c>
      <c r="T267" s="6" t="s">
        <v>322</v>
      </c>
      <c r="U267" s="23" t="n">
        <v>31.499</v>
      </c>
      <c r="V267" s="6" t="s">
        <v>2253</v>
      </c>
      <c r="W267" s="6" t="s">
        <v>2254</v>
      </c>
      <c r="X267" s="6" t="s">
        <v>2255</v>
      </c>
      <c r="Y267" s="6" t="s">
        <v>86</v>
      </c>
      <c r="Z267" s="6" t="n">
        <v>0</v>
      </c>
      <c r="AA267" s="6" t="n">
        <v>0</v>
      </c>
      <c r="AB267" s="6" t="n">
        <v>1</v>
      </c>
      <c r="AC267" s="6" t="n">
        <v>0</v>
      </c>
      <c r="AD267" s="6" t="n">
        <v>0</v>
      </c>
      <c r="AE267" s="6" t="n">
        <v>0</v>
      </c>
      <c r="AF267" s="6" t="n">
        <v>0</v>
      </c>
      <c r="AG267" s="6" t="n">
        <v>0</v>
      </c>
      <c r="AH267" s="6" t="n">
        <v>0</v>
      </c>
      <c r="AI267" s="6" t="s">
        <v>84</v>
      </c>
    </row>
    <row r="268" customFormat="false" ht="15" hidden="false" customHeight="false" outlineLevel="0" collapsed="false">
      <c r="A268" s="6" t="n">
        <v>267</v>
      </c>
      <c r="B268" s="6" t="s">
        <v>2256</v>
      </c>
      <c r="C268" s="6" t="n">
        <v>6</v>
      </c>
      <c r="D268" s="6" t="s">
        <v>70</v>
      </c>
      <c r="E268" s="6" t="s">
        <v>74</v>
      </c>
      <c r="F268" s="6" t="n">
        <v>3</v>
      </c>
      <c r="G268" s="6" t="n">
        <v>19</v>
      </c>
      <c r="H268" s="6" t="s">
        <v>2257</v>
      </c>
      <c r="I268" s="22" t="n">
        <v>822200</v>
      </c>
      <c r="J268" s="22" t="n">
        <v>9000</v>
      </c>
      <c r="K268" s="22" t="n">
        <v>62340</v>
      </c>
      <c r="L268" s="22" t="n">
        <v>893540</v>
      </c>
      <c r="M268" s="6" t="s">
        <v>1042</v>
      </c>
      <c r="N268" s="6" t="s">
        <v>58</v>
      </c>
      <c r="O268" s="6"/>
      <c r="P268" s="6" t="s">
        <v>69</v>
      </c>
      <c r="Q268" s="6" t="str">
        <f aca="false">IF(P268="pass","No","Yes")</f>
        <v>No</v>
      </c>
      <c r="R268" s="6" t="s">
        <v>60</v>
      </c>
      <c r="S268" s="6"/>
      <c r="T268" s="6"/>
      <c r="U268" s="23" t="n">
        <v>30.001</v>
      </c>
      <c r="V268" s="6" t="s">
        <v>2258</v>
      </c>
      <c r="W268" s="6" t="s">
        <v>2259</v>
      </c>
      <c r="X268" s="6" t="s">
        <v>2260</v>
      </c>
      <c r="Y268" s="6" t="s">
        <v>60</v>
      </c>
      <c r="Z268" s="6" t="n">
        <v>0</v>
      </c>
      <c r="AA268" s="6" t="n">
        <v>0</v>
      </c>
      <c r="AB268" s="6" t="n">
        <v>0</v>
      </c>
      <c r="AC268" s="6" t="n">
        <v>0</v>
      </c>
      <c r="AD268" s="6" t="n">
        <v>0</v>
      </c>
      <c r="AE268" s="6" t="n">
        <v>0</v>
      </c>
      <c r="AF268" s="6" t="n">
        <v>0</v>
      </c>
      <c r="AG268" s="6" t="n">
        <v>0</v>
      </c>
      <c r="AH268" s="6" t="n">
        <v>0</v>
      </c>
      <c r="AI268" s="6" t="s">
        <v>84</v>
      </c>
    </row>
    <row r="269" customFormat="false" ht="15" hidden="false" customHeight="false" outlineLevel="0" collapsed="false">
      <c r="A269" s="6" t="n">
        <v>268</v>
      </c>
      <c r="B269" s="6" t="s">
        <v>2261</v>
      </c>
      <c r="C269" s="6" t="n">
        <v>6</v>
      </c>
      <c r="D269" s="6" t="s">
        <v>70</v>
      </c>
      <c r="E269" s="6" t="s">
        <v>74</v>
      </c>
      <c r="F269" s="6" t="n">
        <v>3</v>
      </c>
      <c r="G269" s="6" t="n">
        <v>28</v>
      </c>
      <c r="H269" s="6" t="s">
        <v>2262</v>
      </c>
      <c r="I269" s="22" t="n">
        <v>940000</v>
      </c>
      <c r="J269" s="22" t="n">
        <v>9000</v>
      </c>
      <c r="K269" s="22" t="n">
        <v>71175</v>
      </c>
      <c r="L269" s="22" t="n">
        <v>1020175</v>
      </c>
      <c r="M269" s="6" t="s">
        <v>57</v>
      </c>
      <c r="N269" s="6" t="s">
        <v>58</v>
      </c>
      <c r="O269" s="6"/>
      <c r="P269" s="6" t="s">
        <v>69</v>
      </c>
      <c r="Q269" s="6" t="str">
        <f aca="false">IF(P269="pass","No","Yes")</f>
        <v>No</v>
      </c>
      <c r="R269" s="6" t="s">
        <v>60</v>
      </c>
      <c r="S269" s="6"/>
      <c r="T269" s="6"/>
      <c r="U269" s="23" t="n">
        <v>28.661</v>
      </c>
      <c r="V269" s="6" t="s">
        <v>2263</v>
      </c>
      <c r="W269" s="6" t="s">
        <v>2264</v>
      </c>
      <c r="X269" s="6" t="s">
        <v>2265</v>
      </c>
      <c r="Y269" s="6" t="s">
        <v>60</v>
      </c>
      <c r="Z269" s="6" t="n">
        <v>0</v>
      </c>
      <c r="AA269" s="6" t="n">
        <v>0</v>
      </c>
      <c r="AB269" s="6" t="n">
        <v>0</v>
      </c>
      <c r="AC269" s="6" t="n">
        <v>0</v>
      </c>
      <c r="AD269" s="6" t="n">
        <v>0</v>
      </c>
      <c r="AE269" s="6" t="n">
        <v>0</v>
      </c>
      <c r="AF269" s="6" t="n">
        <v>0</v>
      </c>
      <c r="AG269" s="6" t="n">
        <v>0</v>
      </c>
      <c r="AH269" s="6" t="n">
        <v>0</v>
      </c>
      <c r="AI269" s="6" t="s">
        <v>84</v>
      </c>
    </row>
    <row r="270" customFormat="false" ht="15" hidden="false" customHeight="false" outlineLevel="0" collapsed="false">
      <c r="A270" s="6" t="n">
        <v>269</v>
      </c>
      <c r="B270" s="6" t="s">
        <v>2266</v>
      </c>
      <c r="C270" s="6" t="n">
        <v>6</v>
      </c>
      <c r="D270" s="6" t="s">
        <v>177</v>
      </c>
      <c r="E270" s="6" t="s">
        <v>81</v>
      </c>
      <c r="F270" s="6" t="n">
        <v>2</v>
      </c>
      <c r="G270" s="6" t="n">
        <v>32</v>
      </c>
      <c r="H270" s="6" t="s">
        <v>2267</v>
      </c>
      <c r="I270" s="22" t="n">
        <v>1188000</v>
      </c>
      <c r="J270" s="22" t="n">
        <v>4000</v>
      </c>
      <c r="K270" s="22" t="n">
        <v>89400</v>
      </c>
      <c r="L270" s="22" t="n">
        <v>1281400</v>
      </c>
      <c r="M270" s="6" t="s">
        <v>224</v>
      </c>
      <c r="N270" s="6" t="s">
        <v>84</v>
      </c>
      <c r="O270" s="6" t="s">
        <v>866</v>
      </c>
      <c r="P270" s="6" t="s">
        <v>85</v>
      </c>
      <c r="Q270" s="6" t="str">
        <f aca="false">IF(P270="pass","No","Yes")</f>
        <v>Yes</v>
      </c>
      <c r="R270" s="6" t="s">
        <v>86</v>
      </c>
      <c r="S270" s="6" t="s">
        <v>866</v>
      </c>
      <c r="T270" s="6" t="s">
        <v>225</v>
      </c>
      <c r="U270" s="23" t="n">
        <v>18.613</v>
      </c>
      <c r="V270" s="6" t="s">
        <v>2268</v>
      </c>
      <c r="W270" s="6" t="s">
        <v>2269</v>
      </c>
      <c r="X270" s="6" t="s">
        <v>2270</v>
      </c>
      <c r="Y270" s="6" t="s">
        <v>86</v>
      </c>
      <c r="Z270" s="6" t="n">
        <v>1</v>
      </c>
      <c r="AA270" s="6" t="n">
        <v>0</v>
      </c>
      <c r="AB270" s="6" t="n">
        <v>0</v>
      </c>
      <c r="AC270" s="6" t="n">
        <v>0</v>
      </c>
      <c r="AD270" s="6" t="n">
        <v>0</v>
      </c>
      <c r="AE270" s="6" t="n">
        <v>0</v>
      </c>
      <c r="AF270" s="6" t="n">
        <v>0</v>
      </c>
      <c r="AG270" s="6" t="n">
        <v>0</v>
      </c>
      <c r="AH270" s="6" t="n">
        <v>0</v>
      </c>
      <c r="AI270" s="6" t="s">
        <v>58</v>
      </c>
    </row>
    <row r="271" customFormat="false" ht="15" hidden="false" customHeight="false" outlineLevel="0" collapsed="false">
      <c r="A271" s="6" t="n">
        <v>270</v>
      </c>
      <c r="B271" s="6" t="s">
        <v>2271</v>
      </c>
      <c r="C271" s="6" t="n">
        <v>6</v>
      </c>
      <c r="D271" s="6" t="s">
        <v>191</v>
      </c>
      <c r="E271" s="6" t="s">
        <v>116</v>
      </c>
      <c r="F271" s="6" t="n">
        <v>3</v>
      </c>
      <c r="G271" s="6" t="n">
        <v>49</v>
      </c>
      <c r="H271" s="6" t="s">
        <v>2272</v>
      </c>
      <c r="I271" s="22" t="n">
        <v>1415500</v>
      </c>
      <c r="J271" s="22" t="n">
        <v>15000</v>
      </c>
      <c r="K271" s="22" t="n">
        <v>107287.5</v>
      </c>
      <c r="L271" s="22" t="n">
        <v>1537787.5</v>
      </c>
      <c r="M271" s="6" t="s">
        <v>57</v>
      </c>
      <c r="N271" s="6" t="s">
        <v>58</v>
      </c>
      <c r="O271" s="6"/>
      <c r="P271" s="6" t="s">
        <v>69</v>
      </c>
      <c r="Q271" s="6" t="str">
        <f aca="false">IF(P271="pass","No","Yes")</f>
        <v>No</v>
      </c>
      <c r="R271" s="6" t="s">
        <v>60</v>
      </c>
      <c r="S271" s="6"/>
      <c r="T271" s="6"/>
      <c r="U271" s="23" t="n">
        <v>28.743</v>
      </c>
      <c r="V271" s="6" t="s">
        <v>2273</v>
      </c>
      <c r="W271" s="6" t="s">
        <v>2274</v>
      </c>
      <c r="X271" s="6" t="s">
        <v>2275</v>
      </c>
      <c r="Y271" s="6" t="s">
        <v>60</v>
      </c>
      <c r="Z271" s="6" t="n">
        <v>0</v>
      </c>
      <c r="AA271" s="6" t="n">
        <v>0</v>
      </c>
      <c r="AB271" s="6" t="n">
        <v>0</v>
      </c>
      <c r="AC271" s="6" t="n">
        <v>0</v>
      </c>
      <c r="AD271" s="6" t="n">
        <v>0</v>
      </c>
      <c r="AE271" s="6" t="n">
        <v>0</v>
      </c>
      <c r="AF271" s="6" t="n">
        <v>0</v>
      </c>
      <c r="AG271" s="6" t="n">
        <v>0</v>
      </c>
      <c r="AH271" s="6" t="n">
        <v>0</v>
      </c>
      <c r="AI271" s="6" t="s">
        <v>84</v>
      </c>
    </row>
    <row r="272" customFormat="false" ht="15" hidden="false" customHeight="false" outlineLevel="0" collapsed="false">
      <c r="A272" s="6" t="n">
        <v>271</v>
      </c>
      <c r="B272" s="6" t="s">
        <v>2276</v>
      </c>
      <c r="C272" s="6" t="n">
        <v>6</v>
      </c>
      <c r="D272" s="6" t="s">
        <v>112</v>
      </c>
      <c r="E272" s="6" t="s">
        <v>116</v>
      </c>
      <c r="F272" s="6" t="n">
        <v>3</v>
      </c>
      <c r="G272" s="6" t="n">
        <v>86</v>
      </c>
      <c r="H272" s="6" t="s">
        <v>2277</v>
      </c>
      <c r="I272" s="22" t="n">
        <v>1628000</v>
      </c>
      <c r="J272" s="22" t="n">
        <v>15000</v>
      </c>
      <c r="K272" s="22" t="n">
        <v>123225</v>
      </c>
      <c r="L272" s="22" t="n">
        <v>1766225</v>
      </c>
      <c r="M272" s="6" t="s">
        <v>57</v>
      </c>
      <c r="N272" s="6" t="s">
        <v>58</v>
      </c>
      <c r="O272" s="6"/>
      <c r="P272" s="6" t="s">
        <v>69</v>
      </c>
      <c r="Q272" s="6" t="str">
        <f aca="false">IF(P272="pass","No","Yes")</f>
        <v>No</v>
      </c>
      <c r="R272" s="6" t="s">
        <v>60</v>
      </c>
      <c r="S272" s="6"/>
      <c r="T272" s="6"/>
      <c r="U272" s="23" t="n">
        <v>29.582</v>
      </c>
      <c r="V272" s="6" t="s">
        <v>2278</v>
      </c>
      <c r="W272" s="6" t="s">
        <v>2279</v>
      </c>
      <c r="X272" s="6" t="s">
        <v>2280</v>
      </c>
      <c r="Y272" s="6" t="s">
        <v>60</v>
      </c>
      <c r="Z272" s="6" t="n">
        <v>0</v>
      </c>
      <c r="AA272" s="6" t="n">
        <v>0</v>
      </c>
      <c r="AB272" s="6" t="n">
        <v>0</v>
      </c>
      <c r="AC272" s="6" t="n">
        <v>0</v>
      </c>
      <c r="AD272" s="6" t="n">
        <v>0</v>
      </c>
      <c r="AE272" s="6" t="n">
        <v>0</v>
      </c>
      <c r="AF272" s="6" t="n">
        <v>0</v>
      </c>
      <c r="AG272" s="6" t="n">
        <v>0</v>
      </c>
      <c r="AH272" s="6" t="n">
        <v>0</v>
      </c>
      <c r="AI272" s="6" t="s">
        <v>84</v>
      </c>
    </row>
    <row r="273" customFormat="false" ht="15" hidden="false" customHeight="false" outlineLevel="0" collapsed="false">
      <c r="A273" s="6" t="n">
        <v>272</v>
      </c>
      <c r="B273" s="6" t="s">
        <v>2281</v>
      </c>
      <c r="C273" s="6" t="n">
        <v>6</v>
      </c>
      <c r="D273" s="6" t="s">
        <v>213</v>
      </c>
      <c r="E273" s="6" t="s">
        <v>146</v>
      </c>
      <c r="F273" s="6" t="n">
        <v>3</v>
      </c>
      <c r="G273" s="6" t="n">
        <v>123</v>
      </c>
      <c r="H273" s="6" t="s">
        <v>2282</v>
      </c>
      <c r="I273" s="22" t="n">
        <v>1579300</v>
      </c>
      <c r="J273" s="22" t="n">
        <v>0</v>
      </c>
      <c r="K273" s="22" t="n">
        <v>118447.5</v>
      </c>
      <c r="L273" s="22" t="n">
        <v>1697747.5</v>
      </c>
      <c r="M273" s="6" t="s">
        <v>148</v>
      </c>
      <c r="N273" s="6" t="s">
        <v>84</v>
      </c>
      <c r="O273" s="6" t="s">
        <v>866</v>
      </c>
      <c r="P273" s="6" t="s">
        <v>85</v>
      </c>
      <c r="Q273" s="6" t="str">
        <f aca="false">IF(P273="pass","No","Yes")</f>
        <v>Yes</v>
      </c>
      <c r="R273" s="6" t="s">
        <v>86</v>
      </c>
      <c r="S273" s="6" t="s">
        <v>866</v>
      </c>
      <c r="T273" s="6" t="s">
        <v>150</v>
      </c>
      <c r="U273" s="23" t="n">
        <v>28.085</v>
      </c>
      <c r="V273" s="6" t="s">
        <v>2283</v>
      </c>
      <c r="W273" s="6" t="s">
        <v>2284</v>
      </c>
      <c r="X273" s="6" t="s">
        <v>2285</v>
      </c>
      <c r="Y273" s="6" t="s">
        <v>86</v>
      </c>
      <c r="Z273" s="6" t="n">
        <v>1</v>
      </c>
      <c r="AA273" s="6" t="n">
        <v>0</v>
      </c>
      <c r="AB273" s="6" t="n">
        <v>0</v>
      </c>
      <c r="AC273" s="6" t="n">
        <v>0</v>
      </c>
      <c r="AD273" s="6" t="n">
        <v>0</v>
      </c>
      <c r="AE273" s="6" t="n">
        <v>0</v>
      </c>
      <c r="AF273" s="6" t="n">
        <v>0</v>
      </c>
      <c r="AG273" s="6" t="n">
        <v>0</v>
      </c>
      <c r="AH273" s="6" t="n">
        <v>0</v>
      </c>
      <c r="AI273" s="6" t="s">
        <v>84</v>
      </c>
    </row>
    <row r="274" customFormat="false" ht="15" hidden="false" customHeight="false" outlineLevel="0" collapsed="false">
      <c r="A274" s="6" t="n">
        <v>273</v>
      </c>
      <c r="B274" s="6" t="s">
        <v>2286</v>
      </c>
      <c r="C274" s="6" t="n">
        <v>6</v>
      </c>
      <c r="D274" s="6" t="s">
        <v>63</v>
      </c>
      <c r="E274" s="6" t="s">
        <v>67</v>
      </c>
      <c r="F274" s="6" t="n">
        <v>3</v>
      </c>
      <c r="G274" s="6" t="n">
        <v>89</v>
      </c>
      <c r="H274" s="6" t="s">
        <v>2287</v>
      </c>
      <c r="I274" s="22" t="n">
        <v>801200</v>
      </c>
      <c r="J274" s="22" t="n">
        <v>4500</v>
      </c>
      <c r="K274" s="22" t="n">
        <v>60427.5</v>
      </c>
      <c r="L274" s="22" t="n">
        <v>866127.5</v>
      </c>
      <c r="M274" s="6" t="s">
        <v>927</v>
      </c>
      <c r="N274" s="6" t="s">
        <v>58</v>
      </c>
      <c r="O274" s="6"/>
      <c r="P274" s="6" t="s">
        <v>69</v>
      </c>
      <c r="Q274" s="6" t="str">
        <f aca="false">IF(P274="pass","No","Yes")</f>
        <v>No</v>
      </c>
      <c r="R274" s="6" t="s">
        <v>60</v>
      </c>
      <c r="S274" s="6"/>
      <c r="T274" s="6"/>
      <c r="U274" s="23" t="n">
        <v>40.693</v>
      </c>
      <c r="V274" s="6" t="s">
        <v>2288</v>
      </c>
      <c r="W274" s="6" t="s">
        <v>2289</v>
      </c>
      <c r="X274" s="6" t="s">
        <v>2290</v>
      </c>
      <c r="Y274" s="6" t="s">
        <v>60</v>
      </c>
      <c r="Z274" s="6" t="n">
        <v>0</v>
      </c>
      <c r="AA274" s="6" t="n">
        <v>0</v>
      </c>
      <c r="AB274" s="6" t="n">
        <v>0</v>
      </c>
      <c r="AC274" s="6" t="n">
        <v>0</v>
      </c>
      <c r="AD274" s="6" t="n">
        <v>0</v>
      </c>
      <c r="AE274" s="6" t="n">
        <v>0</v>
      </c>
      <c r="AF274" s="6" t="n">
        <v>0</v>
      </c>
      <c r="AG274" s="6" t="n">
        <v>0</v>
      </c>
      <c r="AH274" s="6" t="n">
        <v>0</v>
      </c>
      <c r="AI274" s="6" t="s">
        <v>84</v>
      </c>
    </row>
    <row r="275" customFormat="false" ht="15" hidden="false" customHeight="false" outlineLevel="0" collapsed="false">
      <c r="A275" s="6" t="n">
        <v>274</v>
      </c>
      <c r="B275" s="6" t="s">
        <v>2291</v>
      </c>
      <c r="C275" s="6" t="n">
        <v>6</v>
      </c>
      <c r="D275" s="6" t="s">
        <v>51</v>
      </c>
      <c r="E275" s="6" t="s">
        <v>55</v>
      </c>
      <c r="F275" s="6" t="n">
        <v>4</v>
      </c>
      <c r="G275" s="6" t="n">
        <v>129</v>
      </c>
      <c r="H275" s="6" t="s">
        <v>2292</v>
      </c>
      <c r="I275" s="22" t="n">
        <v>1689100</v>
      </c>
      <c r="J275" s="22" t="n">
        <v>6000</v>
      </c>
      <c r="K275" s="22" t="n">
        <v>127132.5</v>
      </c>
      <c r="L275" s="22" t="n">
        <v>1822232.5</v>
      </c>
      <c r="M275" s="6" t="s">
        <v>132</v>
      </c>
      <c r="N275" s="6" t="s">
        <v>84</v>
      </c>
      <c r="O275" s="6" t="s">
        <v>879</v>
      </c>
      <c r="P275" s="6" t="s">
        <v>85</v>
      </c>
      <c r="Q275" s="6" t="str">
        <f aca="false">IF(P275="pass","No","Yes")</f>
        <v>Yes</v>
      </c>
      <c r="R275" s="6" t="s">
        <v>86</v>
      </c>
      <c r="S275" s="6" t="s">
        <v>880</v>
      </c>
      <c r="T275" s="6" t="s">
        <v>134</v>
      </c>
      <c r="U275" s="23" t="n">
        <v>40.917</v>
      </c>
      <c r="V275" s="6" t="s">
        <v>2293</v>
      </c>
      <c r="W275" s="6" t="s">
        <v>2294</v>
      </c>
      <c r="X275" s="6" t="s">
        <v>2295</v>
      </c>
      <c r="Y275" s="6" t="s">
        <v>86</v>
      </c>
      <c r="Z275" s="6" t="n">
        <v>0</v>
      </c>
      <c r="AA275" s="6" t="n">
        <v>1</v>
      </c>
      <c r="AB275" s="6" t="n">
        <v>0</v>
      </c>
      <c r="AC275" s="6" t="n">
        <v>1</v>
      </c>
      <c r="AD275" s="6" t="n">
        <v>0</v>
      </c>
      <c r="AE275" s="6" t="n">
        <v>0</v>
      </c>
      <c r="AF275" s="6" t="n">
        <v>0</v>
      </c>
      <c r="AG275" s="6" t="n">
        <v>0</v>
      </c>
      <c r="AH275" s="6" t="n">
        <v>0</v>
      </c>
      <c r="AI275" s="6" t="s">
        <v>84</v>
      </c>
    </row>
    <row r="276" customFormat="false" ht="15" hidden="false" customHeight="false" outlineLevel="0" collapsed="false">
      <c r="A276" s="6" t="n">
        <v>275</v>
      </c>
      <c r="B276" s="6" t="s">
        <v>2296</v>
      </c>
      <c r="C276" s="6" t="n">
        <v>6</v>
      </c>
      <c r="D276" s="6" t="s">
        <v>89</v>
      </c>
      <c r="E276" s="6" t="s">
        <v>67</v>
      </c>
      <c r="F276" s="6" t="n">
        <v>4</v>
      </c>
      <c r="G276" s="6" t="n">
        <v>76</v>
      </c>
      <c r="H276" s="6" t="s">
        <v>2297</v>
      </c>
      <c r="I276" s="22" t="n">
        <v>974500</v>
      </c>
      <c r="J276" s="22" t="n">
        <v>4500</v>
      </c>
      <c r="K276" s="22" t="n">
        <v>73425</v>
      </c>
      <c r="L276" s="22" t="n">
        <v>1052425</v>
      </c>
      <c r="M276" s="6" t="s">
        <v>83</v>
      </c>
      <c r="N276" s="6" t="s">
        <v>84</v>
      </c>
      <c r="O276" s="6" t="s">
        <v>886</v>
      </c>
      <c r="P276" s="6" t="s">
        <v>85</v>
      </c>
      <c r="Q276" s="6" t="str">
        <f aca="false">IF(P276="pass","No","Yes")</f>
        <v>Yes</v>
      </c>
      <c r="R276" s="6" t="s">
        <v>86</v>
      </c>
      <c r="S276" s="6" t="s">
        <v>886</v>
      </c>
      <c r="T276" s="6" t="s">
        <v>517</v>
      </c>
      <c r="U276" s="23" t="n">
        <v>50.271</v>
      </c>
      <c r="V276" s="6" t="s">
        <v>2298</v>
      </c>
      <c r="W276" s="6" t="s">
        <v>2299</v>
      </c>
      <c r="X276" s="6" t="s">
        <v>2300</v>
      </c>
      <c r="Y276" s="6" t="s">
        <v>86</v>
      </c>
      <c r="Z276" s="6" t="n">
        <v>0</v>
      </c>
      <c r="AA276" s="6" t="n">
        <v>0</v>
      </c>
      <c r="AB276" s="6" t="n">
        <v>1</v>
      </c>
      <c r="AC276" s="6" t="n">
        <v>0</v>
      </c>
      <c r="AD276" s="6" t="n">
        <v>0</v>
      </c>
      <c r="AE276" s="6" t="n">
        <v>0</v>
      </c>
      <c r="AF276" s="6" t="n">
        <v>0</v>
      </c>
      <c r="AG276" s="6" t="n">
        <v>0</v>
      </c>
      <c r="AH276" s="6" t="n">
        <v>0</v>
      </c>
      <c r="AI276" s="6" t="s">
        <v>84</v>
      </c>
    </row>
    <row r="277" customFormat="false" ht="15" hidden="false" customHeight="false" outlineLevel="0" collapsed="false">
      <c r="A277" s="6" t="n">
        <v>276</v>
      </c>
      <c r="B277" s="6" t="s">
        <v>2301</v>
      </c>
      <c r="C277" s="6" t="n">
        <v>6</v>
      </c>
      <c r="D277" s="6" t="s">
        <v>177</v>
      </c>
      <c r="E277" s="6" t="s">
        <v>146</v>
      </c>
      <c r="F277" s="6" t="n">
        <v>3</v>
      </c>
      <c r="G277" s="6" t="n">
        <v>136</v>
      </c>
      <c r="H277" s="6" t="s">
        <v>2302</v>
      </c>
      <c r="I277" s="22" t="n">
        <v>1328900</v>
      </c>
      <c r="J277" s="22" t="n">
        <v>0</v>
      </c>
      <c r="K277" s="22" t="n">
        <v>99667.5</v>
      </c>
      <c r="L277" s="22" t="n">
        <v>1428567.5</v>
      </c>
      <c r="M277" s="6" t="s">
        <v>148</v>
      </c>
      <c r="N277" s="6" t="s">
        <v>84</v>
      </c>
      <c r="O277" s="6" t="s">
        <v>866</v>
      </c>
      <c r="P277" s="6" t="s">
        <v>85</v>
      </c>
      <c r="Q277" s="6" t="str">
        <f aca="false">IF(P277="pass","No","Yes")</f>
        <v>Yes</v>
      </c>
      <c r="R277" s="6" t="s">
        <v>86</v>
      </c>
      <c r="S277" s="6" t="s">
        <v>866</v>
      </c>
      <c r="T277" s="6" t="s">
        <v>150</v>
      </c>
      <c r="U277" s="23" t="n">
        <v>42.382</v>
      </c>
      <c r="V277" s="6" t="s">
        <v>2303</v>
      </c>
      <c r="W277" s="6" t="s">
        <v>2304</v>
      </c>
      <c r="X277" s="6" t="s">
        <v>2305</v>
      </c>
      <c r="Y277" s="6" t="s">
        <v>86</v>
      </c>
      <c r="Z277" s="6" t="n">
        <v>1</v>
      </c>
      <c r="AA277" s="6" t="n">
        <v>0</v>
      </c>
      <c r="AB277" s="6" t="n">
        <v>0</v>
      </c>
      <c r="AC277" s="6" t="n">
        <v>0</v>
      </c>
      <c r="AD277" s="6" t="n">
        <v>0</v>
      </c>
      <c r="AE277" s="6" t="n">
        <v>0</v>
      </c>
      <c r="AF277" s="6" t="n">
        <v>0</v>
      </c>
      <c r="AG277" s="6" t="n">
        <v>0</v>
      </c>
      <c r="AH277" s="6" t="n">
        <v>0</v>
      </c>
      <c r="AI277" s="6" t="s">
        <v>84</v>
      </c>
    </row>
    <row r="278" customFormat="false" ht="15" hidden="false" customHeight="false" outlineLevel="0" collapsed="false">
      <c r="A278" s="6" t="n">
        <v>277</v>
      </c>
      <c r="B278" s="6" t="s">
        <v>2306</v>
      </c>
      <c r="C278" s="6" t="n">
        <v>6</v>
      </c>
      <c r="D278" s="6" t="s">
        <v>177</v>
      </c>
      <c r="E278" s="6" t="s">
        <v>81</v>
      </c>
      <c r="F278" s="6" t="n">
        <v>1</v>
      </c>
      <c r="G278" s="6" t="n">
        <v>2</v>
      </c>
      <c r="H278" s="6" t="s">
        <v>2017</v>
      </c>
      <c r="I278" s="22" t="n">
        <v>76000</v>
      </c>
      <c r="J278" s="22" t="n">
        <v>4000</v>
      </c>
      <c r="K278" s="22" t="n">
        <v>6000</v>
      </c>
      <c r="L278" s="22" t="n">
        <v>86000</v>
      </c>
      <c r="M278" s="6" t="s">
        <v>57</v>
      </c>
      <c r="N278" s="6" t="s">
        <v>58</v>
      </c>
      <c r="O278" s="6"/>
      <c r="P278" s="6" t="s">
        <v>69</v>
      </c>
      <c r="Q278" s="6" t="str">
        <f aca="false">IF(P278="pass","No","Yes")</f>
        <v>No</v>
      </c>
      <c r="R278" s="6" t="s">
        <v>60</v>
      </c>
      <c r="S278" s="6"/>
      <c r="T278" s="6"/>
      <c r="U278" s="23" t="n">
        <v>13.355</v>
      </c>
      <c r="V278" s="6" t="s">
        <v>2307</v>
      </c>
      <c r="W278" s="6" t="s">
        <v>2308</v>
      </c>
      <c r="X278" s="6" t="s">
        <v>2309</v>
      </c>
      <c r="Y278" s="6" t="s">
        <v>60</v>
      </c>
      <c r="Z278" s="6" t="n">
        <v>0</v>
      </c>
      <c r="AA278" s="6" t="n">
        <v>0</v>
      </c>
      <c r="AB278" s="6" t="n">
        <v>0</v>
      </c>
      <c r="AC278" s="6" t="n">
        <v>0</v>
      </c>
      <c r="AD278" s="6" t="n">
        <v>0</v>
      </c>
      <c r="AE278" s="6" t="n">
        <v>0</v>
      </c>
      <c r="AF278" s="6" t="n">
        <v>0</v>
      </c>
      <c r="AG278" s="6" t="n">
        <v>0</v>
      </c>
      <c r="AH278" s="6" t="n">
        <v>0</v>
      </c>
      <c r="AI278" s="6" t="s">
        <v>84</v>
      </c>
    </row>
    <row r="279" customFormat="false" ht="15" hidden="false" customHeight="false" outlineLevel="0" collapsed="false">
      <c r="A279" s="6" t="n">
        <v>278</v>
      </c>
      <c r="B279" s="6" t="s">
        <v>2310</v>
      </c>
      <c r="C279" s="6" t="n">
        <v>6</v>
      </c>
      <c r="D279" s="6" t="s">
        <v>63</v>
      </c>
      <c r="E279" s="6" t="s">
        <v>67</v>
      </c>
      <c r="F279" s="6" t="n">
        <v>2</v>
      </c>
      <c r="G279" s="6" t="n">
        <v>8</v>
      </c>
      <c r="H279" s="6" t="s">
        <v>2311</v>
      </c>
      <c r="I279" s="22" t="n">
        <v>215000</v>
      </c>
      <c r="J279" s="22" t="n">
        <v>4500</v>
      </c>
      <c r="K279" s="22" t="n">
        <v>16462.5</v>
      </c>
      <c r="L279" s="22" t="n">
        <v>235962.5</v>
      </c>
      <c r="M279" s="6" t="s">
        <v>57</v>
      </c>
      <c r="N279" s="6" t="s">
        <v>58</v>
      </c>
      <c r="O279" s="6"/>
      <c r="P279" s="6" t="s">
        <v>69</v>
      </c>
      <c r="Q279" s="6" t="str">
        <f aca="false">IF(P279="pass","No","Yes")</f>
        <v>No</v>
      </c>
      <c r="R279" s="6" t="s">
        <v>60</v>
      </c>
      <c r="S279" s="6"/>
      <c r="T279" s="6"/>
      <c r="U279" s="23" t="n">
        <v>24.078</v>
      </c>
      <c r="V279" s="6" t="s">
        <v>2312</v>
      </c>
      <c r="W279" s="6" t="s">
        <v>2313</v>
      </c>
      <c r="X279" s="6" t="s">
        <v>2314</v>
      </c>
      <c r="Y279" s="6" t="s">
        <v>60</v>
      </c>
      <c r="Z279" s="6" t="n">
        <v>0</v>
      </c>
      <c r="AA279" s="6" t="n">
        <v>0</v>
      </c>
      <c r="AB279" s="6" t="n">
        <v>0</v>
      </c>
      <c r="AC279" s="6" t="n">
        <v>0</v>
      </c>
      <c r="AD279" s="6" t="n">
        <v>0</v>
      </c>
      <c r="AE279" s="6" t="n">
        <v>0</v>
      </c>
      <c r="AF279" s="6" t="n">
        <v>0</v>
      </c>
      <c r="AG279" s="6" t="n">
        <v>0</v>
      </c>
      <c r="AH279" s="6" t="n">
        <v>0</v>
      </c>
      <c r="AI279" s="6" t="s">
        <v>84</v>
      </c>
    </row>
    <row r="280" customFormat="false" ht="15" hidden="false" customHeight="false" outlineLevel="0" collapsed="false">
      <c r="A280" s="6" t="n">
        <v>279</v>
      </c>
      <c r="B280" s="6" t="s">
        <v>2315</v>
      </c>
      <c r="C280" s="6" t="n">
        <v>6</v>
      </c>
      <c r="D280" s="6" t="s">
        <v>63</v>
      </c>
      <c r="E280" s="6" t="s">
        <v>67</v>
      </c>
      <c r="F280" s="6" t="n">
        <v>2</v>
      </c>
      <c r="G280" s="6" t="n">
        <v>44</v>
      </c>
      <c r="H280" s="6" t="s">
        <v>2316</v>
      </c>
      <c r="I280" s="22" t="n">
        <v>550000</v>
      </c>
      <c r="J280" s="22" t="n">
        <v>4500</v>
      </c>
      <c r="K280" s="22" t="n">
        <v>41587.5</v>
      </c>
      <c r="L280" s="22" t="n">
        <v>596087.5</v>
      </c>
      <c r="M280" s="6" t="s">
        <v>152</v>
      </c>
      <c r="N280" s="6" t="s">
        <v>84</v>
      </c>
      <c r="O280" s="6" t="s">
        <v>886</v>
      </c>
      <c r="P280" s="6" t="s">
        <v>85</v>
      </c>
      <c r="Q280" s="6" t="str">
        <f aca="false">IF(P280="pass","No","Yes")</f>
        <v>Yes</v>
      </c>
      <c r="R280" s="6" t="s">
        <v>86</v>
      </c>
      <c r="S280" s="6" t="s">
        <v>886</v>
      </c>
      <c r="T280" s="6" t="s">
        <v>153</v>
      </c>
      <c r="U280" s="23" t="n">
        <v>13.087</v>
      </c>
      <c r="V280" s="6" t="s">
        <v>2317</v>
      </c>
      <c r="W280" s="6" t="s">
        <v>2318</v>
      </c>
      <c r="X280" s="6" t="s">
        <v>2319</v>
      </c>
      <c r="Y280" s="6" t="s">
        <v>86</v>
      </c>
      <c r="Z280" s="6" t="n">
        <v>0</v>
      </c>
      <c r="AA280" s="6" t="n">
        <v>0</v>
      </c>
      <c r="AB280" s="6" t="n">
        <v>1</v>
      </c>
      <c r="AC280" s="6" t="n">
        <v>0</v>
      </c>
      <c r="AD280" s="6" t="n">
        <v>0</v>
      </c>
      <c r="AE280" s="6" t="n">
        <v>0</v>
      </c>
      <c r="AF280" s="6" t="n">
        <v>0</v>
      </c>
      <c r="AG280" s="6" t="n">
        <v>0</v>
      </c>
      <c r="AH280" s="6" t="n">
        <v>0</v>
      </c>
      <c r="AI280" s="6" t="s">
        <v>84</v>
      </c>
    </row>
    <row r="281" customFormat="false" ht="15" hidden="false" customHeight="false" outlineLevel="0" collapsed="false">
      <c r="A281" s="6" t="n">
        <v>280</v>
      </c>
      <c r="B281" s="6" t="s">
        <v>2320</v>
      </c>
      <c r="C281" s="6" t="n">
        <v>6</v>
      </c>
      <c r="D281" s="6" t="s">
        <v>119</v>
      </c>
      <c r="E281" s="6" t="s">
        <v>123</v>
      </c>
      <c r="F281" s="6" t="n">
        <v>3</v>
      </c>
      <c r="G281" s="6" t="n">
        <v>219</v>
      </c>
      <c r="H281" s="6" t="s">
        <v>2321</v>
      </c>
      <c r="I281" s="22" t="n">
        <v>2095600</v>
      </c>
      <c r="J281" s="22" t="n">
        <v>5000</v>
      </c>
      <c r="K281" s="22" t="n">
        <v>157545</v>
      </c>
      <c r="L281" s="22" t="n">
        <v>2258145</v>
      </c>
      <c r="M281" s="6" t="s">
        <v>1009</v>
      </c>
      <c r="N281" s="6" t="s">
        <v>58</v>
      </c>
      <c r="O281" s="6"/>
      <c r="P281" s="6" t="s">
        <v>59</v>
      </c>
      <c r="Q281" s="6" t="str">
        <f aca="false">IF(P281="pass","No","Yes")</f>
        <v>Yes</v>
      </c>
      <c r="R281" s="6" t="s">
        <v>60</v>
      </c>
      <c r="S281" s="6" t="s">
        <v>915</v>
      </c>
      <c r="T281" s="6" t="s">
        <v>1401</v>
      </c>
      <c r="U281" s="23" t="n">
        <v>44.216</v>
      </c>
      <c r="V281" s="6" t="s">
        <v>2322</v>
      </c>
      <c r="W281" s="6" t="s">
        <v>2323</v>
      </c>
      <c r="X281" s="6" t="s">
        <v>2324</v>
      </c>
      <c r="Y281" s="6" t="s">
        <v>60</v>
      </c>
      <c r="Z281" s="6" t="n">
        <v>0</v>
      </c>
      <c r="AA281" s="6" t="n">
        <v>0</v>
      </c>
      <c r="AB281" s="6" t="n">
        <v>0</v>
      </c>
      <c r="AC281" s="6" t="n">
        <v>0</v>
      </c>
      <c r="AD281" s="6" t="n">
        <v>0</v>
      </c>
      <c r="AE281" s="6" t="n">
        <v>0</v>
      </c>
      <c r="AF281" s="6" t="n">
        <v>0</v>
      </c>
      <c r="AG281" s="6" t="n">
        <v>0</v>
      </c>
      <c r="AH281" s="6" t="n">
        <v>1</v>
      </c>
      <c r="AI281" s="6" t="s">
        <v>84</v>
      </c>
    </row>
    <row r="282" customFormat="false" ht="15" hidden="false" customHeight="false" outlineLevel="0" collapsed="false">
      <c r="A282" s="6" t="n">
        <v>281</v>
      </c>
      <c r="B282" s="6" t="s">
        <v>2325</v>
      </c>
      <c r="C282" s="6" t="n">
        <v>6</v>
      </c>
      <c r="D282" s="6" t="s">
        <v>63</v>
      </c>
      <c r="E282" s="6" t="s">
        <v>67</v>
      </c>
      <c r="F282" s="6" t="n">
        <v>4</v>
      </c>
      <c r="G282" s="6" t="n">
        <v>19</v>
      </c>
      <c r="H282" s="6" t="s">
        <v>2326</v>
      </c>
      <c r="I282" s="22" t="n">
        <v>778000</v>
      </c>
      <c r="J282" s="22" t="n">
        <v>4500</v>
      </c>
      <c r="K282" s="22" t="n">
        <v>58687.5</v>
      </c>
      <c r="L282" s="22" t="n">
        <v>841187.5</v>
      </c>
      <c r="M282" s="6" t="s">
        <v>272</v>
      </c>
      <c r="N282" s="6" t="s">
        <v>84</v>
      </c>
      <c r="O282" s="6" t="s">
        <v>879</v>
      </c>
      <c r="P282" s="6" t="s">
        <v>85</v>
      </c>
      <c r="Q282" s="6" t="str">
        <f aca="false">IF(P282="pass","No","Yes")</f>
        <v>Yes</v>
      </c>
      <c r="R282" s="6" t="s">
        <v>86</v>
      </c>
      <c r="S282" s="6" t="s">
        <v>879</v>
      </c>
      <c r="T282" s="6" t="s">
        <v>2327</v>
      </c>
      <c r="U282" s="23" t="n">
        <v>30.403</v>
      </c>
      <c r="V282" s="6" t="s">
        <v>2328</v>
      </c>
      <c r="W282" s="6" t="s">
        <v>2329</v>
      </c>
      <c r="X282" s="6" t="s">
        <v>2330</v>
      </c>
      <c r="Y282" s="6" t="s">
        <v>86</v>
      </c>
      <c r="Z282" s="6" t="n">
        <v>0</v>
      </c>
      <c r="AA282" s="6" t="n">
        <v>1</v>
      </c>
      <c r="AB282" s="6" t="n">
        <v>0</v>
      </c>
      <c r="AC282" s="6" t="n">
        <v>0</v>
      </c>
      <c r="AD282" s="6" t="n">
        <v>0</v>
      </c>
      <c r="AE282" s="6" t="n">
        <v>0</v>
      </c>
      <c r="AF282" s="6" t="n">
        <v>0</v>
      </c>
      <c r="AG282" s="6" t="n">
        <v>0</v>
      </c>
      <c r="AH282" s="6" t="n">
        <v>0</v>
      </c>
      <c r="AI282" s="6" t="s">
        <v>84</v>
      </c>
    </row>
    <row r="283" customFormat="false" ht="15" hidden="false" customHeight="false" outlineLevel="0" collapsed="false">
      <c r="A283" s="6" t="n">
        <v>282</v>
      </c>
      <c r="B283" s="6" t="s">
        <v>2331</v>
      </c>
      <c r="C283" s="6" t="n">
        <v>6</v>
      </c>
      <c r="D283" s="6" t="s">
        <v>105</v>
      </c>
      <c r="E283" s="6" t="s">
        <v>81</v>
      </c>
      <c r="F283" s="6" t="n">
        <v>2</v>
      </c>
      <c r="G283" s="6" t="n">
        <v>71</v>
      </c>
      <c r="H283" s="6" t="s">
        <v>2332</v>
      </c>
      <c r="I283" s="22" t="n">
        <v>715900</v>
      </c>
      <c r="J283" s="22" t="n">
        <v>4000</v>
      </c>
      <c r="K283" s="22" t="n">
        <v>53992.5</v>
      </c>
      <c r="L283" s="22" t="n">
        <v>773892.5</v>
      </c>
      <c r="M283" s="6" t="s">
        <v>57</v>
      </c>
      <c r="N283" s="6" t="s">
        <v>58</v>
      </c>
      <c r="O283" s="6"/>
      <c r="P283" s="6" t="s">
        <v>69</v>
      </c>
      <c r="Q283" s="6" t="str">
        <f aca="false">IF(P283="pass","No","Yes")</f>
        <v>No</v>
      </c>
      <c r="R283" s="6" t="s">
        <v>60</v>
      </c>
      <c r="S283" s="6"/>
      <c r="T283" s="6"/>
      <c r="U283" s="23" t="n">
        <v>23.422</v>
      </c>
      <c r="V283" s="6" t="s">
        <v>2333</v>
      </c>
      <c r="W283" s="6" t="s">
        <v>2334</v>
      </c>
      <c r="X283" s="6" t="s">
        <v>2335</v>
      </c>
      <c r="Y283" s="6" t="s">
        <v>60</v>
      </c>
      <c r="Z283" s="6" t="n">
        <v>0</v>
      </c>
      <c r="AA283" s="6" t="n">
        <v>0</v>
      </c>
      <c r="AB283" s="6" t="n">
        <v>0</v>
      </c>
      <c r="AC283" s="6" t="n">
        <v>0</v>
      </c>
      <c r="AD283" s="6" t="n">
        <v>0</v>
      </c>
      <c r="AE283" s="6" t="n">
        <v>0</v>
      </c>
      <c r="AF283" s="6" t="n">
        <v>0</v>
      </c>
      <c r="AG283" s="6" t="n">
        <v>0</v>
      </c>
      <c r="AH283" s="6" t="n">
        <v>0</v>
      </c>
      <c r="AI283" s="6" t="s">
        <v>84</v>
      </c>
    </row>
    <row r="284" customFormat="false" ht="15" hidden="false" customHeight="false" outlineLevel="0" collapsed="false">
      <c r="A284" s="6" t="n">
        <v>283</v>
      </c>
      <c r="B284" s="6" t="s">
        <v>2336</v>
      </c>
      <c r="C284" s="6" t="n">
        <v>6</v>
      </c>
      <c r="D284" s="6" t="s">
        <v>77</v>
      </c>
      <c r="E284" s="6" t="s">
        <v>81</v>
      </c>
      <c r="F284" s="6" t="n">
        <v>2</v>
      </c>
      <c r="G284" s="6" t="n">
        <v>48</v>
      </c>
      <c r="H284" s="6" t="s">
        <v>2337</v>
      </c>
      <c r="I284" s="22" t="n">
        <v>646000</v>
      </c>
      <c r="J284" s="22" t="n">
        <v>4000</v>
      </c>
      <c r="K284" s="22" t="n">
        <v>48750</v>
      </c>
      <c r="L284" s="22" t="n">
        <v>698750</v>
      </c>
      <c r="M284" s="6" t="s">
        <v>984</v>
      </c>
      <c r="N284" s="6" t="s">
        <v>84</v>
      </c>
      <c r="O284" s="6" t="s">
        <v>985</v>
      </c>
      <c r="P284" s="6" t="s">
        <v>85</v>
      </c>
      <c r="Q284" s="6" t="str">
        <f aca="false">IF(P284="pass","No","Yes")</f>
        <v>Yes</v>
      </c>
      <c r="R284" s="6" t="s">
        <v>86</v>
      </c>
      <c r="S284" s="6" t="s">
        <v>985</v>
      </c>
      <c r="T284" s="6" t="s">
        <v>2033</v>
      </c>
      <c r="U284" s="23" t="n">
        <v>34.376</v>
      </c>
      <c r="V284" s="6" t="s">
        <v>2338</v>
      </c>
      <c r="W284" s="6" t="s">
        <v>2339</v>
      </c>
      <c r="X284" s="6" t="s">
        <v>2340</v>
      </c>
      <c r="Y284" s="6" t="s">
        <v>86</v>
      </c>
      <c r="Z284" s="6" t="n">
        <v>0</v>
      </c>
      <c r="AA284" s="6" t="n">
        <v>0</v>
      </c>
      <c r="AB284" s="6" t="n">
        <v>0</v>
      </c>
      <c r="AC284" s="6" t="n">
        <v>0</v>
      </c>
      <c r="AD284" s="6" t="n">
        <v>0</v>
      </c>
      <c r="AE284" s="6" t="n">
        <v>1</v>
      </c>
      <c r="AF284" s="6" t="n">
        <v>0</v>
      </c>
      <c r="AG284" s="6" t="n">
        <v>0</v>
      </c>
      <c r="AH284" s="6" t="n">
        <v>0</v>
      </c>
      <c r="AI284" s="6" t="s">
        <v>84</v>
      </c>
    </row>
    <row r="285" customFormat="false" ht="15" hidden="false" customHeight="false" outlineLevel="0" collapsed="false">
      <c r="A285" s="6" t="n">
        <v>284</v>
      </c>
      <c r="B285" s="6" t="s">
        <v>2341</v>
      </c>
      <c r="C285" s="6" t="n">
        <v>6</v>
      </c>
      <c r="D285" s="6" t="s">
        <v>112</v>
      </c>
      <c r="E285" s="6" t="s">
        <v>116</v>
      </c>
      <c r="F285" s="6" t="n">
        <v>2</v>
      </c>
      <c r="G285" s="6" t="n">
        <v>97</v>
      </c>
      <c r="H285" s="6" t="s">
        <v>2342</v>
      </c>
      <c r="I285" s="22" t="n">
        <v>1468400</v>
      </c>
      <c r="J285" s="22" t="n">
        <v>15000</v>
      </c>
      <c r="K285" s="22" t="n">
        <v>111255</v>
      </c>
      <c r="L285" s="22" t="n">
        <v>1594655</v>
      </c>
      <c r="M285" s="6" t="s">
        <v>57</v>
      </c>
      <c r="N285" s="6" t="s">
        <v>58</v>
      </c>
      <c r="O285" s="6"/>
      <c r="P285" s="6" t="s">
        <v>59</v>
      </c>
      <c r="Q285" s="6" t="str">
        <f aca="false">IF(P285="pass","No","Yes")</f>
        <v>Yes</v>
      </c>
      <c r="R285" s="6" t="s">
        <v>60</v>
      </c>
      <c r="S285" s="6" t="s">
        <v>915</v>
      </c>
      <c r="T285" s="6" t="s">
        <v>2343</v>
      </c>
      <c r="U285" s="23" t="n">
        <v>33.972</v>
      </c>
      <c r="V285" s="6" t="s">
        <v>2344</v>
      </c>
      <c r="W285" s="6" t="s">
        <v>2345</v>
      </c>
      <c r="X285" s="6" t="s">
        <v>2346</v>
      </c>
      <c r="Y285" s="6" t="s">
        <v>60</v>
      </c>
      <c r="Z285" s="6" t="n">
        <v>0</v>
      </c>
      <c r="AA285" s="6" t="n">
        <v>0</v>
      </c>
      <c r="AB285" s="6" t="n">
        <v>0</v>
      </c>
      <c r="AC285" s="6" t="n">
        <v>0</v>
      </c>
      <c r="AD285" s="6" t="n">
        <v>0</v>
      </c>
      <c r="AE285" s="6" t="n">
        <v>0</v>
      </c>
      <c r="AF285" s="6" t="n">
        <v>0</v>
      </c>
      <c r="AG285" s="6" t="n">
        <v>0</v>
      </c>
      <c r="AH285" s="6" t="n">
        <v>1</v>
      </c>
      <c r="AI285" s="6" t="s">
        <v>84</v>
      </c>
    </row>
    <row r="286" customFormat="false" ht="15" hidden="false" customHeight="false" outlineLevel="0" collapsed="false">
      <c r="A286" s="6" t="n">
        <v>285</v>
      </c>
      <c r="B286" s="6" t="s">
        <v>2347</v>
      </c>
      <c r="C286" s="6" t="n">
        <v>6</v>
      </c>
      <c r="D286" s="6" t="s">
        <v>77</v>
      </c>
      <c r="E286" s="6" t="s">
        <v>81</v>
      </c>
      <c r="F286" s="6" t="n">
        <v>1</v>
      </c>
      <c r="G286" s="6" t="n">
        <v>13</v>
      </c>
      <c r="H286" s="6" t="s">
        <v>1453</v>
      </c>
      <c r="I286" s="22" t="n">
        <v>403000</v>
      </c>
      <c r="J286" s="22" t="n">
        <v>4000</v>
      </c>
      <c r="K286" s="22" t="n">
        <v>30525</v>
      </c>
      <c r="L286" s="22" t="n">
        <v>437525</v>
      </c>
      <c r="M286" s="6" t="s">
        <v>960</v>
      </c>
      <c r="N286" s="6" t="s">
        <v>84</v>
      </c>
      <c r="O286" s="6" t="s">
        <v>961</v>
      </c>
      <c r="P286" s="6" t="s">
        <v>85</v>
      </c>
      <c r="Q286" s="6" t="str">
        <f aca="false">IF(P286="pass","No","Yes")</f>
        <v>Yes</v>
      </c>
      <c r="R286" s="6" t="s">
        <v>86</v>
      </c>
      <c r="S286" s="6" t="s">
        <v>961</v>
      </c>
      <c r="T286" s="6" t="s">
        <v>962</v>
      </c>
      <c r="U286" s="23" t="n">
        <v>15.016</v>
      </c>
      <c r="V286" s="6" t="s">
        <v>2348</v>
      </c>
      <c r="W286" s="6" t="s">
        <v>2349</v>
      </c>
      <c r="X286" s="6" t="s">
        <v>2350</v>
      </c>
      <c r="Y286" s="6" t="s">
        <v>86</v>
      </c>
      <c r="Z286" s="6" t="n">
        <v>0</v>
      </c>
      <c r="AA286" s="6" t="n">
        <v>0</v>
      </c>
      <c r="AB286" s="6" t="n">
        <v>0</v>
      </c>
      <c r="AC286" s="6" t="n">
        <v>0</v>
      </c>
      <c r="AD286" s="6" t="n">
        <v>1</v>
      </c>
      <c r="AE286" s="6" t="n">
        <v>0</v>
      </c>
      <c r="AF286" s="6" t="n">
        <v>0</v>
      </c>
      <c r="AG286" s="6" t="n">
        <v>0</v>
      </c>
      <c r="AH286" s="6" t="n">
        <v>0</v>
      </c>
      <c r="AI286" s="6" t="s">
        <v>84</v>
      </c>
    </row>
    <row r="287" customFormat="false" ht="15" hidden="false" customHeight="false" outlineLevel="0" collapsed="false">
      <c r="A287" s="6" t="n">
        <v>286</v>
      </c>
      <c r="B287" s="6" t="s">
        <v>2351</v>
      </c>
      <c r="C287" s="6" t="n">
        <v>6</v>
      </c>
      <c r="D287" s="6" t="s">
        <v>166</v>
      </c>
      <c r="E287" s="6" t="s">
        <v>74</v>
      </c>
      <c r="F287" s="6" t="n">
        <v>2</v>
      </c>
      <c r="G287" s="6" t="n">
        <v>65</v>
      </c>
      <c r="H287" s="6" t="s">
        <v>2352</v>
      </c>
      <c r="I287" s="22" t="n">
        <v>696600</v>
      </c>
      <c r="J287" s="22" t="n">
        <v>9000</v>
      </c>
      <c r="K287" s="22" t="n">
        <v>52920</v>
      </c>
      <c r="L287" s="22" t="n">
        <v>758520</v>
      </c>
      <c r="M287" s="6" t="s">
        <v>57</v>
      </c>
      <c r="N287" s="6" t="s">
        <v>58</v>
      </c>
      <c r="O287" s="6"/>
      <c r="P287" s="6" t="s">
        <v>69</v>
      </c>
      <c r="Q287" s="6" t="str">
        <f aca="false">IF(P287="pass","No","Yes")</f>
        <v>No</v>
      </c>
      <c r="R287" s="6" t="s">
        <v>60</v>
      </c>
      <c r="S287" s="6"/>
      <c r="T287" s="6"/>
      <c r="U287" s="23" t="n">
        <v>25.433</v>
      </c>
      <c r="V287" s="6" t="s">
        <v>2353</v>
      </c>
      <c r="W287" s="6" t="s">
        <v>2354</v>
      </c>
      <c r="X287" s="6" t="s">
        <v>2355</v>
      </c>
      <c r="Y287" s="6" t="s">
        <v>60</v>
      </c>
      <c r="Z287" s="6" t="n">
        <v>0</v>
      </c>
      <c r="AA287" s="6" t="n">
        <v>0</v>
      </c>
      <c r="AB287" s="6" t="n">
        <v>0</v>
      </c>
      <c r="AC287" s="6" t="n">
        <v>0</v>
      </c>
      <c r="AD287" s="6" t="n">
        <v>0</v>
      </c>
      <c r="AE287" s="6" t="n">
        <v>0</v>
      </c>
      <c r="AF287" s="6" t="n">
        <v>0</v>
      </c>
      <c r="AG287" s="6" t="n">
        <v>0</v>
      </c>
      <c r="AH287" s="6" t="n">
        <v>0</v>
      </c>
      <c r="AI287" s="6" t="s">
        <v>84</v>
      </c>
    </row>
    <row r="288" customFormat="false" ht="15" hidden="false" customHeight="false" outlineLevel="0" collapsed="false">
      <c r="A288" s="6" t="n">
        <v>287</v>
      </c>
      <c r="B288" s="6" t="s">
        <v>2356</v>
      </c>
      <c r="C288" s="6" t="n">
        <v>6</v>
      </c>
      <c r="D288" s="6" t="s">
        <v>198</v>
      </c>
      <c r="E288" s="6" t="s">
        <v>81</v>
      </c>
      <c r="F288" s="6" t="n">
        <v>1</v>
      </c>
      <c r="G288" s="6" t="n">
        <v>66</v>
      </c>
      <c r="H288" s="6" t="s">
        <v>2357</v>
      </c>
      <c r="I288" s="22" t="n">
        <v>825000</v>
      </c>
      <c r="J288" s="22" t="n">
        <v>4000</v>
      </c>
      <c r="K288" s="22" t="n">
        <v>62175</v>
      </c>
      <c r="L288" s="22" t="n">
        <v>891175</v>
      </c>
      <c r="M288" s="6" t="s">
        <v>57</v>
      </c>
      <c r="N288" s="6" t="s">
        <v>58</v>
      </c>
      <c r="O288" s="6"/>
      <c r="P288" s="6" t="s">
        <v>69</v>
      </c>
      <c r="Q288" s="6" t="str">
        <f aca="false">IF(P288="pass","No","Yes")</f>
        <v>No</v>
      </c>
      <c r="R288" s="6" t="s">
        <v>60</v>
      </c>
      <c r="S288" s="6"/>
      <c r="T288" s="6"/>
      <c r="U288" s="23" t="n">
        <v>14.629</v>
      </c>
      <c r="V288" s="6" t="s">
        <v>2358</v>
      </c>
      <c r="W288" s="6" t="s">
        <v>2359</v>
      </c>
      <c r="X288" s="6" t="s">
        <v>2360</v>
      </c>
      <c r="Y288" s="6" t="s">
        <v>60</v>
      </c>
      <c r="Z288" s="6" t="n">
        <v>0</v>
      </c>
      <c r="AA288" s="6" t="n">
        <v>0</v>
      </c>
      <c r="AB288" s="6" t="n">
        <v>0</v>
      </c>
      <c r="AC288" s="6" t="n">
        <v>0</v>
      </c>
      <c r="AD288" s="6" t="n">
        <v>0</v>
      </c>
      <c r="AE288" s="6" t="n">
        <v>0</v>
      </c>
      <c r="AF288" s="6" t="n">
        <v>0</v>
      </c>
      <c r="AG288" s="6" t="n">
        <v>0</v>
      </c>
      <c r="AH288" s="6" t="n">
        <v>0</v>
      </c>
      <c r="AI288" s="6" t="s">
        <v>84</v>
      </c>
    </row>
    <row r="289" customFormat="false" ht="15" hidden="false" customHeight="false" outlineLevel="0" collapsed="false">
      <c r="A289" s="6" t="n">
        <v>288</v>
      </c>
      <c r="B289" s="6" t="s">
        <v>2361</v>
      </c>
      <c r="C289" s="6" t="n">
        <v>6</v>
      </c>
      <c r="D289" s="6" t="s">
        <v>89</v>
      </c>
      <c r="E289" s="6" t="s">
        <v>67</v>
      </c>
      <c r="F289" s="6" t="n">
        <v>2</v>
      </c>
      <c r="G289" s="6" t="n">
        <v>14</v>
      </c>
      <c r="H289" s="6" t="s">
        <v>2362</v>
      </c>
      <c r="I289" s="22" t="n">
        <v>277200</v>
      </c>
      <c r="J289" s="22" t="n">
        <v>4500</v>
      </c>
      <c r="K289" s="22" t="n">
        <v>21127.5</v>
      </c>
      <c r="L289" s="22" t="n">
        <v>302827.5</v>
      </c>
      <c r="M289" s="6" t="s">
        <v>57</v>
      </c>
      <c r="N289" s="6" t="s">
        <v>58</v>
      </c>
      <c r="O289" s="6"/>
      <c r="P289" s="6" t="s">
        <v>69</v>
      </c>
      <c r="Q289" s="6" t="str">
        <f aca="false">IF(P289="pass","No","Yes")</f>
        <v>No</v>
      </c>
      <c r="R289" s="6" t="s">
        <v>60</v>
      </c>
      <c r="S289" s="6"/>
      <c r="T289" s="6"/>
      <c r="U289" s="23" t="n">
        <v>22.834</v>
      </c>
      <c r="V289" s="6" t="s">
        <v>2363</v>
      </c>
      <c r="W289" s="6" t="s">
        <v>2364</v>
      </c>
      <c r="X289" s="6" t="s">
        <v>2365</v>
      </c>
      <c r="Y289" s="6" t="s">
        <v>60</v>
      </c>
      <c r="Z289" s="6" t="n">
        <v>0</v>
      </c>
      <c r="AA289" s="6" t="n">
        <v>0</v>
      </c>
      <c r="AB289" s="6" t="n">
        <v>0</v>
      </c>
      <c r="AC289" s="6" t="n">
        <v>0</v>
      </c>
      <c r="AD289" s="6" t="n">
        <v>0</v>
      </c>
      <c r="AE289" s="6" t="n">
        <v>0</v>
      </c>
      <c r="AF289" s="6" t="n">
        <v>0</v>
      </c>
      <c r="AG289" s="6" t="n">
        <v>0</v>
      </c>
      <c r="AH289" s="6" t="n">
        <v>0</v>
      </c>
      <c r="AI289" s="6" t="s">
        <v>84</v>
      </c>
    </row>
    <row r="290" customFormat="false" ht="15" hidden="false" customHeight="false" outlineLevel="0" collapsed="false">
      <c r="A290" s="6" t="n">
        <v>289</v>
      </c>
      <c r="B290" s="6" t="s">
        <v>2366</v>
      </c>
      <c r="C290" s="6" t="n">
        <v>6</v>
      </c>
      <c r="D290" s="6" t="s">
        <v>137</v>
      </c>
      <c r="E290" s="6" t="s">
        <v>55</v>
      </c>
      <c r="F290" s="6" t="n">
        <v>3</v>
      </c>
      <c r="G290" s="6" t="n">
        <v>105</v>
      </c>
      <c r="H290" s="6" t="s">
        <v>2367</v>
      </c>
      <c r="I290" s="22" t="n">
        <v>1333800</v>
      </c>
      <c r="J290" s="22" t="n">
        <v>6000</v>
      </c>
      <c r="K290" s="22" t="n">
        <v>100485</v>
      </c>
      <c r="L290" s="22" t="n">
        <v>1440285</v>
      </c>
      <c r="M290" s="6" t="s">
        <v>1042</v>
      </c>
      <c r="N290" s="6" t="s">
        <v>58</v>
      </c>
      <c r="O290" s="6"/>
      <c r="P290" s="6" t="s">
        <v>69</v>
      </c>
      <c r="Q290" s="6" t="str">
        <f aca="false">IF(P290="pass","No","Yes")</f>
        <v>No</v>
      </c>
      <c r="R290" s="6" t="s">
        <v>60</v>
      </c>
      <c r="S290" s="6"/>
      <c r="T290" s="6"/>
      <c r="U290" s="23" t="n">
        <v>45.899</v>
      </c>
      <c r="V290" s="6" t="s">
        <v>2368</v>
      </c>
      <c r="W290" s="6" t="s">
        <v>2369</v>
      </c>
      <c r="X290" s="6" t="s">
        <v>2370</v>
      </c>
      <c r="Y290" s="6" t="s">
        <v>60</v>
      </c>
      <c r="Z290" s="6" t="n">
        <v>0</v>
      </c>
      <c r="AA290" s="6" t="n">
        <v>0</v>
      </c>
      <c r="AB290" s="6" t="n">
        <v>0</v>
      </c>
      <c r="AC290" s="6" t="n">
        <v>0</v>
      </c>
      <c r="AD290" s="6" t="n">
        <v>0</v>
      </c>
      <c r="AE290" s="6" t="n">
        <v>0</v>
      </c>
      <c r="AF290" s="6" t="n">
        <v>0</v>
      </c>
      <c r="AG290" s="6" t="n">
        <v>0</v>
      </c>
      <c r="AH290" s="6" t="n">
        <v>0</v>
      </c>
      <c r="AI290" s="6" t="s">
        <v>84</v>
      </c>
    </row>
    <row r="291" customFormat="false" ht="15" hidden="false" customHeight="false" outlineLevel="0" collapsed="false">
      <c r="A291" s="6" t="n">
        <v>290</v>
      </c>
      <c r="B291" s="6" t="s">
        <v>2371</v>
      </c>
      <c r="C291" s="6" t="n">
        <v>6</v>
      </c>
      <c r="D291" s="6" t="s">
        <v>142</v>
      </c>
      <c r="E291" s="6" t="s">
        <v>74</v>
      </c>
      <c r="F291" s="6" t="n">
        <v>3</v>
      </c>
      <c r="G291" s="6" t="n">
        <v>178</v>
      </c>
      <c r="H291" s="6" t="s">
        <v>2372</v>
      </c>
      <c r="I291" s="22" t="n">
        <v>1734000</v>
      </c>
      <c r="J291" s="22" t="n">
        <v>9000</v>
      </c>
      <c r="K291" s="22" t="n">
        <v>130725</v>
      </c>
      <c r="L291" s="22" t="n">
        <v>1873725</v>
      </c>
      <c r="M291" s="6" t="s">
        <v>152</v>
      </c>
      <c r="N291" s="6" t="s">
        <v>84</v>
      </c>
      <c r="O291" s="6" t="s">
        <v>886</v>
      </c>
      <c r="P291" s="6" t="s">
        <v>85</v>
      </c>
      <c r="Q291" s="6" t="str">
        <f aca="false">IF(P291="pass","No","Yes")</f>
        <v>Yes</v>
      </c>
      <c r="R291" s="6" t="s">
        <v>86</v>
      </c>
      <c r="S291" s="6" t="s">
        <v>886</v>
      </c>
      <c r="T291" s="6" t="s">
        <v>475</v>
      </c>
      <c r="U291" s="23" t="n">
        <v>33.428</v>
      </c>
      <c r="V291" s="6" t="s">
        <v>2373</v>
      </c>
      <c r="W291" s="6" t="s">
        <v>2374</v>
      </c>
      <c r="X291" s="6" t="s">
        <v>2375</v>
      </c>
      <c r="Y291" s="6" t="s">
        <v>86</v>
      </c>
      <c r="Z291" s="6" t="n">
        <v>0</v>
      </c>
      <c r="AA291" s="6" t="n">
        <v>0</v>
      </c>
      <c r="AB291" s="6" t="n">
        <v>1</v>
      </c>
      <c r="AC291" s="6" t="n">
        <v>0</v>
      </c>
      <c r="AD291" s="6" t="n">
        <v>0</v>
      </c>
      <c r="AE291" s="6" t="n">
        <v>0</v>
      </c>
      <c r="AF291" s="6" t="n">
        <v>0</v>
      </c>
      <c r="AG291" s="6" t="n">
        <v>0</v>
      </c>
      <c r="AH291" s="6" t="n">
        <v>0</v>
      </c>
      <c r="AI291" s="6" t="s">
        <v>84</v>
      </c>
    </row>
    <row r="292" customFormat="false" ht="15" hidden="false" customHeight="false" outlineLevel="0" collapsed="false">
      <c r="A292" s="6" t="n">
        <v>291</v>
      </c>
      <c r="B292" s="6" t="s">
        <v>2376</v>
      </c>
      <c r="C292" s="6" t="n">
        <v>6</v>
      </c>
      <c r="D292" s="6" t="s">
        <v>154</v>
      </c>
      <c r="E292" s="6" t="s">
        <v>123</v>
      </c>
      <c r="F292" s="6" t="n">
        <v>1</v>
      </c>
      <c r="G292" s="6" t="n">
        <v>98</v>
      </c>
      <c r="H292" s="6" t="s">
        <v>2377</v>
      </c>
      <c r="I292" s="22" t="n">
        <v>931000</v>
      </c>
      <c r="J292" s="22" t="n">
        <v>5000</v>
      </c>
      <c r="K292" s="22" t="n">
        <v>70200</v>
      </c>
      <c r="L292" s="22" t="n">
        <v>1006200</v>
      </c>
      <c r="M292" s="6" t="s">
        <v>57</v>
      </c>
      <c r="N292" s="6" t="s">
        <v>58</v>
      </c>
      <c r="O292" s="6"/>
      <c r="P292" s="6" t="s">
        <v>59</v>
      </c>
      <c r="Q292" s="6" t="str">
        <f aca="false">IF(P292="pass","No","Yes")</f>
        <v>Yes</v>
      </c>
      <c r="R292" s="6" t="s">
        <v>60</v>
      </c>
      <c r="S292" s="6" t="s">
        <v>915</v>
      </c>
      <c r="T292" s="6" t="s">
        <v>2378</v>
      </c>
      <c r="U292" s="23" t="n">
        <v>26.028</v>
      </c>
      <c r="V292" s="6" t="s">
        <v>2379</v>
      </c>
      <c r="W292" s="6" t="s">
        <v>2380</v>
      </c>
      <c r="X292" s="6" t="s">
        <v>2381</v>
      </c>
      <c r="Y292" s="6" t="s">
        <v>60</v>
      </c>
      <c r="Z292" s="6" t="n">
        <v>0</v>
      </c>
      <c r="AA292" s="6" t="n">
        <v>0</v>
      </c>
      <c r="AB292" s="6" t="n">
        <v>0</v>
      </c>
      <c r="AC292" s="6" t="n">
        <v>0</v>
      </c>
      <c r="AD292" s="6" t="n">
        <v>0</v>
      </c>
      <c r="AE292" s="6" t="n">
        <v>0</v>
      </c>
      <c r="AF292" s="6" t="n">
        <v>0</v>
      </c>
      <c r="AG292" s="6" t="n">
        <v>0</v>
      </c>
      <c r="AH292" s="6" t="n">
        <v>1</v>
      </c>
      <c r="AI292" s="6" t="s">
        <v>84</v>
      </c>
    </row>
    <row r="293" customFormat="false" ht="15" hidden="false" customHeight="false" outlineLevel="0" collapsed="false">
      <c r="A293" s="6" t="n">
        <v>292</v>
      </c>
      <c r="B293" s="6" t="s">
        <v>2382</v>
      </c>
      <c r="C293" s="6" t="n">
        <v>6</v>
      </c>
      <c r="D293" s="6" t="s">
        <v>237</v>
      </c>
      <c r="E293" s="6" t="s">
        <v>116</v>
      </c>
      <c r="F293" s="6" t="n">
        <v>3</v>
      </c>
      <c r="G293" s="6" t="n">
        <v>53</v>
      </c>
      <c r="H293" s="6" t="s">
        <v>2383</v>
      </c>
      <c r="I293" s="22" t="n">
        <v>1239500</v>
      </c>
      <c r="J293" s="22" t="n">
        <v>15000</v>
      </c>
      <c r="K293" s="22" t="n">
        <v>94087.5</v>
      </c>
      <c r="L293" s="22" t="n">
        <v>1348587.5</v>
      </c>
      <c r="M293" s="6" t="s">
        <v>960</v>
      </c>
      <c r="N293" s="6" t="s">
        <v>84</v>
      </c>
      <c r="O293" s="6" t="s">
        <v>961</v>
      </c>
      <c r="P293" s="6" t="s">
        <v>85</v>
      </c>
      <c r="Q293" s="6" t="str">
        <f aca="false">IF(P293="pass","No","Yes")</f>
        <v>Yes</v>
      </c>
      <c r="R293" s="6" t="s">
        <v>86</v>
      </c>
      <c r="S293" s="6" t="s">
        <v>961</v>
      </c>
      <c r="T293" s="6" t="s">
        <v>962</v>
      </c>
      <c r="U293" s="23" t="n">
        <v>30.136</v>
      </c>
      <c r="V293" s="6" t="s">
        <v>2384</v>
      </c>
      <c r="W293" s="6" t="s">
        <v>2385</v>
      </c>
      <c r="X293" s="6" t="s">
        <v>2386</v>
      </c>
      <c r="Y293" s="6" t="s">
        <v>86</v>
      </c>
      <c r="Z293" s="6" t="n">
        <v>0</v>
      </c>
      <c r="AA293" s="6" t="n">
        <v>0</v>
      </c>
      <c r="AB293" s="6" t="n">
        <v>0</v>
      </c>
      <c r="AC293" s="6" t="n">
        <v>0</v>
      </c>
      <c r="AD293" s="6" t="n">
        <v>1</v>
      </c>
      <c r="AE293" s="6" t="n">
        <v>0</v>
      </c>
      <c r="AF293" s="6" t="n">
        <v>0</v>
      </c>
      <c r="AG293" s="6" t="n">
        <v>0</v>
      </c>
      <c r="AH293" s="6" t="n">
        <v>0</v>
      </c>
      <c r="AI293" s="6" t="s">
        <v>84</v>
      </c>
    </row>
    <row r="294" customFormat="false" ht="15" hidden="false" customHeight="false" outlineLevel="0" collapsed="false">
      <c r="A294" s="6" t="n">
        <v>293</v>
      </c>
      <c r="B294" s="6" t="s">
        <v>2387</v>
      </c>
      <c r="C294" s="6" t="n">
        <v>6</v>
      </c>
      <c r="D294" s="6" t="s">
        <v>142</v>
      </c>
      <c r="E294" s="6" t="s">
        <v>74</v>
      </c>
      <c r="F294" s="6" t="n">
        <v>1</v>
      </c>
      <c r="G294" s="6" t="n">
        <v>30</v>
      </c>
      <c r="H294" s="6" t="s">
        <v>2388</v>
      </c>
      <c r="I294" s="22" t="n">
        <v>435000</v>
      </c>
      <c r="J294" s="22" t="n">
        <v>9000</v>
      </c>
      <c r="K294" s="22" t="n">
        <v>33300</v>
      </c>
      <c r="L294" s="22" t="n">
        <v>477300</v>
      </c>
      <c r="M294" s="6" t="s">
        <v>57</v>
      </c>
      <c r="N294" s="6" t="s">
        <v>58</v>
      </c>
      <c r="O294" s="6"/>
      <c r="P294" s="6" t="s">
        <v>69</v>
      </c>
      <c r="Q294" s="6" t="str">
        <f aca="false">IF(P294="pass","No","Yes")</f>
        <v>No</v>
      </c>
      <c r="R294" s="6" t="s">
        <v>60</v>
      </c>
      <c r="S294" s="6"/>
      <c r="T294" s="6"/>
      <c r="U294" s="23" t="n">
        <v>15.644</v>
      </c>
      <c r="V294" s="6" t="s">
        <v>2389</v>
      </c>
      <c r="W294" s="6" t="s">
        <v>2390</v>
      </c>
      <c r="X294" s="6" t="s">
        <v>2391</v>
      </c>
      <c r="Y294" s="6" t="s">
        <v>60</v>
      </c>
      <c r="Z294" s="6" t="n">
        <v>0</v>
      </c>
      <c r="AA294" s="6" t="n">
        <v>0</v>
      </c>
      <c r="AB294" s="6" t="n">
        <v>0</v>
      </c>
      <c r="AC294" s="6" t="n">
        <v>0</v>
      </c>
      <c r="AD294" s="6" t="n">
        <v>0</v>
      </c>
      <c r="AE294" s="6" t="n">
        <v>0</v>
      </c>
      <c r="AF294" s="6" t="n">
        <v>0</v>
      </c>
      <c r="AG294" s="6" t="n">
        <v>0</v>
      </c>
      <c r="AH294" s="6" t="n">
        <v>0</v>
      </c>
      <c r="AI294" s="6" t="s">
        <v>84</v>
      </c>
    </row>
    <row r="295" customFormat="false" ht="15" hidden="false" customHeight="false" outlineLevel="0" collapsed="false">
      <c r="A295" s="6" t="n">
        <v>294</v>
      </c>
      <c r="B295" s="6" t="s">
        <v>2392</v>
      </c>
      <c r="C295" s="6" t="n">
        <v>6</v>
      </c>
      <c r="D295" s="6" t="s">
        <v>100</v>
      </c>
      <c r="E295" s="6" t="s">
        <v>67</v>
      </c>
      <c r="F295" s="6" t="n">
        <v>3</v>
      </c>
      <c r="G295" s="6" t="n">
        <v>265</v>
      </c>
      <c r="H295" s="6" t="s">
        <v>2393</v>
      </c>
      <c r="I295" s="22" t="n">
        <v>2265500</v>
      </c>
      <c r="J295" s="22" t="n">
        <v>4500</v>
      </c>
      <c r="K295" s="22" t="n">
        <v>170250</v>
      </c>
      <c r="L295" s="22" t="n">
        <v>2440250</v>
      </c>
      <c r="M295" s="6" t="s">
        <v>57</v>
      </c>
      <c r="N295" s="6" t="s">
        <v>58</v>
      </c>
      <c r="O295" s="6"/>
      <c r="P295" s="6" t="s">
        <v>59</v>
      </c>
      <c r="Q295" s="6" t="str">
        <f aca="false">IF(P295="pass","No","Yes")</f>
        <v>Yes</v>
      </c>
      <c r="R295" s="6" t="s">
        <v>60</v>
      </c>
      <c r="S295" s="6" t="s">
        <v>915</v>
      </c>
      <c r="T295" s="6" t="s">
        <v>2394</v>
      </c>
      <c r="U295" s="23" t="n">
        <v>58.092</v>
      </c>
      <c r="V295" s="6" t="s">
        <v>2395</v>
      </c>
      <c r="W295" s="6" t="s">
        <v>2396</v>
      </c>
      <c r="X295" s="6" t="s">
        <v>2397</v>
      </c>
      <c r="Y295" s="6" t="s">
        <v>60</v>
      </c>
      <c r="Z295" s="6" t="n">
        <v>0</v>
      </c>
      <c r="AA295" s="6" t="n">
        <v>0</v>
      </c>
      <c r="AB295" s="6" t="n">
        <v>0</v>
      </c>
      <c r="AC295" s="6" t="n">
        <v>0</v>
      </c>
      <c r="AD295" s="6" t="n">
        <v>0</v>
      </c>
      <c r="AE295" s="6" t="n">
        <v>0</v>
      </c>
      <c r="AF295" s="6" t="n">
        <v>0</v>
      </c>
      <c r="AG295" s="6" t="n">
        <v>0</v>
      </c>
      <c r="AH295" s="6" t="n">
        <v>1</v>
      </c>
      <c r="AI295" s="6" t="s">
        <v>84</v>
      </c>
    </row>
    <row r="296" customFormat="false" ht="15" hidden="false" customHeight="false" outlineLevel="0" collapsed="false">
      <c r="A296" s="6" t="n">
        <v>295</v>
      </c>
      <c r="B296" s="6" t="s">
        <v>2398</v>
      </c>
      <c r="C296" s="6" t="n">
        <v>6</v>
      </c>
      <c r="D296" s="6" t="s">
        <v>186</v>
      </c>
      <c r="E296" s="6" t="s">
        <v>123</v>
      </c>
      <c r="F296" s="6" t="n">
        <v>3</v>
      </c>
      <c r="G296" s="6" t="n">
        <v>170</v>
      </c>
      <c r="H296" s="6" t="s">
        <v>2399</v>
      </c>
      <c r="I296" s="22" t="n">
        <v>1774200</v>
      </c>
      <c r="J296" s="22" t="n">
        <v>5000</v>
      </c>
      <c r="K296" s="22" t="n">
        <v>133440</v>
      </c>
      <c r="L296" s="22" t="n">
        <v>1912640</v>
      </c>
      <c r="M296" s="6" t="s">
        <v>57</v>
      </c>
      <c r="N296" s="6" t="s">
        <v>58</v>
      </c>
      <c r="O296" s="6"/>
      <c r="P296" s="6" t="s">
        <v>69</v>
      </c>
      <c r="Q296" s="6" t="str">
        <f aca="false">IF(P296="pass","No","Yes")</f>
        <v>No</v>
      </c>
      <c r="R296" s="6" t="s">
        <v>60</v>
      </c>
      <c r="S296" s="6"/>
      <c r="T296" s="6"/>
      <c r="U296" s="23" t="n">
        <v>46.882</v>
      </c>
      <c r="V296" s="6" t="s">
        <v>2400</v>
      </c>
      <c r="W296" s="6" t="s">
        <v>2401</v>
      </c>
      <c r="X296" s="6" t="s">
        <v>2402</v>
      </c>
      <c r="Y296" s="6" t="s">
        <v>60</v>
      </c>
      <c r="Z296" s="6" t="n">
        <v>0</v>
      </c>
      <c r="AA296" s="6" t="n">
        <v>0</v>
      </c>
      <c r="AB296" s="6" t="n">
        <v>0</v>
      </c>
      <c r="AC296" s="6" t="n">
        <v>0</v>
      </c>
      <c r="AD296" s="6" t="n">
        <v>0</v>
      </c>
      <c r="AE296" s="6" t="n">
        <v>0</v>
      </c>
      <c r="AF296" s="6" t="n">
        <v>0</v>
      </c>
      <c r="AG296" s="6" t="n">
        <v>0</v>
      </c>
      <c r="AH296" s="6" t="n">
        <v>0</v>
      </c>
      <c r="AI296" s="6" t="s">
        <v>84</v>
      </c>
    </row>
    <row r="297" customFormat="false" ht="15" hidden="false" customHeight="false" outlineLevel="0" collapsed="false">
      <c r="A297" s="6" t="n">
        <v>296</v>
      </c>
      <c r="B297" s="6" t="s">
        <v>2403</v>
      </c>
      <c r="C297" s="6" t="n">
        <v>6</v>
      </c>
      <c r="D297" s="6" t="s">
        <v>127</v>
      </c>
      <c r="E297" s="6" t="s">
        <v>55</v>
      </c>
      <c r="F297" s="6" t="n">
        <v>2</v>
      </c>
      <c r="G297" s="6" t="n">
        <v>13</v>
      </c>
      <c r="H297" s="6" t="s">
        <v>2404</v>
      </c>
      <c r="I297" s="22" t="n">
        <v>170600</v>
      </c>
      <c r="J297" s="22" t="n">
        <v>6000</v>
      </c>
      <c r="K297" s="22" t="n">
        <v>13245</v>
      </c>
      <c r="L297" s="22" t="n">
        <v>189845</v>
      </c>
      <c r="M297" s="6" t="s">
        <v>1009</v>
      </c>
      <c r="N297" s="6" t="s">
        <v>58</v>
      </c>
      <c r="O297" s="6"/>
      <c r="P297" s="6" t="s">
        <v>69</v>
      </c>
      <c r="Q297" s="6" t="str">
        <f aca="false">IF(P297="pass","No","Yes")</f>
        <v>No</v>
      </c>
      <c r="R297" s="6" t="s">
        <v>60</v>
      </c>
      <c r="S297" s="6"/>
      <c r="T297" s="6"/>
      <c r="U297" s="23" t="n">
        <v>24.584</v>
      </c>
      <c r="V297" s="6" t="s">
        <v>2405</v>
      </c>
      <c r="W297" s="6" t="s">
        <v>2406</v>
      </c>
      <c r="X297" s="6" t="s">
        <v>2407</v>
      </c>
      <c r="Y297" s="6" t="s">
        <v>60</v>
      </c>
      <c r="Z297" s="6" t="n">
        <v>0</v>
      </c>
      <c r="AA297" s="6" t="n">
        <v>0</v>
      </c>
      <c r="AB297" s="6" t="n">
        <v>0</v>
      </c>
      <c r="AC297" s="6" t="n">
        <v>0</v>
      </c>
      <c r="AD297" s="6" t="n">
        <v>0</v>
      </c>
      <c r="AE297" s="6" t="n">
        <v>0</v>
      </c>
      <c r="AF297" s="6" t="n">
        <v>0</v>
      </c>
      <c r="AG297" s="6" t="n">
        <v>0</v>
      </c>
      <c r="AH297" s="6" t="n">
        <v>0</v>
      </c>
      <c r="AI297" s="6" t="s">
        <v>84</v>
      </c>
    </row>
    <row r="298" customFormat="false" ht="15" hidden="false" customHeight="false" outlineLevel="0" collapsed="false">
      <c r="A298" s="6" t="n">
        <v>297</v>
      </c>
      <c r="B298" s="6" t="s">
        <v>2408</v>
      </c>
      <c r="C298" s="6" t="n">
        <v>6</v>
      </c>
      <c r="D298" s="6" t="s">
        <v>191</v>
      </c>
      <c r="E298" s="6" t="s">
        <v>116</v>
      </c>
      <c r="F298" s="6" t="n">
        <v>2</v>
      </c>
      <c r="G298" s="6" t="n">
        <v>61</v>
      </c>
      <c r="H298" s="6" t="s">
        <v>2409</v>
      </c>
      <c r="I298" s="22" t="n">
        <v>517400</v>
      </c>
      <c r="J298" s="22" t="n">
        <v>15000</v>
      </c>
      <c r="K298" s="22" t="n">
        <v>39930</v>
      </c>
      <c r="L298" s="22" t="n">
        <v>572330</v>
      </c>
      <c r="M298" s="6" t="s">
        <v>984</v>
      </c>
      <c r="N298" s="6" t="s">
        <v>84</v>
      </c>
      <c r="O298" s="6" t="s">
        <v>985</v>
      </c>
      <c r="P298" s="6" t="s">
        <v>85</v>
      </c>
      <c r="Q298" s="6" t="str">
        <f aca="false">IF(P298="pass","No","Yes")</f>
        <v>Yes</v>
      </c>
      <c r="R298" s="6" t="s">
        <v>86</v>
      </c>
      <c r="S298" s="6" t="s">
        <v>1885</v>
      </c>
      <c r="T298" s="6" t="s">
        <v>2410</v>
      </c>
      <c r="U298" s="23" t="n">
        <v>37.739</v>
      </c>
      <c r="V298" s="6" t="s">
        <v>2411</v>
      </c>
      <c r="W298" s="6" t="s">
        <v>2412</v>
      </c>
      <c r="X298" s="6" t="s">
        <v>2413</v>
      </c>
      <c r="Y298" s="6" t="s">
        <v>86</v>
      </c>
      <c r="Z298" s="6" t="n">
        <v>0</v>
      </c>
      <c r="AA298" s="6" t="n">
        <v>0</v>
      </c>
      <c r="AB298" s="6" t="n">
        <v>0</v>
      </c>
      <c r="AC298" s="6" t="n">
        <v>0</v>
      </c>
      <c r="AD298" s="6" t="n">
        <v>0</v>
      </c>
      <c r="AE298" s="6" t="n">
        <v>1</v>
      </c>
      <c r="AF298" s="6" t="n">
        <v>0</v>
      </c>
      <c r="AG298" s="6" t="n">
        <v>0</v>
      </c>
      <c r="AH298" s="6" t="n">
        <v>1</v>
      </c>
      <c r="AI298" s="6" t="s">
        <v>84</v>
      </c>
    </row>
    <row r="299" customFormat="false" ht="15" hidden="false" customHeight="false" outlineLevel="0" collapsed="false">
      <c r="A299" s="6" t="n">
        <v>298</v>
      </c>
      <c r="B299" s="6" t="s">
        <v>2414</v>
      </c>
      <c r="C299" s="6" t="n">
        <v>6</v>
      </c>
      <c r="D299" s="6" t="s">
        <v>137</v>
      </c>
      <c r="E299" s="6" t="s">
        <v>55</v>
      </c>
      <c r="F299" s="6" t="n">
        <v>4</v>
      </c>
      <c r="G299" s="6" t="n">
        <v>93</v>
      </c>
      <c r="H299" s="6" t="s">
        <v>2415</v>
      </c>
      <c r="I299" s="22" t="n">
        <v>1814900</v>
      </c>
      <c r="J299" s="22" t="n">
        <v>6000</v>
      </c>
      <c r="K299" s="22" t="n">
        <v>136567.5</v>
      </c>
      <c r="L299" s="22" t="n">
        <v>1957467.5</v>
      </c>
      <c r="M299" s="6" t="s">
        <v>83</v>
      </c>
      <c r="N299" s="6" t="s">
        <v>84</v>
      </c>
      <c r="O299" s="6" t="s">
        <v>886</v>
      </c>
      <c r="P299" s="6" t="s">
        <v>85</v>
      </c>
      <c r="Q299" s="6" t="str">
        <f aca="false">IF(P299="pass","No","Yes")</f>
        <v>Yes</v>
      </c>
      <c r="R299" s="6" t="s">
        <v>86</v>
      </c>
      <c r="S299" s="6" t="s">
        <v>886</v>
      </c>
      <c r="T299" s="6" t="s">
        <v>304</v>
      </c>
      <c r="U299" s="23" t="n">
        <v>44.363</v>
      </c>
      <c r="V299" s="6" t="s">
        <v>2416</v>
      </c>
      <c r="W299" s="6" t="s">
        <v>2417</v>
      </c>
      <c r="X299" s="6" t="s">
        <v>2418</v>
      </c>
      <c r="Y299" s="6" t="s">
        <v>86</v>
      </c>
      <c r="Z299" s="6" t="n">
        <v>0</v>
      </c>
      <c r="AA299" s="6" t="n">
        <v>0</v>
      </c>
      <c r="AB299" s="6" t="n">
        <v>1</v>
      </c>
      <c r="AC299" s="6" t="n">
        <v>0</v>
      </c>
      <c r="AD299" s="6" t="n">
        <v>0</v>
      </c>
      <c r="AE299" s="6" t="n">
        <v>0</v>
      </c>
      <c r="AF299" s="6" t="n">
        <v>0</v>
      </c>
      <c r="AG299" s="6" t="n">
        <v>0</v>
      </c>
      <c r="AH299" s="6" t="n">
        <v>0</v>
      </c>
      <c r="AI299" s="6" t="s">
        <v>84</v>
      </c>
    </row>
    <row r="300" customFormat="false" ht="15" hidden="false" customHeight="false" outlineLevel="0" collapsed="false">
      <c r="A300" s="6" t="n">
        <v>299</v>
      </c>
      <c r="B300" s="6" t="s">
        <v>2419</v>
      </c>
      <c r="C300" s="6" t="n">
        <v>6</v>
      </c>
      <c r="D300" s="6" t="s">
        <v>237</v>
      </c>
      <c r="E300" s="6" t="s">
        <v>116</v>
      </c>
      <c r="F300" s="6" t="n">
        <v>2</v>
      </c>
      <c r="G300" s="6" t="n">
        <v>13</v>
      </c>
      <c r="H300" s="6" t="s">
        <v>2420</v>
      </c>
      <c r="I300" s="22" t="n">
        <v>451000</v>
      </c>
      <c r="J300" s="22" t="n">
        <v>15000</v>
      </c>
      <c r="K300" s="22" t="n">
        <v>34950</v>
      </c>
      <c r="L300" s="22" t="n">
        <v>500950</v>
      </c>
      <c r="M300" s="6" t="s">
        <v>57</v>
      </c>
      <c r="N300" s="6" t="s">
        <v>58</v>
      </c>
      <c r="O300" s="6"/>
      <c r="P300" s="6" t="s">
        <v>69</v>
      </c>
      <c r="Q300" s="6" t="str">
        <f aca="false">IF(P300="pass","No","Yes")</f>
        <v>No</v>
      </c>
      <c r="R300" s="6" t="s">
        <v>60</v>
      </c>
      <c r="S300" s="6"/>
      <c r="T300" s="6"/>
      <c r="U300" s="23" t="n">
        <v>26.08</v>
      </c>
      <c r="V300" s="6" t="s">
        <v>2421</v>
      </c>
      <c r="W300" s="6" t="s">
        <v>2422</v>
      </c>
      <c r="X300" s="6" t="s">
        <v>2423</v>
      </c>
      <c r="Y300" s="6" t="s">
        <v>60</v>
      </c>
      <c r="Z300" s="6" t="n">
        <v>0</v>
      </c>
      <c r="AA300" s="6" t="n">
        <v>0</v>
      </c>
      <c r="AB300" s="6" t="n">
        <v>0</v>
      </c>
      <c r="AC300" s="6" t="n">
        <v>0</v>
      </c>
      <c r="AD300" s="6" t="n">
        <v>0</v>
      </c>
      <c r="AE300" s="6" t="n">
        <v>0</v>
      </c>
      <c r="AF300" s="6" t="n">
        <v>0</v>
      </c>
      <c r="AG300" s="6" t="n">
        <v>0</v>
      </c>
      <c r="AH300" s="6" t="n">
        <v>0</v>
      </c>
      <c r="AI300" s="6" t="s">
        <v>84</v>
      </c>
    </row>
    <row r="301" customFormat="false" ht="15" hidden="false" customHeight="false" outlineLevel="0" collapsed="false">
      <c r="A301" s="6" t="n">
        <v>300</v>
      </c>
      <c r="B301" s="6" t="s">
        <v>2424</v>
      </c>
      <c r="C301" s="6" t="n">
        <v>6</v>
      </c>
      <c r="D301" s="6" t="s">
        <v>51</v>
      </c>
      <c r="E301" s="6" t="s">
        <v>55</v>
      </c>
      <c r="F301" s="6" t="n">
        <v>3</v>
      </c>
      <c r="G301" s="6" t="n">
        <v>71</v>
      </c>
      <c r="H301" s="6" t="s">
        <v>2425</v>
      </c>
      <c r="I301" s="22" t="n">
        <v>591000</v>
      </c>
      <c r="J301" s="22" t="n">
        <v>6000</v>
      </c>
      <c r="K301" s="22" t="n">
        <v>44775</v>
      </c>
      <c r="L301" s="22" t="n">
        <v>641775</v>
      </c>
      <c r="M301" s="6" t="s">
        <v>57</v>
      </c>
      <c r="N301" s="6" t="s">
        <v>58</v>
      </c>
      <c r="O301" s="6"/>
      <c r="P301" s="6" t="s">
        <v>69</v>
      </c>
      <c r="Q301" s="6" t="str">
        <f aca="false">IF(P301="pass","No","Yes")</f>
        <v>No</v>
      </c>
      <c r="R301" s="6" t="s">
        <v>60</v>
      </c>
      <c r="S301" s="6"/>
      <c r="T301" s="6"/>
      <c r="U301" s="23" t="n">
        <v>58.02</v>
      </c>
      <c r="V301" s="6" t="s">
        <v>2426</v>
      </c>
      <c r="W301" s="6" t="s">
        <v>2427</v>
      </c>
      <c r="X301" s="6" t="s">
        <v>2428</v>
      </c>
      <c r="Y301" s="6" t="s">
        <v>60</v>
      </c>
      <c r="Z301" s="6" t="n">
        <v>0</v>
      </c>
      <c r="AA301" s="6" t="n">
        <v>0</v>
      </c>
      <c r="AB301" s="6" t="n">
        <v>0</v>
      </c>
      <c r="AC301" s="6" t="n">
        <v>0</v>
      </c>
      <c r="AD301" s="6" t="n">
        <v>0</v>
      </c>
      <c r="AE301" s="6" t="n">
        <v>0</v>
      </c>
      <c r="AF301" s="6" t="n">
        <v>0</v>
      </c>
      <c r="AG301" s="6" t="n">
        <v>0</v>
      </c>
      <c r="AH301" s="6" t="n">
        <v>0</v>
      </c>
      <c r="AI301" s="6" t="s">
        <v>84</v>
      </c>
    </row>
    <row r="302" customFormat="false" ht="15" hidden="false" customHeight="false" outlineLevel="0" collapsed="false">
      <c r="A302" s="6" t="n">
        <v>301</v>
      </c>
      <c r="B302" s="6" t="s">
        <v>2429</v>
      </c>
      <c r="C302" s="6" t="n">
        <v>7</v>
      </c>
      <c r="D302" s="6" t="s">
        <v>77</v>
      </c>
      <c r="E302" s="6" t="s">
        <v>81</v>
      </c>
      <c r="F302" s="6" t="n">
        <v>2</v>
      </c>
      <c r="G302" s="6" t="n">
        <v>63</v>
      </c>
      <c r="H302" s="6" t="s">
        <v>2430</v>
      </c>
      <c r="I302" s="22" t="n">
        <v>480200</v>
      </c>
      <c r="J302" s="22" t="n">
        <v>4000</v>
      </c>
      <c r="K302" s="22" t="n">
        <v>36315</v>
      </c>
      <c r="L302" s="22" t="n">
        <v>520515</v>
      </c>
      <c r="M302" s="6" t="s">
        <v>224</v>
      </c>
      <c r="N302" s="6" t="s">
        <v>84</v>
      </c>
      <c r="O302" s="6" t="s">
        <v>866</v>
      </c>
      <c r="P302" s="6" t="s">
        <v>85</v>
      </c>
      <c r="Q302" s="6" t="str">
        <f aca="false">IF(P302="pass","No","Yes")</f>
        <v>Yes</v>
      </c>
      <c r="R302" s="6" t="s">
        <v>86</v>
      </c>
      <c r="S302" s="6" t="s">
        <v>866</v>
      </c>
      <c r="T302" s="6" t="s">
        <v>225</v>
      </c>
      <c r="U302" s="23" t="n">
        <v>38.117</v>
      </c>
      <c r="V302" s="6" t="s">
        <v>2431</v>
      </c>
      <c r="W302" s="6" t="s">
        <v>2432</v>
      </c>
      <c r="X302" s="6" t="s">
        <v>2433</v>
      </c>
      <c r="Y302" s="6" t="s">
        <v>86</v>
      </c>
      <c r="Z302" s="6" t="n">
        <v>1</v>
      </c>
      <c r="AA302" s="6" t="n">
        <v>0</v>
      </c>
      <c r="AB302" s="6" t="n">
        <v>0</v>
      </c>
      <c r="AC302" s="6" t="n">
        <v>0</v>
      </c>
      <c r="AD302" s="6" t="n">
        <v>0</v>
      </c>
      <c r="AE302" s="6" t="n">
        <v>0</v>
      </c>
      <c r="AF302" s="6" t="n">
        <v>0</v>
      </c>
      <c r="AG302" s="6" t="n">
        <v>0</v>
      </c>
      <c r="AH302" s="6" t="n">
        <v>0</v>
      </c>
      <c r="AI302" s="6" t="s">
        <v>58</v>
      </c>
    </row>
    <row r="303" customFormat="false" ht="15" hidden="false" customHeight="false" outlineLevel="0" collapsed="false">
      <c r="A303" s="6" t="n">
        <v>302</v>
      </c>
      <c r="B303" s="6" t="s">
        <v>2434</v>
      </c>
      <c r="C303" s="6" t="n">
        <v>7</v>
      </c>
      <c r="D303" s="6" t="s">
        <v>100</v>
      </c>
      <c r="E303" s="6" t="s">
        <v>67</v>
      </c>
      <c r="F303" s="6" t="n">
        <v>2</v>
      </c>
      <c r="G303" s="6" t="n">
        <v>11</v>
      </c>
      <c r="H303" s="6" t="s">
        <v>2435</v>
      </c>
      <c r="I303" s="22" t="n">
        <v>350200</v>
      </c>
      <c r="J303" s="22" t="n">
        <v>4500</v>
      </c>
      <c r="K303" s="22" t="n">
        <v>26602.5</v>
      </c>
      <c r="L303" s="22" t="n">
        <v>381302.5</v>
      </c>
      <c r="M303" s="6" t="s">
        <v>57</v>
      </c>
      <c r="N303" s="6" t="s">
        <v>58</v>
      </c>
      <c r="O303" s="6"/>
      <c r="P303" s="6" t="s">
        <v>69</v>
      </c>
      <c r="Q303" s="6" t="str">
        <f aca="false">IF(P303="pass","No","Yes")</f>
        <v>No</v>
      </c>
      <c r="R303" s="6" t="s">
        <v>60</v>
      </c>
      <c r="S303" s="6"/>
      <c r="T303" s="6"/>
      <c r="U303" s="23" t="n">
        <v>24.699</v>
      </c>
      <c r="V303" s="6" t="s">
        <v>2436</v>
      </c>
      <c r="W303" s="6" t="s">
        <v>2437</v>
      </c>
      <c r="X303" s="6" t="s">
        <v>2438</v>
      </c>
      <c r="Y303" s="6" t="s">
        <v>60</v>
      </c>
      <c r="Z303" s="6" t="n">
        <v>0</v>
      </c>
      <c r="AA303" s="6" t="n">
        <v>0</v>
      </c>
      <c r="AB303" s="6" t="n">
        <v>0</v>
      </c>
      <c r="AC303" s="6" t="n">
        <v>0</v>
      </c>
      <c r="AD303" s="6" t="n">
        <v>0</v>
      </c>
      <c r="AE303" s="6" t="n">
        <v>0</v>
      </c>
      <c r="AF303" s="6" t="n">
        <v>0</v>
      </c>
      <c r="AG303" s="6" t="n">
        <v>0</v>
      </c>
      <c r="AH303" s="6" t="n">
        <v>0</v>
      </c>
      <c r="AI303" s="6" t="s">
        <v>84</v>
      </c>
    </row>
    <row r="304" customFormat="false" ht="15" hidden="false" customHeight="false" outlineLevel="0" collapsed="false">
      <c r="A304" s="6" t="n">
        <v>303</v>
      </c>
      <c r="B304" s="6" t="s">
        <v>2439</v>
      </c>
      <c r="C304" s="6" t="n">
        <v>7</v>
      </c>
      <c r="D304" s="6" t="s">
        <v>100</v>
      </c>
      <c r="E304" s="6" t="s">
        <v>67</v>
      </c>
      <c r="F304" s="6" t="n">
        <v>2</v>
      </c>
      <c r="G304" s="6" t="n">
        <v>11</v>
      </c>
      <c r="H304" s="6" t="s">
        <v>2435</v>
      </c>
      <c r="I304" s="22" t="n">
        <v>350200</v>
      </c>
      <c r="J304" s="22" t="n">
        <v>4500</v>
      </c>
      <c r="K304" s="22" t="n">
        <v>26602.5</v>
      </c>
      <c r="L304" s="22" t="n">
        <v>381302.5</v>
      </c>
      <c r="M304" s="6" t="s">
        <v>97</v>
      </c>
      <c r="N304" s="6" t="s">
        <v>84</v>
      </c>
      <c r="O304" s="6" t="s">
        <v>1185</v>
      </c>
      <c r="P304" s="6" t="s">
        <v>59</v>
      </c>
      <c r="Q304" s="6" t="str">
        <f aca="false">IF(P304="pass","No","Yes")</f>
        <v>Yes</v>
      </c>
      <c r="R304" s="6" t="s">
        <v>98</v>
      </c>
      <c r="S304" s="6" t="s">
        <v>1185</v>
      </c>
      <c r="T304" s="6" t="s">
        <v>2440</v>
      </c>
      <c r="U304" s="23" t="n">
        <v>22.816</v>
      </c>
      <c r="V304" s="6" t="s">
        <v>2441</v>
      </c>
      <c r="W304" s="6"/>
      <c r="X304" s="6" t="s">
        <v>2441</v>
      </c>
      <c r="Y304" s="6" t="s">
        <v>98</v>
      </c>
      <c r="Z304" s="6" t="n">
        <v>0</v>
      </c>
      <c r="AA304" s="6" t="n">
        <v>0</v>
      </c>
      <c r="AB304" s="6" t="n">
        <v>0</v>
      </c>
      <c r="AC304" s="6" t="n">
        <v>0</v>
      </c>
      <c r="AD304" s="6" t="n">
        <v>0</v>
      </c>
      <c r="AE304" s="6" t="n">
        <v>0</v>
      </c>
      <c r="AF304" s="6" t="n">
        <v>0</v>
      </c>
      <c r="AG304" s="6" t="n">
        <v>1</v>
      </c>
      <c r="AH304" s="6" t="n">
        <v>0</v>
      </c>
      <c r="AI304" s="6" t="s">
        <v>84</v>
      </c>
    </row>
    <row r="305" customFormat="false" ht="15" hidden="false" customHeight="false" outlineLevel="0" collapsed="false">
      <c r="A305" s="6" t="n">
        <v>304</v>
      </c>
      <c r="B305" s="6" t="s">
        <v>2442</v>
      </c>
      <c r="C305" s="6" t="n">
        <v>7</v>
      </c>
      <c r="D305" s="6" t="s">
        <v>186</v>
      </c>
      <c r="E305" s="6" t="s">
        <v>146</v>
      </c>
      <c r="F305" s="6" t="n">
        <v>1</v>
      </c>
      <c r="G305" s="6" t="n">
        <v>5</v>
      </c>
      <c r="H305" s="6" t="s">
        <v>2079</v>
      </c>
      <c r="I305" s="22" t="n">
        <v>190000</v>
      </c>
      <c r="J305" s="22" t="n">
        <v>0</v>
      </c>
      <c r="K305" s="22" t="n">
        <v>14250</v>
      </c>
      <c r="L305" s="22" t="n">
        <v>204250</v>
      </c>
      <c r="M305" s="6" t="s">
        <v>148</v>
      </c>
      <c r="N305" s="6" t="s">
        <v>84</v>
      </c>
      <c r="O305" s="6" t="s">
        <v>866</v>
      </c>
      <c r="P305" s="6" t="s">
        <v>85</v>
      </c>
      <c r="Q305" s="6" t="str">
        <f aca="false">IF(P305="pass","No","Yes")</f>
        <v>Yes</v>
      </c>
      <c r="R305" s="6" t="s">
        <v>86</v>
      </c>
      <c r="S305" s="6" t="s">
        <v>866</v>
      </c>
      <c r="T305" s="6" t="s">
        <v>150</v>
      </c>
      <c r="U305" s="23" t="n">
        <v>14.524</v>
      </c>
      <c r="V305" s="6" t="s">
        <v>2443</v>
      </c>
      <c r="W305" s="6" t="s">
        <v>2444</v>
      </c>
      <c r="X305" s="6" t="s">
        <v>2445</v>
      </c>
      <c r="Y305" s="6" t="s">
        <v>86</v>
      </c>
      <c r="Z305" s="6" t="n">
        <v>1</v>
      </c>
      <c r="AA305" s="6" t="n">
        <v>0</v>
      </c>
      <c r="AB305" s="6" t="n">
        <v>0</v>
      </c>
      <c r="AC305" s="6" t="n">
        <v>0</v>
      </c>
      <c r="AD305" s="6" t="n">
        <v>0</v>
      </c>
      <c r="AE305" s="6" t="n">
        <v>0</v>
      </c>
      <c r="AF305" s="6" t="n">
        <v>0</v>
      </c>
      <c r="AG305" s="6" t="n">
        <v>0</v>
      </c>
      <c r="AH305" s="6" t="n">
        <v>0</v>
      </c>
      <c r="AI305" s="6" t="s">
        <v>84</v>
      </c>
    </row>
    <row r="306" customFormat="false" ht="15" hidden="false" customHeight="false" outlineLevel="0" collapsed="false">
      <c r="A306" s="6" t="n">
        <v>305</v>
      </c>
      <c r="B306" s="6" t="s">
        <v>2446</v>
      </c>
      <c r="C306" s="6" t="n">
        <v>7</v>
      </c>
      <c r="D306" s="6" t="s">
        <v>166</v>
      </c>
      <c r="E306" s="6" t="s">
        <v>74</v>
      </c>
      <c r="F306" s="6" t="n">
        <v>1</v>
      </c>
      <c r="G306" s="6" t="n">
        <v>1</v>
      </c>
      <c r="H306" s="6" t="s">
        <v>2447</v>
      </c>
      <c r="I306" s="22" t="n">
        <v>38000</v>
      </c>
      <c r="J306" s="22" t="n">
        <v>9000</v>
      </c>
      <c r="K306" s="22" t="n">
        <v>3525</v>
      </c>
      <c r="L306" s="22" t="n">
        <v>50525</v>
      </c>
      <c r="M306" s="6" t="s">
        <v>984</v>
      </c>
      <c r="N306" s="6" t="s">
        <v>84</v>
      </c>
      <c r="O306" s="6" t="s">
        <v>985</v>
      </c>
      <c r="P306" s="6" t="s">
        <v>85</v>
      </c>
      <c r="Q306" s="6" t="str">
        <f aca="false">IF(P306="pass","No","Yes")</f>
        <v>Yes</v>
      </c>
      <c r="R306" s="6" t="s">
        <v>86</v>
      </c>
      <c r="S306" s="6" t="s">
        <v>985</v>
      </c>
      <c r="T306" s="6" t="s">
        <v>1076</v>
      </c>
      <c r="U306" s="23" t="n">
        <v>14.529</v>
      </c>
      <c r="V306" s="6" t="s">
        <v>2448</v>
      </c>
      <c r="W306" s="6" t="s">
        <v>2449</v>
      </c>
      <c r="X306" s="6" t="s">
        <v>2450</v>
      </c>
      <c r="Y306" s="6" t="s">
        <v>86</v>
      </c>
      <c r="Z306" s="6" t="n">
        <v>0</v>
      </c>
      <c r="AA306" s="6" t="n">
        <v>0</v>
      </c>
      <c r="AB306" s="6" t="n">
        <v>0</v>
      </c>
      <c r="AC306" s="6" t="n">
        <v>0</v>
      </c>
      <c r="AD306" s="6" t="n">
        <v>0</v>
      </c>
      <c r="AE306" s="6" t="n">
        <v>1</v>
      </c>
      <c r="AF306" s="6" t="n">
        <v>0</v>
      </c>
      <c r="AG306" s="6" t="n">
        <v>0</v>
      </c>
      <c r="AH306" s="6" t="n">
        <v>0</v>
      </c>
      <c r="AI306" s="6" t="s">
        <v>84</v>
      </c>
    </row>
    <row r="307" customFormat="false" ht="15" hidden="false" customHeight="false" outlineLevel="0" collapsed="false">
      <c r="A307" s="6" t="n">
        <v>306</v>
      </c>
      <c r="B307" s="6" t="s">
        <v>2451</v>
      </c>
      <c r="C307" s="6" t="n">
        <v>7</v>
      </c>
      <c r="D307" s="6" t="s">
        <v>119</v>
      </c>
      <c r="E307" s="6" t="s">
        <v>123</v>
      </c>
      <c r="F307" s="6" t="n">
        <v>4</v>
      </c>
      <c r="G307" s="6" t="n">
        <v>162</v>
      </c>
      <c r="H307" s="6" t="s">
        <v>2452</v>
      </c>
      <c r="I307" s="22" t="n">
        <v>1676000</v>
      </c>
      <c r="J307" s="22" t="n">
        <v>5000</v>
      </c>
      <c r="K307" s="22" t="n">
        <v>126075</v>
      </c>
      <c r="L307" s="22" t="n">
        <v>1807075</v>
      </c>
      <c r="M307" s="6" t="s">
        <v>927</v>
      </c>
      <c r="N307" s="6" t="s">
        <v>58</v>
      </c>
      <c r="O307" s="6"/>
      <c r="P307" s="6" t="s">
        <v>69</v>
      </c>
      <c r="Q307" s="6" t="str">
        <f aca="false">IF(P307="pass","No","Yes")</f>
        <v>No</v>
      </c>
      <c r="R307" s="6" t="s">
        <v>60</v>
      </c>
      <c r="S307" s="6"/>
      <c r="T307" s="6"/>
      <c r="U307" s="23" t="n">
        <v>57.118</v>
      </c>
      <c r="V307" s="6" t="s">
        <v>2453</v>
      </c>
      <c r="W307" s="6" t="s">
        <v>2454</v>
      </c>
      <c r="X307" s="6" t="s">
        <v>2455</v>
      </c>
      <c r="Y307" s="6" t="s">
        <v>60</v>
      </c>
      <c r="Z307" s="6" t="n">
        <v>0</v>
      </c>
      <c r="AA307" s="6" t="n">
        <v>0</v>
      </c>
      <c r="AB307" s="6" t="n">
        <v>0</v>
      </c>
      <c r="AC307" s="6" t="n">
        <v>0</v>
      </c>
      <c r="AD307" s="6" t="n">
        <v>0</v>
      </c>
      <c r="AE307" s="6" t="n">
        <v>0</v>
      </c>
      <c r="AF307" s="6" t="n">
        <v>0</v>
      </c>
      <c r="AG307" s="6" t="n">
        <v>0</v>
      </c>
      <c r="AH307" s="6" t="n">
        <v>0</v>
      </c>
      <c r="AI307" s="6" t="s">
        <v>84</v>
      </c>
    </row>
    <row r="308" customFormat="false" ht="15" hidden="false" customHeight="false" outlineLevel="0" collapsed="false">
      <c r="A308" s="6" t="n">
        <v>307</v>
      </c>
      <c r="B308" s="6" t="s">
        <v>2456</v>
      </c>
      <c r="C308" s="6" t="n">
        <v>7</v>
      </c>
      <c r="D308" s="6" t="s">
        <v>137</v>
      </c>
      <c r="E308" s="6" t="s">
        <v>55</v>
      </c>
      <c r="F308" s="6" t="n">
        <v>2</v>
      </c>
      <c r="G308" s="6" t="n">
        <v>61</v>
      </c>
      <c r="H308" s="6" t="s">
        <v>2457</v>
      </c>
      <c r="I308" s="22" t="n">
        <v>798400</v>
      </c>
      <c r="J308" s="22" t="n">
        <v>6000</v>
      </c>
      <c r="K308" s="22" t="n">
        <v>60330</v>
      </c>
      <c r="L308" s="22" t="n">
        <v>864730</v>
      </c>
      <c r="M308" s="6" t="s">
        <v>94</v>
      </c>
      <c r="N308" s="6" t="s">
        <v>84</v>
      </c>
      <c r="O308" s="6" t="s">
        <v>909</v>
      </c>
      <c r="P308" s="6" t="s">
        <v>85</v>
      </c>
      <c r="Q308" s="6" t="str">
        <f aca="false">IF(P308="pass","No","Yes")</f>
        <v>Yes</v>
      </c>
      <c r="R308" s="6" t="s">
        <v>86</v>
      </c>
      <c r="S308" s="6" t="s">
        <v>909</v>
      </c>
      <c r="T308" s="6" t="s">
        <v>254</v>
      </c>
      <c r="U308" s="23" t="n">
        <v>25.445</v>
      </c>
      <c r="V308" s="6" t="s">
        <v>2458</v>
      </c>
      <c r="W308" s="6" t="s">
        <v>2459</v>
      </c>
      <c r="X308" s="6" t="s">
        <v>2460</v>
      </c>
      <c r="Y308" s="6" t="s">
        <v>86</v>
      </c>
      <c r="Z308" s="6" t="n">
        <v>0</v>
      </c>
      <c r="AA308" s="6" t="n">
        <v>0</v>
      </c>
      <c r="AB308" s="6" t="n">
        <v>0</v>
      </c>
      <c r="AC308" s="6" t="n">
        <v>0</v>
      </c>
      <c r="AD308" s="6" t="n">
        <v>0</v>
      </c>
      <c r="AE308" s="6" t="n">
        <v>0</v>
      </c>
      <c r="AF308" s="6" t="n">
        <v>1</v>
      </c>
      <c r="AG308" s="6" t="n">
        <v>0</v>
      </c>
      <c r="AH308" s="6" t="n">
        <v>0</v>
      </c>
      <c r="AI308" s="6" t="s">
        <v>84</v>
      </c>
    </row>
    <row r="309" customFormat="false" ht="15" hidden="false" customHeight="false" outlineLevel="0" collapsed="false">
      <c r="A309" s="6" t="n">
        <v>308</v>
      </c>
      <c r="B309" s="6" t="s">
        <v>2461</v>
      </c>
      <c r="C309" s="6" t="n">
        <v>7</v>
      </c>
      <c r="D309" s="6" t="s">
        <v>237</v>
      </c>
      <c r="E309" s="6" t="s">
        <v>116</v>
      </c>
      <c r="F309" s="6" t="n">
        <v>2</v>
      </c>
      <c r="G309" s="6" t="n">
        <v>48</v>
      </c>
      <c r="H309" s="6" t="s">
        <v>2462</v>
      </c>
      <c r="I309" s="22" t="n">
        <v>618600</v>
      </c>
      <c r="J309" s="22" t="n">
        <v>15000</v>
      </c>
      <c r="K309" s="22" t="n">
        <v>47520</v>
      </c>
      <c r="L309" s="22" t="n">
        <v>681120</v>
      </c>
      <c r="M309" s="6" t="s">
        <v>57</v>
      </c>
      <c r="N309" s="6" t="s">
        <v>58</v>
      </c>
      <c r="O309" s="6"/>
      <c r="P309" s="6" t="s">
        <v>69</v>
      </c>
      <c r="Q309" s="6" t="str">
        <f aca="false">IF(P309="pass","No","Yes")</f>
        <v>No</v>
      </c>
      <c r="R309" s="6" t="s">
        <v>60</v>
      </c>
      <c r="S309" s="6"/>
      <c r="T309" s="6"/>
      <c r="U309" s="23" t="n">
        <v>26.658</v>
      </c>
      <c r="V309" s="6" t="s">
        <v>2463</v>
      </c>
      <c r="W309" s="6" t="s">
        <v>2464</v>
      </c>
      <c r="X309" s="6" t="s">
        <v>2465</v>
      </c>
      <c r="Y309" s="6" t="s">
        <v>60</v>
      </c>
      <c r="Z309" s="6" t="n">
        <v>0</v>
      </c>
      <c r="AA309" s="6" t="n">
        <v>0</v>
      </c>
      <c r="AB309" s="6" t="n">
        <v>0</v>
      </c>
      <c r="AC309" s="6" t="n">
        <v>0</v>
      </c>
      <c r="AD309" s="6" t="n">
        <v>0</v>
      </c>
      <c r="AE309" s="6" t="n">
        <v>0</v>
      </c>
      <c r="AF309" s="6" t="n">
        <v>0</v>
      </c>
      <c r="AG309" s="6" t="n">
        <v>0</v>
      </c>
      <c r="AH309" s="6" t="n">
        <v>0</v>
      </c>
      <c r="AI309" s="6" t="s">
        <v>84</v>
      </c>
    </row>
    <row r="310" customFormat="false" ht="15" hidden="false" customHeight="false" outlineLevel="0" collapsed="false">
      <c r="A310" s="6" t="n">
        <v>309</v>
      </c>
      <c r="B310" s="6" t="s">
        <v>2466</v>
      </c>
      <c r="C310" s="6" t="n">
        <v>7</v>
      </c>
      <c r="D310" s="6" t="s">
        <v>186</v>
      </c>
      <c r="E310" s="6" t="s">
        <v>123</v>
      </c>
      <c r="F310" s="6" t="n">
        <v>4</v>
      </c>
      <c r="G310" s="6" t="n">
        <v>424</v>
      </c>
      <c r="H310" s="6" t="s">
        <v>2467</v>
      </c>
      <c r="I310" s="22" t="n">
        <v>6096700</v>
      </c>
      <c r="J310" s="22" t="n">
        <v>5000</v>
      </c>
      <c r="K310" s="22" t="n">
        <v>457627.5</v>
      </c>
      <c r="L310" s="22" t="n">
        <v>6559327.5</v>
      </c>
      <c r="M310" s="6" t="s">
        <v>171</v>
      </c>
      <c r="N310" s="6" t="s">
        <v>84</v>
      </c>
      <c r="O310" s="6" t="s">
        <v>892</v>
      </c>
      <c r="P310" s="6" t="s">
        <v>85</v>
      </c>
      <c r="Q310" s="6" t="str">
        <f aca="false">IF(P310="pass","No","Yes")</f>
        <v>Yes</v>
      </c>
      <c r="R310" s="6" t="s">
        <v>86</v>
      </c>
      <c r="S310" s="6" t="s">
        <v>892</v>
      </c>
      <c r="T310" s="6" t="s">
        <v>1902</v>
      </c>
      <c r="U310" s="23" t="n">
        <v>58.535</v>
      </c>
      <c r="V310" s="6" t="s">
        <v>2468</v>
      </c>
      <c r="W310" s="6" t="s">
        <v>2469</v>
      </c>
      <c r="X310" s="6" t="s">
        <v>2470</v>
      </c>
      <c r="Y310" s="6" t="s">
        <v>86</v>
      </c>
      <c r="Z310" s="6" t="n">
        <v>0</v>
      </c>
      <c r="AA310" s="6" t="n">
        <v>0</v>
      </c>
      <c r="AB310" s="6" t="n">
        <v>0</v>
      </c>
      <c r="AC310" s="6" t="n">
        <v>1</v>
      </c>
      <c r="AD310" s="6" t="n">
        <v>0</v>
      </c>
      <c r="AE310" s="6" t="n">
        <v>0</v>
      </c>
      <c r="AF310" s="6" t="n">
        <v>0</v>
      </c>
      <c r="AG310" s="6" t="n">
        <v>0</v>
      </c>
      <c r="AH310" s="6" t="n">
        <v>0</v>
      </c>
      <c r="AI310" s="6" t="s">
        <v>84</v>
      </c>
    </row>
    <row r="311" customFormat="false" ht="15" hidden="false" customHeight="false" outlineLevel="0" collapsed="false">
      <c r="A311" s="6" t="n">
        <v>310</v>
      </c>
      <c r="B311" s="6" t="s">
        <v>2471</v>
      </c>
      <c r="C311" s="6" t="n">
        <v>7</v>
      </c>
      <c r="D311" s="6" t="s">
        <v>70</v>
      </c>
      <c r="E311" s="6" t="s">
        <v>74</v>
      </c>
      <c r="F311" s="6" t="n">
        <v>3</v>
      </c>
      <c r="G311" s="6" t="n">
        <v>350</v>
      </c>
      <c r="H311" s="6" t="s">
        <v>2472</v>
      </c>
      <c r="I311" s="22" t="n">
        <v>4558900</v>
      </c>
      <c r="J311" s="22" t="n">
        <v>9000</v>
      </c>
      <c r="K311" s="22" t="n">
        <v>342592.5</v>
      </c>
      <c r="L311" s="22" t="n">
        <v>4910492.5</v>
      </c>
      <c r="M311" s="6" t="s">
        <v>171</v>
      </c>
      <c r="N311" s="6" t="s">
        <v>84</v>
      </c>
      <c r="O311" s="6" t="s">
        <v>892</v>
      </c>
      <c r="P311" s="6" t="s">
        <v>85</v>
      </c>
      <c r="Q311" s="6" t="str">
        <f aca="false">IF(P311="pass","No","Yes")</f>
        <v>Yes</v>
      </c>
      <c r="R311" s="6" t="s">
        <v>86</v>
      </c>
      <c r="S311" s="6" t="s">
        <v>892</v>
      </c>
      <c r="T311" s="6" t="s">
        <v>618</v>
      </c>
      <c r="U311" s="23" t="n">
        <v>35.246</v>
      </c>
      <c r="V311" s="6" t="s">
        <v>2473</v>
      </c>
      <c r="W311" s="6" t="s">
        <v>2474</v>
      </c>
      <c r="X311" s="6" t="s">
        <v>2475</v>
      </c>
      <c r="Y311" s="6" t="s">
        <v>86</v>
      </c>
      <c r="Z311" s="6" t="n">
        <v>0</v>
      </c>
      <c r="AA311" s="6" t="n">
        <v>0</v>
      </c>
      <c r="AB311" s="6" t="n">
        <v>0</v>
      </c>
      <c r="AC311" s="6" t="n">
        <v>1</v>
      </c>
      <c r="AD311" s="6" t="n">
        <v>0</v>
      </c>
      <c r="AE311" s="6" t="n">
        <v>0</v>
      </c>
      <c r="AF311" s="6" t="n">
        <v>0</v>
      </c>
      <c r="AG311" s="6" t="n">
        <v>0</v>
      </c>
      <c r="AH311" s="6" t="n">
        <v>0</v>
      </c>
      <c r="AI311" s="6" t="s">
        <v>84</v>
      </c>
    </row>
    <row r="312" customFormat="false" ht="15" hidden="false" customHeight="false" outlineLevel="0" collapsed="false">
      <c r="A312" s="6" t="n">
        <v>311</v>
      </c>
      <c r="B312" s="6" t="s">
        <v>2476</v>
      </c>
      <c r="C312" s="6" t="n">
        <v>7</v>
      </c>
      <c r="D312" s="6" t="s">
        <v>186</v>
      </c>
      <c r="E312" s="6" t="s">
        <v>123</v>
      </c>
      <c r="F312" s="6" t="n">
        <v>1</v>
      </c>
      <c r="G312" s="6" t="n">
        <v>2</v>
      </c>
      <c r="H312" s="6" t="s">
        <v>959</v>
      </c>
      <c r="I312" s="22" t="n">
        <v>8200</v>
      </c>
      <c r="J312" s="22" t="n">
        <v>5000</v>
      </c>
      <c r="K312" s="22" t="n">
        <v>990</v>
      </c>
      <c r="L312" s="22" t="n">
        <v>14190</v>
      </c>
      <c r="M312" s="6" t="s">
        <v>57</v>
      </c>
      <c r="N312" s="6" t="s">
        <v>58</v>
      </c>
      <c r="O312" s="6"/>
      <c r="P312" s="6" t="s">
        <v>69</v>
      </c>
      <c r="Q312" s="6" t="str">
        <f aca="false">IF(P312="pass","No","Yes")</f>
        <v>No</v>
      </c>
      <c r="R312" s="6" t="s">
        <v>60</v>
      </c>
      <c r="S312" s="6"/>
      <c r="T312" s="6"/>
      <c r="U312" s="23" t="n">
        <v>17.106</v>
      </c>
      <c r="V312" s="6" t="s">
        <v>2477</v>
      </c>
      <c r="W312" s="6" t="s">
        <v>2478</v>
      </c>
      <c r="X312" s="6" t="s">
        <v>2479</v>
      </c>
      <c r="Y312" s="6" t="s">
        <v>60</v>
      </c>
      <c r="Z312" s="6" t="n">
        <v>0</v>
      </c>
      <c r="AA312" s="6" t="n">
        <v>0</v>
      </c>
      <c r="AB312" s="6" t="n">
        <v>0</v>
      </c>
      <c r="AC312" s="6" t="n">
        <v>0</v>
      </c>
      <c r="AD312" s="6" t="n">
        <v>0</v>
      </c>
      <c r="AE312" s="6" t="n">
        <v>0</v>
      </c>
      <c r="AF312" s="6" t="n">
        <v>0</v>
      </c>
      <c r="AG312" s="6" t="n">
        <v>0</v>
      </c>
      <c r="AH312" s="6" t="n">
        <v>0</v>
      </c>
      <c r="AI312" s="6" t="s">
        <v>84</v>
      </c>
    </row>
    <row r="313" customFormat="false" ht="15" hidden="false" customHeight="false" outlineLevel="0" collapsed="false">
      <c r="A313" s="6" t="n">
        <v>312</v>
      </c>
      <c r="B313" s="6" t="s">
        <v>2480</v>
      </c>
      <c r="C313" s="6" t="n">
        <v>7</v>
      </c>
      <c r="D313" s="6" t="s">
        <v>166</v>
      </c>
      <c r="E313" s="6" t="s">
        <v>74</v>
      </c>
      <c r="F313" s="6" t="n">
        <v>3</v>
      </c>
      <c r="G313" s="6" t="n">
        <v>100</v>
      </c>
      <c r="H313" s="6" t="s">
        <v>2481</v>
      </c>
      <c r="I313" s="22" t="n">
        <v>1421500</v>
      </c>
      <c r="J313" s="22" t="n">
        <v>9000</v>
      </c>
      <c r="K313" s="22" t="n">
        <v>107287.5</v>
      </c>
      <c r="L313" s="22" t="n">
        <v>1537787.5</v>
      </c>
      <c r="M313" s="6" t="s">
        <v>57</v>
      </c>
      <c r="N313" s="6" t="s">
        <v>58</v>
      </c>
      <c r="O313" s="6"/>
      <c r="P313" s="6" t="s">
        <v>69</v>
      </c>
      <c r="Q313" s="6" t="str">
        <f aca="false">IF(P313="pass","No","Yes")</f>
        <v>No</v>
      </c>
      <c r="R313" s="6" t="s">
        <v>60</v>
      </c>
      <c r="S313" s="6"/>
      <c r="T313" s="6"/>
      <c r="U313" s="23" t="n">
        <v>36.706</v>
      </c>
      <c r="V313" s="6" t="s">
        <v>2482</v>
      </c>
      <c r="W313" s="6" t="s">
        <v>2483</v>
      </c>
      <c r="X313" s="6" t="s">
        <v>2484</v>
      </c>
      <c r="Y313" s="6" t="s">
        <v>60</v>
      </c>
      <c r="Z313" s="6" t="n">
        <v>0</v>
      </c>
      <c r="AA313" s="6" t="n">
        <v>0</v>
      </c>
      <c r="AB313" s="6" t="n">
        <v>0</v>
      </c>
      <c r="AC313" s="6" t="n">
        <v>0</v>
      </c>
      <c r="AD313" s="6" t="n">
        <v>0</v>
      </c>
      <c r="AE313" s="6" t="n">
        <v>0</v>
      </c>
      <c r="AF313" s="6" t="n">
        <v>0</v>
      </c>
      <c r="AG313" s="6" t="n">
        <v>0</v>
      </c>
      <c r="AH313" s="6" t="n">
        <v>0</v>
      </c>
      <c r="AI313" s="6" t="s">
        <v>84</v>
      </c>
    </row>
    <row r="314" customFormat="false" ht="15" hidden="false" customHeight="false" outlineLevel="0" collapsed="false">
      <c r="A314" s="6" t="n">
        <v>313</v>
      </c>
      <c r="B314" s="6" t="s">
        <v>2485</v>
      </c>
      <c r="C314" s="6" t="n">
        <v>7</v>
      </c>
      <c r="D314" s="6" t="s">
        <v>70</v>
      </c>
      <c r="E314" s="6" t="s">
        <v>74</v>
      </c>
      <c r="F314" s="6" t="n">
        <v>2</v>
      </c>
      <c r="G314" s="6" t="n">
        <v>66</v>
      </c>
      <c r="H314" s="6" t="s">
        <v>2486</v>
      </c>
      <c r="I314" s="22" t="n">
        <v>1486200</v>
      </c>
      <c r="J314" s="22" t="n">
        <v>9000</v>
      </c>
      <c r="K314" s="22" t="n">
        <v>112140</v>
      </c>
      <c r="L314" s="22" t="n">
        <v>1607340</v>
      </c>
      <c r="M314" s="6" t="s">
        <v>57</v>
      </c>
      <c r="N314" s="6" t="s">
        <v>58</v>
      </c>
      <c r="O314" s="6"/>
      <c r="P314" s="6" t="s">
        <v>69</v>
      </c>
      <c r="Q314" s="6" t="str">
        <f aca="false">IF(P314="pass","No","Yes")</f>
        <v>No</v>
      </c>
      <c r="R314" s="6" t="s">
        <v>60</v>
      </c>
      <c r="S314" s="6"/>
      <c r="T314" s="6"/>
      <c r="U314" s="23" t="n">
        <v>27.521</v>
      </c>
      <c r="V314" s="6" t="s">
        <v>2487</v>
      </c>
      <c r="W314" s="6" t="s">
        <v>2488</v>
      </c>
      <c r="X314" s="6" t="s">
        <v>2489</v>
      </c>
      <c r="Y314" s="6" t="s">
        <v>60</v>
      </c>
      <c r="Z314" s="6" t="n">
        <v>0</v>
      </c>
      <c r="AA314" s="6" t="n">
        <v>0</v>
      </c>
      <c r="AB314" s="6" t="n">
        <v>0</v>
      </c>
      <c r="AC314" s="6" t="n">
        <v>0</v>
      </c>
      <c r="AD314" s="6" t="n">
        <v>0</v>
      </c>
      <c r="AE314" s="6" t="n">
        <v>0</v>
      </c>
      <c r="AF314" s="6" t="n">
        <v>0</v>
      </c>
      <c r="AG314" s="6" t="n">
        <v>0</v>
      </c>
      <c r="AH314" s="6" t="n">
        <v>0</v>
      </c>
      <c r="AI314" s="6" t="s">
        <v>84</v>
      </c>
    </row>
    <row r="315" customFormat="false" ht="15" hidden="false" customHeight="false" outlineLevel="0" collapsed="false">
      <c r="A315" s="6" t="n">
        <v>314</v>
      </c>
      <c r="B315" s="6" t="s">
        <v>2490</v>
      </c>
      <c r="C315" s="6" t="n">
        <v>7</v>
      </c>
      <c r="D315" s="6" t="s">
        <v>89</v>
      </c>
      <c r="E315" s="6" t="s">
        <v>67</v>
      </c>
      <c r="F315" s="6" t="n">
        <v>2</v>
      </c>
      <c r="G315" s="6" t="n">
        <v>168</v>
      </c>
      <c r="H315" s="6" t="s">
        <v>2491</v>
      </c>
      <c r="I315" s="22" t="n">
        <v>1909500</v>
      </c>
      <c r="J315" s="22" t="n">
        <v>4500</v>
      </c>
      <c r="K315" s="22" t="n">
        <v>143550</v>
      </c>
      <c r="L315" s="22" t="n">
        <v>2057550</v>
      </c>
      <c r="M315" s="6" t="s">
        <v>57</v>
      </c>
      <c r="N315" s="6" t="s">
        <v>58</v>
      </c>
      <c r="O315" s="6"/>
      <c r="P315" s="6" t="s">
        <v>69</v>
      </c>
      <c r="Q315" s="6" t="str">
        <f aca="false">IF(P315="pass","No","Yes")</f>
        <v>No</v>
      </c>
      <c r="R315" s="6" t="s">
        <v>60</v>
      </c>
      <c r="S315" s="6"/>
      <c r="T315" s="6"/>
      <c r="U315" s="23" t="n">
        <v>38.489</v>
      </c>
      <c r="V315" s="6" t="s">
        <v>2492</v>
      </c>
      <c r="W315" s="6" t="s">
        <v>2493</v>
      </c>
      <c r="X315" s="6" t="s">
        <v>2494</v>
      </c>
      <c r="Y315" s="6" t="s">
        <v>60</v>
      </c>
      <c r="Z315" s="6" t="n">
        <v>0</v>
      </c>
      <c r="AA315" s="6" t="n">
        <v>0</v>
      </c>
      <c r="AB315" s="6" t="n">
        <v>0</v>
      </c>
      <c r="AC315" s="6" t="n">
        <v>0</v>
      </c>
      <c r="AD315" s="6" t="n">
        <v>0</v>
      </c>
      <c r="AE315" s="6" t="n">
        <v>0</v>
      </c>
      <c r="AF315" s="6" t="n">
        <v>0</v>
      </c>
      <c r="AG315" s="6" t="n">
        <v>0</v>
      </c>
      <c r="AH315" s="6" t="n">
        <v>0</v>
      </c>
      <c r="AI315" s="6" t="s">
        <v>84</v>
      </c>
    </row>
    <row r="316" customFormat="false" ht="15" hidden="false" customHeight="false" outlineLevel="0" collapsed="false">
      <c r="A316" s="6" t="n">
        <v>315</v>
      </c>
      <c r="B316" s="6" t="s">
        <v>2495</v>
      </c>
      <c r="C316" s="6" t="n">
        <v>7</v>
      </c>
      <c r="D316" s="6" t="s">
        <v>119</v>
      </c>
      <c r="E316" s="6" t="s">
        <v>123</v>
      </c>
      <c r="F316" s="6" t="n">
        <v>2</v>
      </c>
      <c r="G316" s="6" t="n">
        <v>8</v>
      </c>
      <c r="H316" s="6" t="s">
        <v>2496</v>
      </c>
      <c r="I316" s="22" t="n">
        <v>304000</v>
      </c>
      <c r="J316" s="22" t="n">
        <v>5000</v>
      </c>
      <c r="K316" s="22" t="n">
        <v>23175</v>
      </c>
      <c r="L316" s="22" t="n">
        <v>332175</v>
      </c>
      <c r="M316" s="6" t="s">
        <v>272</v>
      </c>
      <c r="N316" s="6" t="s">
        <v>84</v>
      </c>
      <c r="O316" s="6" t="s">
        <v>879</v>
      </c>
      <c r="P316" s="6" t="s">
        <v>85</v>
      </c>
      <c r="Q316" s="6" t="str">
        <f aca="false">IF(P316="pass","No","Yes")</f>
        <v>Yes</v>
      </c>
      <c r="R316" s="6" t="s">
        <v>86</v>
      </c>
      <c r="S316" s="6" t="s">
        <v>879</v>
      </c>
      <c r="T316" s="6" t="s">
        <v>2497</v>
      </c>
      <c r="U316" s="23" t="n">
        <v>15.034</v>
      </c>
      <c r="V316" s="6" t="s">
        <v>2498</v>
      </c>
      <c r="W316" s="6" t="s">
        <v>2499</v>
      </c>
      <c r="X316" s="6" t="s">
        <v>2500</v>
      </c>
      <c r="Y316" s="6" t="s">
        <v>86</v>
      </c>
      <c r="Z316" s="6" t="n">
        <v>0</v>
      </c>
      <c r="AA316" s="6" t="n">
        <v>1</v>
      </c>
      <c r="AB316" s="6" t="n">
        <v>0</v>
      </c>
      <c r="AC316" s="6" t="n">
        <v>0</v>
      </c>
      <c r="AD316" s="6" t="n">
        <v>0</v>
      </c>
      <c r="AE316" s="6" t="n">
        <v>0</v>
      </c>
      <c r="AF316" s="6" t="n">
        <v>0</v>
      </c>
      <c r="AG316" s="6" t="n">
        <v>0</v>
      </c>
      <c r="AH316" s="6" t="n">
        <v>0</v>
      </c>
      <c r="AI316" s="6" t="s">
        <v>84</v>
      </c>
    </row>
    <row r="317" customFormat="false" ht="15" hidden="false" customHeight="false" outlineLevel="0" collapsed="false">
      <c r="A317" s="6" t="n">
        <v>316</v>
      </c>
      <c r="B317" s="6" t="s">
        <v>2501</v>
      </c>
      <c r="C317" s="6" t="n">
        <v>7</v>
      </c>
      <c r="D317" s="6" t="s">
        <v>154</v>
      </c>
      <c r="E317" s="6" t="s">
        <v>123</v>
      </c>
      <c r="F317" s="6" t="n">
        <v>2</v>
      </c>
      <c r="G317" s="6" t="n">
        <v>27</v>
      </c>
      <c r="H317" s="6" t="s">
        <v>2502</v>
      </c>
      <c r="I317" s="22" t="n">
        <v>223200</v>
      </c>
      <c r="J317" s="22" t="n">
        <v>5000</v>
      </c>
      <c r="K317" s="22" t="n">
        <v>17115</v>
      </c>
      <c r="L317" s="22" t="n">
        <v>245315</v>
      </c>
      <c r="M317" s="6" t="s">
        <v>57</v>
      </c>
      <c r="N317" s="6" t="s">
        <v>58</v>
      </c>
      <c r="O317" s="6"/>
      <c r="P317" s="6" t="s">
        <v>69</v>
      </c>
      <c r="Q317" s="6" t="str">
        <f aca="false">IF(P317="pass","No","Yes")</f>
        <v>No</v>
      </c>
      <c r="R317" s="6" t="s">
        <v>60</v>
      </c>
      <c r="S317" s="6"/>
      <c r="T317" s="6"/>
      <c r="U317" s="23" t="n">
        <v>28.888</v>
      </c>
      <c r="V317" s="6" t="s">
        <v>2503</v>
      </c>
      <c r="W317" s="6" t="s">
        <v>2504</v>
      </c>
      <c r="X317" s="6" t="s">
        <v>2505</v>
      </c>
      <c r="Y317" s="6" t="s">
        <v>60</v>
      </c>
      <c r="Z317" s="6" t="n">
        <v>0</v>
      </c>
      <c r="AA317" s="6" t="n">
        <v>0</v>
      </c>
      <c r="AB317" s="6" t="n">
        <v>0</v>
      </c>
      <c r="AC317" s="6" t="n">
        <v>0</v>
      </c>
      <c r="AD317" s="6" t="n">
        <v>0</v>
      </c>
      <c r="AE317" s="6" t="n">
        <v>0</v>
      </c>
      <c r="AF317" s="6" t="n">
        <v>0</v>
      </c>
      <c r="AG317" s="6" t="n">
        <v>0</v>
      </c>
      <c r="AH317" s="6" t="n">
        <v>0</v>
      </c>
      <c r="AI317" s="6" t="s">
        <v>84</v>
      </c>
    </row>
    <row r="318" customFormat="false" ht="15" hidden="false" customHeight="false" outlineLevel="0" collapsed="false">
      <c r="A318" s="6" t="n">
        <v>317</v>
      </c>
      <c r="B318" s="6" t="s">
        <v>2506</v>
      </c>
      <c r="C318" s="6" t="n">
        <v>7</v>
      </c>
      <c r="D318" s="6" t="s">
        <v>177</v>
      </c>
      <c r="E318" s="6" t="s">
        <v>81</v>
      </c>
      <c r="F318" s="6" t="n">
        <v>1</v>
      </c>
      <c r="G318" s="6" t="n">
        <v>9</v>
      </c>
      <c r="H318" s="6" t="s">
        <v>2507</v>
      </c>
      <c r="I318" s="22" t="n">
        <v>106200</v>
      </c>
      <c r="J318" s="22" t="n">
        <v>4000</v>
      </c>
      <c r="K318" s="22" t="n">
        <v>8265</v>
      </c>
      <c r="L318" s="22" t="n">
        <v>118465</v>
      </c>
      <c r="M318" s="6" t="s">
        <v>57</v>
      </c>
      <c r="N318" s="6" t="s">
        <v>58</v>
      </c>
      <c r="O318" s="6"/>
      <c r="P318" s="6" t="s">
        <v>69</v>
      </c>
      <c r="Q318" s="6" t="str">
        <f aca="false">IF(P318="pass","No","Yes")</f>
        <v>No</v>
      </c>
      <c r="R318" s="6" t="s">
        <v>60</v>
      </c>
      <c r="S318" s="6"/>
      <c r="T318" s="6"/>
      <c r="U318" s="23" t="n">
        <v>18.015</v>
      </c>
      <c r="V318" s="6" t="s">
        <v>2508</v>
      </c>
      <c r="W318" s="6" t="s">
        <v>2509</v>
      </c>
      <c r="X318" s="6" t="s">
        <v>2510</v>
      </c>
      <c r="Y318" s="6" t="s">
        <v>60</v>
      </c>
      <c r="Z318" s="6" t="n">
        <v>0</v>
      </c>
      <c r="AA318" s="6" t="n">
        <v>0</v>
      </c>
      <c r="AB318" s="6" t="n">
        <v>0</v>
      </c>
      <c r="AC318" s="6" t="n">
        <v>0</v>
      </c>
      <c r="AD318" s="6" t="n">
        <v>0</v>
      </c>
      <c r="AE318" s="6" t="n">
        <v>0</v>
      </c>
      <c r="AF318" s="6" t="n">
        <v>0</v>
      </c>
      <c r="AG318" s="6" t="n">
        <v>0</v>
      </c>
      <c r="AH318" s="6" t="n">
        <v>0</v>
      </c>
      <c r="AI318" s="6" t="s">
        <v>84</v>
      </c>
    </row>
    <row r="319" customFormat="false" ht="15" hidden="false" customHeight="false" outlineLevel="0" collapsed="false">
      <c r="A319" s="6" t="n">
        <v>318</v>
      </c>
      <c r="B319" s="6" t="s">
        <v>2511</v>
      </c>
      <c r="C319" s="6" t="n">
        <v>7</v>
      </c>
      <c r="D319" s="6" t="s">
        <v>112</v>
      </c>
      <c r="E319" s="6" t="s">
        <v>116</v>
      </c>
      <c r="F319" s="6" t="n">
        <v>1</v>
      </c>
      <c r="G319" s="6" t="n">
        <v>13</v>
      </c>
      <c r="H319" s="6" t="s">
        <v>1453</v>
      </c>
      <c r="I319" s="22" t="n">
        <v>403000</v>
      </c>
      <c r="J319" s="22" t="n">
        <v>15000</v>
      </c>
      <c r="K319" s="22" t="n">
        <v>31350</v>
      </c>
      <c r="L319" s="22" t="n">
        <v>449350</v>
      </c>
      <c r="M319" s="6" t="s">
        <v>57</v>
      </c>
      <c r="N319" s="6" t="s">
        <v>58</v>
      </c>
      <c r="O319" s="6"/>
      <c r="P319" s="6" t="s">
        <v>69</v>
      </c>
      <c r="Q319" s="6" t="str">
        <f aca="false">IF(P319="pass","No","Yes")</f>
        <v>No</v>
      </c>
      <c r="R319" s="6" t="s">
        <v>60</v>
      </c>
      <c r="S319" s="6"/>
      <c r="T319" s="6"/>
      <c r="U319" s="23" t="n">
        <v>14.891</v>
      </c>
      <c r="V319" s="6" t="s">
        <v>2512</v>
      </c>
      <c r="W319" s="6" t="s">
        <v>2513</v>
      </c>
      <c r="X319" s="6" t="s">
        <v>2514</v>
      </c>
      <c r="Y319" s="6" t="s">
        <v>60</v>
      </c>
      <c r="Z319" s="6" t="n">
        <v>0</v>
      </c>
      <c r="AA319" s="6" t="n">
        <v>0</v>
      </c>
      <c r="AB319" s="6" t="n">
        <v>0</v>
      </c>
      <c r="AC319" s="6" t="n">
        <v>0</v>
      </c>
      <c r="AD319" s="6" t="n">
        <v>0</v>
      </c>
      <c r="AE319" s="6" t="n">
        <v>0</v>
      </c>
      <c r="AF319" s="6" t="n">
        <v>0</v>
      </c>
      <c r="AG319" s="6" t="n">
        <v>0</v>
      </c>
      <c r="AH319" s="6" t="n">
        <v>0</v>
      </c>
      <c r="AI319" s="6" t="s">
        <v>84</v>
      </c>
    </row>
    <row r="320" customFormat="false" ht="15" hidden="false" customHeight="false" outlineLevel="0" collapsed="false">
      <c r="A320" s="6" t="n">
        <v>319</v>
      </c>
      <c r="B320" s="6" t="s">
        <v>2515</v>
      </c>
      <c r="C320" s="6" t="n">
        <v>7</v>
      </c>
      <c r="D320" s="6" t="s">
        <v>89</v>
      </c>
      <c r="E320" s="6" t="s">
        <v>67</v>
      </c>
      <c r="F320" s="6" t="n">
        <v>3</v>
      </c>
      <c r="G320" s="6" t="n">
        <v>82</v>
      </c>
      <c r="H320" s="6" t="s">
        <v>2516</v>
      </c>
      <c r="I320" s="22" t="n">
        <v>1002000</v>
      </c>
      <c r="J320" s="22" t="n">
        <v>4500</v>
      </c>
      <c r="K320" s="22" t="n">
        <v>75487.5</v>
      </c>
      <c r="L320" s="22" t="n">
        <v>1081987.5</v>
      </c>
      <c r="M320" s="6" t="s">
        <v>224</v>
      </c>
      <c r="N320" s="6" t="s">
        <v>84</v>
      </c>
      <c r="O320" s="6" t="s">
        <v>866</v>
      </c>
      <c r="P320" s="6" t="s">
        <v>85</v>
      </c>
      <c r="Q320" s="6" t="str">
        <f aca="false">IF(P320="pass","No","Yes")</f>
        <v>Yes</v>
      </c>
      <c r="R320" s="6" t="s">
        <v>86</v>
      </c>
      <c r="S320" s="6" t="s">
        <v>866</v>
      </c>
      <c r="T320" s="6" t="s">
        <v>225</v>
      </c>
      <c r="U320" s="23" t="n">
        <v>49.997</v>
      </c>
      <c r="V320" s="6" t="s">
        <v>2517</v>
      </c>
      <c r="W320" s="6" t="s">
        <v>2518</v>
      </c>
      <c r="X320" s="6" t="s">
        <v>2519</v>
      </c>
      <c r="Y320" s="6" t="s">
        <v>86</v>
      </c>
      <c r="Z320" s="6" t="n">
        <v>1</v>
      </c>
      <c r="AA320" s="6" t="n">
        <v>0</v>
      </c>
      <c r="AB320" s="6" t="n">
        <v>0</v>
      </c>
      <c r="AC320" s="6" t="n">
        <v>0</v>
      </c>
      <c r="AD320" s="6" t="n">
        <v>0</v>
      </c>
      <c r="AE320" s="6" t="n">
        <v>0</v>
      </c>
      <c r="AF320" s="6" t="n">
        <v>0</v>
      </c>
      <c r="AG320" s="6" t="n">
        <v>0</v>
      </c>
      <c r="AH320" s="6" t="n">
        <v>0</v>
      </c>
      <c r="AI320" s="6" t="s">
        <v>58</v>
      </c>
    </row>
    <row r="321" customFormat="false" ht="15" hidden="false" customHeight="false" outlineLevel="0" collapsed="false">
      <c r="A321" s="6" t="n">
        <v>320</v>
      </c>
      <c r="B321" s="6" t="s">
        <v>2520</v>
      </c>
      <c r="C321" s="6" t="n">
        <v>7</v>
      </c>
      <c r="D321" s="6" t="s">
        <v>213</v>
      </c>
      <c r="E321" s="6" t="s">
        <v>67</v>
      </c>
      <c r="F321" s="6" t="n">
        <v>1</v>
      </c>
      <c r="G321" s="6" t="n">
        <v>3</v>
      </c>
      <c r="H321" s="6" t="s">
        <v>2176</v>
      </c>
      <c r="I321" s="22" t="n">
        <v>114000</v>
      </c>
      <c r="J321" s="22" t="n">
        <v>4500</v>
      </c>
      <c r="K321" s="22" t="n">
        <v>8887.5</v>
      </c>
      <c r="L321" s="22" t="n">
        <v>127387.5</v>
      </c>
      <c r="M321" s="6" t="s">
        <v>57</v>
      </c>
      <c r="N321" s="6" t="s">
        <v>58</v>
      </c>
      <c r="O321" s="6"/>
      <c r="P321" s="6" t="s">
        <v>69</v>
      </c>
      <c r="Q321" s="6" t="str">
        <f aca="false">IF(P321="pass","No","Yes")</f>
        <v>No</v>
      </c>
      <c r="R321" s="6" t="s">
        <v>60</v>
      </c>
      <c r="S321" s="6"/>
      <c r="T321" s="6"/>
      <c r="U321" s="23" t="n">
        <v>16.149</v>
      </c>
      <c r="V321" s="6" t="s">
        <v>2521</v>
      </c>
      <c r="W321" s="6" t="s">
        <v>2522</v>
      </c>
      <c r="X321" s="6" t="s">
        <v>2523</v>
      </c>
      <c r="Y321" s="6" t="s">
        <v>60</v>
      </c>
      <c r="Z321" s="6" t="n">
        <v>0</v>
      </c>
      <c r="AA321" s="6" t="n">
        <v>0</v>
      </c>
      <c r="AB321" s="6" t="n">
        <v>0</v>
      </c>
      <c r="AC321" s="6" t="n">
        <v>0</v>
      </c>
      <c r="AD321" s="6" t="n">
        <v>0</v>
      </c>
      <c r="AE321" s="6" t="n">
        <v>0</v>
      </c>
      <c r="AF321" s="6" t="n">
        <v>0</v>
      </c>
      <c r="AG321" s="6" t="n">
        <v>0</v>
      </c>
      <c r="AH321" s="6" t="n">
        <v>0</v>
      </c>
      <c r="AI321" s="6" t="s">
        <v>84</v>
      </c>
    </row>
    <row r="322" customFormat="false" ht="15" hidden="false" customHeight="false" outlineLevel="0" collapsed="false">
      <c r="A322" s="6" t="n">
        <v>321</v>
      </c>
      <c r="B322" s="6" t="s">
        <v>2524</v>
      </c>
      <c r="C322" s="6" t="n">
        <v>7</v>
      </c>
      <c r="D322" s="6" t="s">
        <v>77</v>
      </c>
      <c r="E322" s="6" t="s">
        <v>146</v>
      </c>
      <c r="F322" s="6" t="n">
        <v>2</v>
      </c>
      <c r="G322" s="6" t="n">
        <v>85</v>
      </c>
      <c r="H322" s="6" t="s">
        <v>2525</v>
      </c>
      <c r="I322" s="22" t="n">
        <v>1015200</v>
      </c>
      <c r="J322" s="22" t="n">
        <v>0</v>
      </c>
      <c r="K322" s="22" t="n">
        <v>76140</v>
      </c>
      <c r="L322" s="22" t="n">
        <v>1091340</v>
      </c>
      <c r="M322" s="6" t="s">
        <v>148</v>
      </c>
      <c r="N322" s="6" t="s">
        <v>84</v>
      </c>
      <c r="O322" s="6" t="s">
        <v>866</v>
      </c>
      <c r="P322" s="6" t="s">
        <v>85</v>
      </c>
      <c r="Q322" s="6" t="str">
        <f aca="false">IF(P322="pass","No","Yes")</f>
        <v>Yes</v>
      </c>
      <c r="R322" s="6" t="s">
        <v>86</v>
      </c>
      <c r="S322" s="6" t="s">
        <v>872</v>
      </c>
      <c r="T322" s="6" t="s">
        <v>2526</v>
      </c>
      <c r="U322" s="23" t="n">
        <v>40.318</v>
      </c>
      <c r="V322" s="6" t="s">
        <v>2527</v>
      </c>
      <c r="W322" s="6" t="s">
        <v>2528</v>
      </c>
      <c r="X322" s="6" t="s">
        <v>2529</v>
      </c>
      <c r="Y322" s="6" t="s">
        <v>86</v>
      </c>
      <c r="Z322" s="6" t="n">
        <v>1</v>
      </c>
      <c r="AA322" s="6" t="n">
        <v>0</v>
      </c>
      <c r="AB322" s="6" t="n">
        <v>0</v>
      </c>
      <c r="AC322" s="6" t="n">
        <v>0</v>
      </c>
      <c r="AD322" s="6" t="n">
        <v>0</v>
      </c>
      <c r="AE322" s="6" t="n">
        <v>0</v>
      </c>
      <c r="AF322" s="6" t="n">
        <v>0</v>
      </c>
      <c r="AG322" s="6" t="n">
        <v>0</v>
      </c>
      <c r="AH322" s="6" t="n">
        <v>1</v>
      </c>
      <c r="AI322" s="6" t="s">
        <v>84</v>
      </c>
    </row>
    <row r="323" customFormat="false" ht="15" hidden="false" customHeight="false" outlineLevel="0" collapsed="false">
      <c r="A323" s="6" t="n">
        <v>322</v>
      </c>
      <c r="B323" s="6" t="s">
        <v>2530</v>
      </c>
      <c r="C323" s="6" t="n">
        <v>7</v>
      </c>
      <c r="D323" s="6" t="s">
        <v>198</v>
      </c>
      <c r="E323" s="6" t="s">
        <v>81</v>
      </c>
      <c r="F323" s="6" t="n">
        <v>3</v>
      </c>
      <c r="G323" s="6" t="n">
        <v>105</v>
      </c>
      <c r="H323" s="6" t="s">
        <v>2531</v>
      </c>
      <c r="I323" s="22" t="n">
        <v>1218000</v>
      </c>
      <c r="J323" s="22" t="n">
        <v>4000</v>
      </c>
      <c r="K323" s="22" t="n">
        <v>91650</v>
      </c>
      <c r="L323" s="22" t="n">
        <v>1313650</v>
      </c>
      <c r="M323" s="6" t="s">
        <v>94</v>
      </c>
      <c r="N323" s="6" t="s">
        <v>84</v>
      </c>
      <c r="O323" s="6" t="s">
        <v>909</v>
      </c>
      <c r="P323" s="6" t="s">
        <v>85</v>
      </c>
      <c r="Q323" s="6" t="str">
        <f aca="false">IF(P323="pass","No","Yes")</f>
        <v>Yes</v>
      </c>
      <c r="R323" s="6" t="s">
        <v>86</v>
      </c>
      <c r="S323" s="6" t="s">
        <v>909</v>
      </c>
      <c r="T323" s="6" t="s">
        <v>254</v>
      </c>
      <c r="U323" s="23" t="n">
        <v>38.338</v>
      </c>
      <c r="V323" s="6" t="s">
        <v>2532</v>
      </c>
      <c r="W323" s="6" t="s">
        <v>2533</v>
      </c>
      <c r="X323" s="6" t="s">
        <v>2534</v>
      </c>
      <c r="Y323" s="6" t="s">
        <v>86</v>
      </c>
      <c r="Z323" s="6" t="n">
        <v>0</v>
      </c>
      <c r="AA323" s="6" t="n">
        <v>0</v>
      </c>
      <c r="AB323" s="6" t="n">
        <v>0</v>
      </c>
      <c r="AC323" s="6" t="n">
        <v>0</v>
      </c>
      <c r="AD323" s="6" t="n">
        <v>0</v>
      </c>
      <c r="AE323" s="6" t="n">
        <v>0</v>
      </c>
      <c r="AF323" s="6" t="n">
        <v>1</v>
      </c>
      <c r="AG323" s="6" t="n">
        <v>0</v>
      </c>
      <c r="AH323" s="6" t="n">
        <v>0</v>
      </c>
      <c r="AI323" s="6" t="s">
        <v>84</v>
      </c>
    </row>
    <row r="324" customFormat="false" ht="15" hidden="false" customHeight="false" outlineLevel="0" collapsed="false">
      <c r="A324" s="6" t="n">
        <v>323</v>
      </c>
      <c r="B324" s="6" t="s">
        <v>2535</v>
      </c>
      <c r="C324" s="6" t="n">
        <v>7</v>
      </c>
      <c r="D324" s="6" t="s">
        <v>89</v>
      </c>
      <c r="E324" s="6" t="s">
        <v>146</v>
      </c>
      <c r="F324" s="6" t="n">
        <v>1</v>
      </c>
      <c r="G324" s="6" t="n">
        <v>28</v>
      </c>
      <c r="H324" s="6" t="s">
        <v>2536</v>
      </c>
      <c r="I324" s="22" t="n">
        <v>1064000</v>
      </c>
      <c r="J324" s="22" t="n">
        <v>0</v>
      </c>
      <c r="K324" s="22" t="n">
        <v>79800</v>
      </c>
      <c r="L324" s="22" t="n">
        <v>1143800</v>
      </c>
      <c r="M324" s="6" t="s">
        <v>148</v>
      </c>
      <c r="N324" s="6" t="s">
        <v>84</v>
      </c>
      <c r="O324" s="6" t="s">
        <v>866</v>
      </c>
      <c r="P324" s="6" t="s">
        <v>85</v>
      </c>
      <c r="Q324" s="6" t="str">
        <f aca="false">IF(P324="pass","No","Yes")</f>
        <v>Yes</v>
      </c>
      <c r="R324" s="6" t="s">
        <v>86</v>
      </c>
      <c r="S324" s="6" t="s">
        <v>866</v>
      </c>
      <c r="T324" s="6" t="s">
        <v>150</v>
      </c>
      <c r="U324" s="23" t="n">
        <v>15.475</v>
      </c>
      <c r="V324" s="6" t="s">
        <v>2537</v>
      </c>
      <c r="W324" s="6" t="s">
        <v>2538</v>
      </c>
      <c r="X324" s="6" t="s">
        <v>2539</v>
      </c>
      <c r="Y324" s="6" t="s">
        <v>86</v>
      </c>
      <c r="Z324" s="6" t="n">
        <v>1</v>
      </c>
      <c r="AA324" s="6" t="n">
        <v>0</v>
      </c>
      <c r="AB324" s="6" t="n">
        <v>0</v>
      </c>
      <c r="AC324" s="6" t="n">
        <v>0</v>
      </c>
      <c r="AD324" s="6" t="n">
        <v>0</v>
      </c>
      <c r="AE324" s="6" t="n">
        <v>0</v>
      </c>
      <c r="AF324" s="6" t="n">
        <v>0</v>
      </c>
      <c r="AG324" s="6" t="n">
        <v>0</v>
      </c>
      <c r="AH324" s="6" t="n">
        <v>0</v>
      </c>
      <c r="AI324" s="6" t="s">
        <v>84</v>
      </c>
    </row>
    <row r="325" customFormat="false" ht="15" hidden="false" customHeight="false" outlineLevel="0" collapsed="false">
      <c r="A325" s="6" t="n">
        <v>324</v>
      </c>
      <c r="B325" s="6" t="s">
        <v>2540</v>
      </c>
      <c r="C325" s="6" t="n">
        <v>7</v>
      </c>
      <c r="D325" s="6" t="s">
        <v>112</v>
      </c>
      <c r="E325" s="6" t="s">
        <v>116</v>
      </c>
      <c r="F325" s="6" t="n">
        <v>2</v>
      </c>
      <c r="G325" s="6" t="n">
        <v>5</v>
      </c>
      <c r="H325" s="6" t="s">
        <v>2541</v>
      </c>
      <c r="I325" s="22" t="n">
        <v>119500</v>
      </c>
      <c r="J325" s="22" t="n">
        <v>15000</v>
      </c>
      <c r="K325" s="22" t="n">
        <v>10087.5</v>
      </c>
      <c r="L325" s="22" t="n">
        <v>144587.5</v>
      </c>
      <c r="M325" s="6" t="s">
        <v>57</v>
      </c>
      <c r="N325" s="6" t="s">
        <v>58</v>
      </c>
      <c r="O325" s="6"/>
      <c r="P325" s="6" t="s">
        <v>69</v>
      </c>
      <c r="Q325" s="6" t="str">
        <f aca="false">IF(P325="pass","No","Yes")</f>
        <v>No</v>
      </c>
      <c r="R325" s="6" t="s">
        <v>60</v>
      </c>
      <c r="S325" s="6"/>
      <c r="T325" s="6"/>
      <c r="U325" s="23" t="n">
        <v>28.62</v>
      </c>
      <c r="V325" s="6" t="s">
        <v>2542</v>
      </c>
      <c r="W325" s="6" t="s">
        <v>2543</v>
      </c>
      <c r="X325" s="6" t="s">
        <v>2544</v>
      </c>
      <c r="Y325" s="6" t="s">
        <v>60</v>
      </c>
      <c r="Z325" s="6" t="n">
        <v>0</v>
      </c>
      <c r="AA325" s="6" t="n">
        <v>0</v>
      </c>
      <c r="AB325" s="6" t="n">
        <v>0</v>
      </c>
      <c r="AC325" s="6" t="n">
        <v>0</v>
      </c>
      <c r="AD325" s="6" t="n">
        <v>0</v>
      </c>
      <c r="AE325" s="6" t="n">
        <v>0</v>
      </c>
      <c r="AF325" s="6" t="n">
        <v>0</v>
      </c>
      <c r="AG325" s="6" t="n">
        <v>0</v>
      </c>
      <c r="AH325" s="6" t="n">
        <v>0</v>
      </c>
      <c r="AI325" s="6" t="s">
        <v>84</v>
      </c>
    </row>
    <row r="326" customFormat="false" ht="15" hidden="false" customHeight="false" outlineLevel="0" collapsed="false">
      <c r="A326" s="6" t="n">
        <v>325</v>
      </c>
      <c r="B326" s="6" t="s">
        <v>2545</v>
      </c>
      <c r="C326" s="6" t="n">
        <v>7</v>
      </c>
      <c r="D326" s="6" t="s">
        <v>112</v>
      </c>
      <c r="E326" s="6" t="s">
        <v>116</v>
      </c>
      <c r="F326" s="6" t="n">
        <v>2</v>
      </c>
      <c r="G326" s="6" t="n">
        <v>5</v>
      </c>
      <c r="H326" s="6" t="s">
        <v>2541</v>
      </c>
      <c r="I326" s="22" t="n">
        <v>119500</v>
      </c>
      <c r="J326" s="22" t="n">
        <v>15000</v>
      </c>
      <c r="K326" s="22" t="n">
        <v>10087.5</v>
      </c>
      <c r="L326" s="22" t="n">
        <v>144587.5</v>
      </c>
      <c r="M326" s="6" t="s">
        <v>97</v>
      </c>
      <c r="N326" s="6" t="s">
        <v>84</v>
      </c>
      <c r="O326" s="6" t="s">
        <v>1185</v>
      </c>
      <c r="P326" s="6" t="s">
        <v>59</v>
      </c>
      <c r="Q326" s="6" t="str">
        <f aca="false">IF(P326="pass","No","Yes")</f>
        <v>Yes</v>
      </c>
      <c r="R326" s="6" t="s">
        <v>98</v>
      </c>
      <c r="S326" s="6" t="s">
        <v>1185</v>
      </c>
      <c r="T326" s="6" t="s">
        <v>2546</v>
      </c>
      <c r="U326" s="23" t="n">
        <v>26.288</v>
      </c>
      <c r="V326" s="6" t="s">
        <v>2547</v>
      </c>
      <c r="W326" s="6"/>
      <c r="X326" s="6" t="s">
        <v>2547</v>
      </c>
      <c r="Y326" s="6" t="s">
        <v>98</v>
      </c>
      <c r="Z326" s="6" t="n">
        <v>0</v>
      </c>
      <c r="AA326" s="6" t="n">
        <v>0</v>
      </c>
      <c r="AB326" s="6" t="n">
        <v>0</v>
      </c>
      <c r="AC326" s="6" t="n">
        <v>0</v>
      </c>
      <c r="AD326" s="6" t="n">
        <v>0</v>
      </c>
      <c r="AE326" s="6" t="n">
        <v>0</v>
      </c>
      <c r="AF326" s="6" t="n">
        <v>0</v>
      </c>
      <c r="AG326" s="6" t="n">
        <v>1</v>
      </c>
      <c r="AH326" s="6" t="n">
        <v>0</v>
      </c>
      <c r="AI326" s="6" t="s">
        <v>84</v>
      </c>
    </row>
    <row r="327" customFormat="false" ht="15" hidden="false" customHeight="false" outlineLevel="0" collapsed="false">
      <c r="A327" s="6" t="n">
        <v>326</v>
      </c>
      <c r="B327" s="6" t="s">
        <v>2548</v>
      </c>
      <c r="C327" s="6" t="n">
        <v>7</v>
      </c>
      <c r="D327" s="6" t="s">
        <v>198</v>
      </c>
      <c r="E327" s="6" t="s">
        <v>81</v>
      </c>
      <c r="F327" s="6" t="n">
        <v>2</v>
      </c>
      <c r="G327" s="6" t="n">
        <v>44</v>
      </c>
      <c r="H327" s="6" t="s">
        <v>2549</v>
      </c>
      <c r="I327" s="22" t="n">
        <v>677500</v>
      </c>
      <c r="J327" s="22" t="n">
        <v>4000</v>
      </c>
      <c r="K327" s="22" t="n">
        <v>51112.5</v>
      </c>
      <c r="L327" s="22" t="n">
        <v>732612.5</v>
      </c>
      <c r="M327" s="6" t="s">
        <v>57</v>
      </c>
      <c r="N327" s="6" t="s">
        <v>58</v>
      </c>
      <c r="O327" s="6"/>
      <c r="P327" s="6" t="s">
        <v>69</v>
      </c>
      <c r="Q327" s="6" t="str">
        <f aca="false">IF(P327="pass","No","Yes")</f>
        <v>No</v>
      </c>
      <c r="R327" s="6" t="s">
        <v>60</v>
      </c>
      <c r="S327" s="6"/>
      <c r="T327" s="6"/>
      <c r="U327" s="23" t="n">
        <v>26.765</v>
      </c>
      <c r="V327" s="6" t="s">
        <v>2550</v>
      </c>
      <c r="W327" s="6" t="s">
        <v>2551</v>
      </c>
      <c r="X327" s="6" t="s">
        <v>2552</v>
      </c>
      <c r="Y327" s="6" t="s">
        <v>60</v>
      </c>
      <c r="Z327" s="6" t="n">
        <v>0</v>
      </c>
      <c r="AA327" s="6" t="n">
        <v>0</v>
      </c>
      <c r="AB327" s="6" t="n">
        <v>0</v>
      </c>
      <c r="AC327" s="6" t="n">
        <v>0</v>
      </c>
      <c r="AD327" s="6" t="n">
        <v>0</v>
      </c>
      <c r="AE327" s="6" t="n">
        <v>0</v>
      </c>
      <c r="AF327" s="6" t="n">
        <v>0</v>
      </c>
      <c r="AG327" s="6" t="n">
        <v>0</v>
      </c>
      <c r="AH327" s="6" t="n">
        <v>0</v>
      </c>
      <c r="AI327" s="6" t="s">
        <v>84</v>
      </c>
    </row>
    <row r="328" customFormat="false" ht="15" hidden="false" customHeight="false" outlineLevel="0" collapsed="false">
      <c r="A328" s="6" t="n">
        <v>327</v>
      </c>
      <c r="B328" s="6" t="s">
        <v>2553</v>
      </c>
      <c r="C328" s="6" t="n">
        <v>7</v>
      </c>
      <c r="D328" s="6" t="s">
        <v>142</v>
      </c>
      <c r="E328" s="6" t="s">
        <v>74</v>
      </c>
      <c r="F328" s="6" t="n">
        <v>1</v>
      </c>
      <c r="G328" s="6" t="n">
        <v>10</v>
      </c>
      <c r="H328" s="6" t="s">
        <v>865</v>
      </c>
      <c r="I328" s="22" t="n">
        <v>520000</v>
      </c>
      <c r="J328" s="22" t="n">
        <v>9000</v>
      </c>
      <c r="K328" s="22" t="n">
        <v>39675</v>
      </c>
      <c r="L328" s="22" t="n">
        <v>568675</v>
      </c>
      <c r="M328" s="6" t="s">
        <v>57</v>
      </c>
      <c r="N328" s="6" t="s">
        <v>58</v>
      </c>
      <c r="O328" s="6"/>
      <c r="P328" s="6" t="s">
        <v>69</v>
      </c>
      <c r="Q328" s="6" t="str">
        <f aca="false">IF(P328="pass","No","Yes")</f>
        <v>No</v>
      </c>
      <c r="R328" s="6" t="s">
        <v>60</v>
      </c>
      <c r="S328" s="6"/>
      <c r="T328" s="6"/>
      <c r="U328" s="23" t="n">
        <v>17.606</v>
      </c>
      <c r="V328" s="6" t="s">
        <v>2554</v>
      </c>
      <c r="W328" s="6" t="s">
        <v>2555</v>
      </c>
      <c r="X328" s="6" t="s">
        <v>2556</v>
      </c>
      <c r="Y328" s="6" t="s">
        <v>60</v>
      </c>
      <c r="Z328" s="6" t="n">
        <v>0</v>
      </c>
      <c r="AA328" s="6" t="n">
        <v>0</v>
      </c>
      <c r="AB328" s="6" t="n">
        <v>0</v>
      </c>
      <c r="AC328" s="6" t="n">
        <v>0</v>
      </c>
      <c r="AD328" s="6" t="n">
        <v>0</v>
      </c>
      <c r="AE328" s="6" t="n">
        <v>0</v>
      </c>
      <c r="AF328" s="6" t="n">
        <v>0</v>
      </c>
      <c r="AG328" s="6" t="n">
        <v>0</v>
      </c>
      <c r="AH328" s="6" t="n">
        <v>0</v>
      </c>
      <c r="AI328" s="6" t="s">
        <v>84</v>
      </c>
    </row>
    <row r="329" customFormat="false" ht="15" hidden="false" customHeight="false" outlineLevel="0" collapsed="false">
      <c r="A329" s="6" t="n">
        <v>328</v>
      </c>
      <c r="B329" s="6" t="s">
        <v>2557</v>
      </c>
      <c r="C329" s="6" t="n">
        <v>7</v>
      </c>
      <c r="D329" s="6" t="s">
        <v>186</v>
      </c>
      <c r="E329" s="6" t="s">
        <v>123</v>
      </c>
      <c r="F329" s="6" t="n">
        <v>3</v>
      </c>
      <c r="G329" s="6" t="n">
        <v>1034</v>
      </c>
      <c r="H329" s="6" t="s">
        <v>2558</v>
      </c>
      <c r="I329" s="22" t="n">
        <v>12633900</v>
      </c>
      <c r="J329" s="22" t="n">
        <v>5000</v>
      </c>
      <c r="K329" s="22" t="n">
        <v>947917.5</v>
      </c>
      <c r="L329" s="22" t="n">
        <v>13586817.5</v>
      </c>
      <c r="M329" s="6" t="s">
        <v>159</v>
      </c>
      <c r="N329" s="6" t="s">
        <v>84</v>
      </c>
      <c r="O329" s="6" t="s">
        <v>886</v>
      </c>
      <c r="P329" s="6" t="s">
        <v>85</v>
      </c>
      <c r="Q329" s="6" t="str">
        <f aca="false">IF(P329="pass","No","Yes")</f>
        <v>Yes</v>
      </c>
      <c r="R329" s="6" t="s">
        <v>86</v>
      </c>
      <c r="S329" s="6" t="s">
        <v>934</v>
      </c>
      <c r="T329" s="6" t="s">
        <v>197</v>
      </c>
      <c r="U329" s="23" t="n">
        <v>41.507</v>
      </c>
      <c r="V329" s="6" t="s">
        <v>2559</v>
      </c>
      <c r="W329" s="6" t="s">
        <v>2560</v>
      </c>
      <c r="X329" s="6" t="s">
        <v>2561</v>
      </c>
      <c r="Y329" s="6" t="s">
        <v>86</v>
      </c>
      <c r="Z329" s="6" t="n">
        <v>0</v>
      </c>
      <c r="AA329" s="6" t="n">
        <v>0</v>
      </c>
      <c r="AB329" s="6" t="n">
        <v>1</v>
      </c>
      <c r="AC329" s="6" t="n">
        <v>1</v>
      </c>
      <c r="AD329" s="6" t="n">
        <v>0</v>
      </c>
      <c r="AE329" s="6" t="n">
        <v>0</v>
      </c>
      <c r="AF329" s="6" t="n">
        <v>0</v>
      </c>
      <c r="AG329" s="6" t="n">
        <v>0</v>
      </c>
      <c r="AH329" s="6" t="n">
        <v>0</v>
      </c>
      <c r="AI329" s="6" t="s">
        <v>84</v>
      </c>
    </row>
    <row r="330" customFormat="false" ht="15" hidden="false" customHeight="false" outlineLevel="0" collapsed="false">
      <c r="A330" s="6" t="n">
        <v>329</v>
      </c>
      <c r="B330" s="6" t="s">
        <v>2562</v>
      </c>
      <c r="C330" s="6" t="n">
        <v>7</v>
      </c>
      <c r="D330" s="6" t="s">
        <v>177</v>
      </c>
      <c r="E330" s="6" t="s">
        <v>81</v>
      </c>
      <c r="F330" s="6" t="n">
        <v>3</v>
      </c>
      <c r="G330" s="6" t="n">
        <v>111</v>
      </c>
      <c r="H330" s="6" t="s">
        <v>2563</v>
      </c>
      <c r="I330" s="22" t="n">
        <v>1903100</v>
      </c>
      <c r="J330" s="22" t="n">
        <v>4000</v>
      </c>
      <c r="K330" s="22" t="n">
        <v>143032.5</v>
      </c>
      <c r="L330" s="22" t="n">
        <v>2050132.5</v>
      </c>
      <c r="M330" s="6" t="s">
        <v>1042</v>
      </c>
      <c r="N330" s="6" t="s">
        <v>58</v>
      </c>
      <c r="O330" s="6"/>
      <c r="P330" s="6" t="s">
        <v>69</v>
      </c>
      <c r="Q330" s="6" t="str">
        <f aca="false">IF(P330="pass","No","Yes")</f>
        <v>No</v>
      </c>
      <c r="R330" s="6" t="s">
        <v>60</v>
      </c>
      <c r="S330" s="6"/>
      <c r="T330" s="6"/>
      <c r="U330" s="23" t="n">
        <v>53.255</v>
      </c>
      <c r="V330" s="6" t="s">
        <v>2564</v>
      </c>
      <c r="W330" s="6" t="s">
        <v>2565</v>
      </c>
      <c r="X330" s="6" t="s">
        <v>2566</v>
      </c>
      <c r="Y330" s="6" t="s">
        <v>60</v>
      </c>
      <c r="Z330" s="6" t="n">
        <v>0</v>
      </c>
      <c r="AA330" s="6" t="n">
        <v>0</v>
      </c>
      <c r="AB330" s="6" t="n">
        <v>0</v>
      </c>
      <c r="AC330" s="6" t="n">
        <v>0</v>
      </c>
      <c r="AD330" s="6" t="n">
        <v>0</v>
      </c>
      <c r="AE330" s="6" t="n">
        <v>0</v>
      </c>
      <c r="AF330" s="6" t="n">
        <v>0</v>
      </c>
      <c r="AG330" s="6" t="n">
        <v>0</v>
      </c>
      <c r="AH330" s="6" t="n">
        <v>0</v>
      </c>
      <c r="AI330" s="6" t="s">
        <v>84</v>
      </c>
    </row>
    <row r="331" customFormat="false" ht="15" hidden="false" customHeight="false" outlineLevel="0" collapsed="false">
      <c r="A331" s="6" t="n">
        <v>330</v>
      </c>
      <c r="B331" s="6" t="s">
        <v>2567</v>
      </c>
      <c r="C331" s="6" t="n">
        <v>7</v>
      </c>
      <c r="D331" s="6" t="s">
        <v>70</v>
      </c>
      <c r="E331" s="6" t="s">
        <v>74</v>
      </c>
      <c r="F331" s="6" t="n">
        <v>1</v>
      </c>
      <c r="G331" s="6" t="n">
        <v>2</v>
      </c>
      <c r="H331" s="6" t="s">
        <v>959</v>
      </c>
      <c r="I331" s="22" t="n">
        <v>8200</v>
      </c>
      <c r="J331" s="22" t="n">
        <v>9000</v>
      </c>
      <c r="K331" s="22" t="n">
        <v>1290</v>
      </c>
      <c r="L331" s="22" t="n">
        <v>18490</v>
      </c>
      <c r="M331" s="6" t="s">
        <v>57</v>
      </c>
      <c r="N331" s="6" t="s">
        <v>58</v>
      </c>
      <c r="O331" s="6"/>
      <c r="P331" s="6" t="s">
        <v>69</v>
      </c>
      <c r="Q331" s="6" t="str">
        <f aca="false">IF(P331="pass","No","Yes")</f>
        <v>No</v>
      </c>
      <c r="R331" s="6" t="s">
        <v>60</v>
      </c>
      <c r="S331" s="6"/>
      <c r="T331" s="6"/>
      <c r="U331" s="23" t="n">
        <v>18.327</v>
      </c>
      <c r="V331" s="6" t="s">
        <v>2568</v>
      </c>
      <c r="W331" s="6" t="s">
        <v>2569</v>
      </c>
      <c r="X331" s="6" t="s">
        <v>2570</v>
      </c>
      <c r="Y331" s="6" t="s">
        <v>60</v>
      </c>
      <c r="Z331" s="6" t="n">
        <v>0</v>
      </c>
      <c r="AA331" s="6" t="n">
        <v>0</v>
      </c>
      <c r="AB331" s="6" t="n">
        <v>0</v>
      </c>
      <c r="AC331" s="6" t="n">
        <v>0</v>
      </c>
      <c r="AD331" s="6" t="n">
        <v>0</v>
      </c>
      <c r="AE331" s="6" t="n">
        <v>0</v>
      </c>
      <c r="AF331" s="6" t="n">
        <v>0</v>
      </c>
      <c r="AG331" s="6" t="n">
        <v>0</v>
      </c>
      <c r="AH331" s="6" t="n">
        <v>0</v>
      </c>
      <c r="AI331" s="6" t="s">
        <v>84</v>
      </c>
    </row>
    <row r="332" customFormat="false" ht="15" hidden="false" customHeight="false" outlineLevel="0" collapsed="false">
      <c r="A332" s="6" t="n">
        <v>331</v>
      </c>
      <c r="B332" s="6" t="s">
        <v>2571</v>
      </c>
      <c r="C332" s="6" t="n">
        <v>7</v>
      </c>
      <c r="D332" s="6" t="s">
        <v>100</v>
      </c>
      <c r="E332" s="6" t="s">
        <v>67</v>
      </c>
      <c r="F332" s="6" t="n">
        <v>2</v>
      </c>
      <c r="G332" s="6" t="n">
        <v>3</v>
      </c>
      <c r="H332" s="6" t="s">
        <v>1287</v>
      </c>
      <c r="I332" s="22" t="n">
        <v>193200</v>
      </c>
      <c r="J332" s="22" t="n">
        <v>4500</v>
      </c>
      <c r="K332" s="22" t="n">
        <v>14827.5</v>
      </c>
      <c r="L332" s="22" t="n">
        <v>212527.5</v>
      </c>
      <c r="M332" s="6" t="s">
        <v>132</v>
      </c>
      <c r="N332" s="6" t="s">
        <v>84</v>
      </c>
      <c r="O332" s="6" t="s">
        <v>879</v>
      </c>
      <c r="P332" s="6" t="s">
        <v>85</v>
      </c>
      <c r="Q332" s="6" t="str">
        <f aca="false">IF(P332="pass","No","Yes")</f>
        <v>Yes</v>
      </c>
      <c r="R332" s="6" t="s">
        <v>86</v>
      </c>
      <c r="S332" s="6" t="s">
        <v>880</v>
      </c>
      <c r="T332" s="6" t="s">
        <v>134</v>
      </c>
      <c r="U332" s="23" t="n">
        <v>19.077</v>
      </c>
      <c r="V332" s="6" t="s">
        <v>2572</v>
      </c>
      <c r="W332" s="6" t="s">
        <v>2573</v>
      </c>
      <c r="X332" s="6" t="s">
        <v>2574</v>
      </c>
      <c r="Y332" s="6" t="s">
        <v>86</v>
      </c>
      <c r="Z332" s="6" t="n">
        <v>0</v>
      </c>
      <c r="AA332" s="6" t="n">
        <v>1</v>
      </c>
      <c r="AB332" s="6" t="n">
        <v>0</v>
      </c>
      <c r="AC332" s="6" t="n">
        <v>1</v>
      </c>
      <c r="AD332" s="6" t="n">
        <v>0</v>
      </c>
      <c r="AE332" s="6" t="n">
        <v>0</v>
      </c>
      <c r="AF332" s="6" t="n">
        <v>0</v>
      </c>
      <c r="AG332" s="6" t="n">
        <v>0</v>
      </c>
      <c r="AH332" s="6" t="n">
        <v>0</v>
      </c>
      <c r="AI332" s="6" t="s">
        <v>84</v>
      </c>
    </row>
    <row r="333" customFormat="false" ht="15" hidden="false" customHeight="false" outlineLevel="0" collapsed="false">
      <c r="A333" s="6" t="n">
        <v>332</v>
      </c>
      <c r="B333" s="6" t="s">
        <v>2575</v>
      </c>
      <c r="C333" s="6" t="n">
        <v>7</v>
      </c>
      <c r="D333" s="6" t="s">
        <v>105</v>
      </c>
      <c r="E333" s="6" t="s">
        <v>81</v>
      </c>
      <c r="F333" s="6" t="n">
        <v>1</v>
      </c>
      <c r="G333" s="6" t="n">
        <v>41</v>
      </c>
      <c r="H333" s="6" t="s">
        <v>2576</v>
      </c>
      <c r="I333" s="22" t="n">
        <v>483800</v>
      </c>
      <c r="J333" s="22" t="n">
        <v>4000</v>
      </c>
      <c r="K333" s="22" t="n">
        <v>36585</v>
      </c>
      <c r="L333" s="22" t="n">
        <v>524385</v>
      </c>
      <c r="M333" s="6" t="s">
        <v>57</v>
      </c>
      <c r="N333" s="6" t="s">
        <v>58</v>
      </c>
      <c r="O333" s="6"/>
      <c r="P333" s="6" t="s">
        <v>69</v>
      </c>
      <c r="Q333" s="6" t="str">
        <f aca="false">IF(P333="pass","No","Yes")</f>
        <v>No</v>
      </c>
      <c r="R333" s="6" t="s">
        <v>60</v>
      </c>
      <c r="S333" s="6"/>
      <c r="T333" s="6"/>
      <c r="U333" s="23" t="n">
        <v>18.941</v>
      </c>
      <c r="V333" s="6" t="s">
        <v>2577</v>
      </c>
      <c r="W333" s="6" t="s">
        <v>2578</v>
      </c>
      <c r="X333" s="6" t="s">
        <v>2579</v>
      </c>
      <c r="Y333" s="6" t="s">
        <v>60</v>
      </c>
      <c r="Z333" s="6" t="n">
        <v>0</v>
      </c>
      <c r="AA333" s="6" t="n">
        <v>0</v>
      </c>
      <c r="AB333" s="6" t="n">
        <v>0</v>
      </c>
      <c r="AC333" s="6" t="n">
        <v>0</v>
      </c>
      <c r="AD333" s="6" t="n">
        <v>0</v>
      </c>
      <c r="AE333" s="6" t="n">
        <v>0</v>
      </c>
      <c r="AF333" s="6" t="n">
        <v>0</v>
      </c>
      <c r="AG333" s="6" t="n">
        <v>0</v>
      </c>
      <c r="AH333" s="6" t="n">
        <v>0</v>
      </c>
      <c r="AI333" s="6" t="s">
        <v>84</v>
      </c>
    </row>
    <row r="334" customFormat="false" ht="15" hidden="false" customHeight="false" outlineLevel="0" collapsed="false">
      <c r="A334" s="6" t="n">
        <v>333</v>
      </c>
      <c r="B334" s="6" t="s">
        <v>2580</v>
      </c>
      <c r="C334" s="6" t="n">
        <v>7</v>
      </c>
      <c r="D334" s="6" t="s">
        <v>191</v>
      </c>
      <c r="E334" s="6" t="s">
        <v>116</v>
      </c>
      <c r="F334" s="6" t="n">
        <v>1</v>
      </c>
      <c r="G334" s="6" t="n">
        <v>5</v>
      </c>
      <c r="H334" s="6" t="s">
        <v>2581</v>
      </c>
      <c r="I334" s="22" t="n">
        <v>155000</v>
      </c>
      <c r="J334" s="22" t="n">
        <v>15000</v>
      </c>
      <c r="K334" s="22" t="n">
        <v>12750</v>
      </c>
      <c r="L334" s="22" t="n">
        <v>182750</v>
      </c>
      <c r="M334" s="6" t="s">
        <v>57</v>
      </c>
      <c r="N334" s="6" t="s">
        <v>58</v>
      </c>
      <c r="O334" s="6"/>
      <c r="P334" s="6" t="s">
        <v>69</v>
      </c>
      <c r="Q334" s="6" t="str">
        <f aca="false">IF(P334="pass","No","Yes")</f>
        <v>No</v>
      </c>
      <c r="R334" s="6" t="s">
        <v>60</v>
      </c>
      <c r="S334" s="6"/>
      <c r="T334" s="6"/>
      <c r="U334" s="23" t="n">
        <v>15.836</v>
      </c>
      <c r="V334" s="6" t="s">
        <v>2582</v>
      </c>
      <c r="W334" s="6" t="s">
        <v>2583</v>
      </c>
      <c r="X334" s="6" t="s">
        <v>2584</v>
      </c>
      <c r="Y334" s="6" t="s">
        <v>60</v>
      </c>
      <c r="Z334" s="6" t="n">
        <v>0</v>
      </c>
      <c r="AA334" s="6" t="n">
        <v>0</v>
      </c>
      <c r="AB334" s="6" t="n">
        <v>0</v>
      </c>
      <c r="AC334" s="6" t="n">
        <v>0</v>
      </c>
      <c r="AD334" s="6" t="n">
        <v>0</v>
      </c>
      <c r="AE334" s="6" t="n">
        <v>0</v>
      </c>
      <c r="AF334" s="6" t="n">
        <v>0</v>
      </c>
      <c r="AG334" s="6" t="n">
        <v>0</v>
      </c>
      <c r="AH334" s="6" t="n">
        <v>0</v>
      </c>
      <c r="AI334" s="6" t="s">
        <v>84</v>
      </c>
    </row>
    <row r="335" customFormat="false" ht="15" hidden="false" customHeight="false" outlineLevel="0" collapsed="false">
      <c r="A335" s="6" t="n">
        <v>334</v>
      </c>
      <c r="B335" s="6" t="s">
        <v>2585</v>
      </c>
      <c r="C335" s="6" t="n">
        <v>7</v>
      </c>
      <c r="D335" s="6" t="s">
        <v>166</v>
      </c>
      <c r="E335" s="6" t="s">
        <v>74</v>
      </c>
      <c r="F335" s="6" t="n">
        <v>2</v>
      </c>
      <c r="G335" s="6" t="n">
        <v>19</v>
      </c>
      <c r="H335" s="6" t="s">
        <v>2586</v>
      </c>
      <c r="I335" s="22" t="n">
        <v>510500</v>
      </c>
      <c r="J335" s="22" t="n">
        <v>9000</v>
      </c>
      <c r="K335" s="22" t="n">
        <v>38962.5</v>
      </c>
      <c r="L335" s="22" t="n">
        <v>558462.5</v>
      </c>
      <c r="M335" s="6" t="s">
        <v>57</v>
      </c>
      <c r="N335" s="6" t="s">
        <v>58</v>
      </c>
      <c r="O335" s="6"/>
      <c r="P335" s="6" t="s">
        <v>69</v>
      </c>
      <c r="Q335" s="6" t="str">
        <f aca="false">IF(P335="pass","No","Yes")</f>
        <v>No</v>
      </c>
      <c r="R335" s="6" t="s">
        <v>60</v>
      </c>
      <c r="S335" s="6"/>
      <c r="T335" s="6"/>
      <c r="U335" s="23" t="n">
        <v>35.381</v>
      </c>
      <c r="V335" s="6" t="s">
        <v>2587</v>
      </c>
      <c r="W335" s="6" t="s">
        <v>2588</v>
      </c>
      <c r="X335" s="6" t="s">
        <v>2589</v>
      </c>
      <c r="Y335" s="6" t="s">
        <v>60</v>
      </c>
      <c r="Z335" s="6" t="n">
        <v>0</v>
      </c>
      <c r="AA335" s="6" t="n">
        <v>0</v>
      </c>
      <c r="AB335" s="6" t="n">
        <v>0</v>
      </c>
      <c r="AC335" s="6" t="n">
        <v>0</v>
      </c>
      <c r="AD335" s="6" t="n">
        <v>0</v>
      </c>
      <c r="AE335" s="6" t="n">
        <v>0</v>
      </c>
      <c r="AF335" s="6" t="n">
        <v>0</v>
      </c>
      <c r="AG335" s="6" t="n">
        <v>0</v>
      </c>
      <c r="AH335" s="6" t="n">
        <v>0</v>
      </c>
      <c r="AI335" s="6" t="s">
        <v>84</v>
      </c>
    </row>
    <row r="336" customFormat="false" ht="15" hidden="false" customHeight="false" outlineLevel="0" collapsed="false">
      <c r="A336" s="6" t="n">
        <v>335</v>
      </c>
      <c r="B336" s="6" t="s">
        <v>2590</v>
      </c>
      <c r="C336" s="6" t="n">
        <v>7</v>
      </c>
      <c r="D336" s="6" t="s">
        <v>166</v>
      </c>
      <c r="E336" s="6" t="s">
        <v>74</v>
      </c>
      <c r="F336" s="6" t="n">
        <v>2</v>
      </c>
      <c r="G336" s="6" t="n">
        <v>19</v>
      </c>
      <c r="H336" s="6" t="s">
        <v>2586</v>
      </c>
      <c r="I336" s="22" t="n">
        <v>510500</v>
      </c>
      <c r="J336" s="22" t="n">
        <v>9000</v>
      </c>
      <c r="K336" s="22" t="n">
        <v>38962.5</v>
      </c>
      <c r="L336" s="22" t="n">
        <v>558462.5</v>
      </c>
      <c r="M336" s="6" t="s">
        <v>97</v>
      </c>
      <c r="N336" s="6" t="s">
        <v>84</v>
      </c>
      <c r="O336" s="6" t="s">
        <v>1185</v>
      </c>
      <c r="P336" s="6" t="s">
        <v>59</v>
      </c>
      <c r="Q336" s="6" t="str">
        <f aca="false">IF(P336="pass","No","Yes")</f>
        <v>Yes</v>
      </c>
      <c r="R336" s="6" t="s">
        <v>98</v>
      </c>
      <c r="S336" s="6" t="s">
        <v>1185</v>
      </c>
      <c r="T336" s="6" t="s">
        <v>2591</v>
      </c>
      <c r="U336" s="23" t="n">
        <v>28.336</v>
      </c>
      <c r="V336" s="6" t="s">
        <v>2592</v>
      </c>
      <c r="W336" s="6"/>
      <c r="X336" s="6" t="s">
        <v>2592</v>
      </c>
      <c r="Y336" s="6" t="s">
        <v>98</v>
      </c>
      <c r="Z336" s="6" t="n">
        <v>0</v>
      </c>
      <c r="AA336" s="6" t="n">
        <v>0</v>
      </c>
      <c r="AB336" s="6" t="n">
        <v>0</v>
      </c>
      <c r="AC336" s="6" t="n">
        <v>0</v>
      </c>
      <c r="AD336" s="6" t="n">
        <v>0</v>
      </c>
      <c r="AE336" s="6" t="n">
        <v>0</v>
      </c>
      <c r="AF336" s="6" t="n">
        <v>0</v>
      </c>
      <c r="AG336" s="6" t="n">
        <v>1</v>
      </c>
      <c r="AH336" s="6" t="n">
        <v>0</v>
      </c>
      <c r="AI336" s="6" t="s">
        <v>84</v>
      </c>
    </row>
    <row r="337" customFormat="false" ht="15" hidden="false" customHeight="false" outlineLevel="0" collapsed="false">
      <c r="A337" s="6" t="n">
        <v>336</v>
      </c>
      <c r="B337" s="6" t="s">
        <v>2593</v>
      </c>
      <c r="C337" s="6" t="n">
        <v>7</v>
      </c>
      <c r="D337" s="6" t="s">
        <v>119</v>
      </c>
      <c r="E337" s="6" t="s">
        <v>123</v>
      </c>
      <c r="F337" s="6" t="n">
        <v>4</v>
      </c>
      <c r="G337" s="6" t="n">
        <v>1039</v>
      </c>
      <c r="H337" s="6" t="s">
        <v>2594</v>
      </c>
      <c r="I337" s="22" t="n">
        <v>13583200</v>
      </c>
      <c r="J337" s="22" t="n">
        <v>5000</v>
      </c>
      <c r="K337" s="22" t="n">
        <v>1019115</v>
      </c>
      <c r="L337" s="22" t="n">
        <v>14607315</v>
      </c>
      <c r="M337" s="6" t="s">
        <v>159</v>
      </c>
      <c r="N337" s="6" t="s">
        <v>84</v>
      </c>
      <c r="O337" s="6" t="s">
        <v>886</v>
      </c>
      <c r="P337" s="6" t="s">
        <v>85</v>
      </c>
      <c r="Q337" s="6" t="str">
        <f aca="false">IF(P337="pass","No","Yes")</f>
        <v>Yes</v>
      </c>
      <c r="R337" s="6" t="s">
        <v>86</v>
      </c>
      <c r="S337" s="6" t="s">
        <v>934</v>
      </c>
      <c r="T337" s="6" t="s">
        <v>491</v>
      </c>
      <c r="U337" s="23" t="n">
        <v>50.768</v>
      </c>
      <c r="V337" s="6" t="s">
        <v>2595</v>
      </c>
      <c r="W337" s="6" t="s">
        <v>2596</v>
      </c>
      <c r="X337" s="6" t="s">
        <v>2597</v>
      </c>
      <c r="Y337" s="6" t="s">
        <v>86</v>
      </c>
      <c r="Z337" s="6" t="n">
        <v>0</v>
      </c>
      <c r="AA337" s="6" t="n">
        <v>0</v>
      </c>
      <c r="AB337" s="6" t="n">
        <v>1</v>
      </c>
      <c r="AC337" s="6" t="n">
        <v>1</v>
      </c>
      <c r="AD337" s="6" t="n">
        <v>0</v>
      </c>
      <c r="AE337" s="6" t="n">
        <v>0</v>
      </c>
      <c r="AF337" s="6" t="n">
        <v>0</v>
      </c>
      <c r="AG337" s="6" t="n">
        <v>0</v>
      </c>
      <c r="AH337" s="6" t="n">
        <v>0</v>
      </c>
      <c r="AI337" s="6" t="s">
        <v>84</v>
      </c>
    </row>
    <row r="338" customFormat="false" ht="15" hidden="false" customHeight="false" outlineLevel="0" collapsed="false">
      <c r="A338" s="6" t="n">
        <v>337</v>
      </c>
      <c r="B338" s="6" t="s">
        <v>2598</v>
      </c>
      <c r="C338" s="6" t="n">
        <v>7</v>
      </c>
      <c r="D338" s="6" t="s">
        <v>198</v>
      </c>
      <c r="E338" s="6" t="s">
        <v>81</v>
      </c>
      <c r="F338" s="6" t="n">
        <v>2</v>
      </c>
      <c r="G338" s="6" t="n">
        <v>93</v>
      </c>
      <c r="H338" s="6" t="s">
        <v>2599</v>
      </c>
      <c r="I338" s="22" t="n">
        <v>1151400</v>
      </c>
      <c r="J338" s="22" t="n">
        <v>4000</v>
      </c>
      <c r="K338" s="22" t="n">
        <v>86655</v>
      </c>
      <c r="L338" s="22" t="n">
        <v>1242055</v>
      </c>
      <c r="M338" s="6" t="s">
        <v>224</v>
      </c>
      <c r="N338" s="6" t="s">
        <v>84</v>
      </c>
      <c r="O338" s="6" t="s">
        <v>866</v>
      </c>
      <c r="P338" s="6" t="s">
        <v>85</v>
      </c>
      <c r="Q338" s="6" t="str">
        <f aca="false">IF(P338="pass","No","Yes")</f>
        <v>Yes</v>
      </c>
      <c r="R338" s="6" t="s">
        <v>86</v>
      </c>
      <c r="S338" s="6" t="s">
        <v>866</v>
      </c>
      <c r="T338" s="6" t="s">
        <v>225</v>
      </c>
      <c r="U338" s="23" t="n">
        <v>31.495</v>
      </c>
      <c r="V338" s="6" t="s">
        <v>2600</v>
      </c>
      <c r="W338" s="6" t="s">
        <v>2601</v>
      </c>
      <c r="X338" s="6" t="s">
        <v>2602</v>
      </c>
      <c r="Y338" s="6" t="s">
        <v>86</v>
      </c>
      <c r="Z338" s="6" t="n">
        <v>1</v>
      </c>
      <c r="AA338" s="6" t="n">
        <v>0</v>
      </c>
      <c r="AB338" s="6" t="n">
        <v>0</v>
      </c>
      <c r="AC338" s="6" t="n">
        <v>0</v>
      </c>
      <c r="AD338" s="6" t="n">
        <v>0</v>
      </c>
      <c r="AE338" s="6" t="n">
        <v>0</v>
      </c>
      <c r="AF338" s="6" t="n">
        <v>0</v>
      </c>
      <c r="AG338" s="6" t="n">
        <v>0</v>
      </c>
      <c r="AH338" s="6" t="n">
        <v>0</v>
      </c>
      <c r="AI338" s="6" t="s">
        <v>58</v>
      </c>
    </row>
    <row r="339" customFormat="false" ht="15" hidden="false" customHeight="false" outlineLevel="0" collapsed="false">
      <c r="A339" s="6" t="n">
        <v>338</v>
      </c>
      <c r="B339" s="6" t="s">
        <v>2603</v>
      </c>
      <c r="C339" s="6" t="n">
        <v>7</v>
      </c>
      <c r="D339" s="6" t="s">
        <v>89</v>
      </c>
      <c r="E339" s="6" t="s">
        <v>67</v>
      </c>
      <c r="F339" s="6" t="n">
        <v>2</v>
      </c>
      <c r="G339" s="6" t="n">
        <v>11</v>
      </c>
      <c r="H339" s="6" t="s">
        <v>2604</v>
      </c>
      <c r="I339" s="22" t="n">
        <v>341000</v>
      </c>
      <c r="J339" s="22" t="n">
        <v>4500</v>
      </c>
      <c r="K339" s="22" t="n">
        <v>25912.5</v>
      </c>
      <c r="L339" s="22" t="n">
        <v>371412.5</v>
      </c>
      <c r="M339" s="6" t="s">
        <v>152</v>
      </c>
      <c r="N339" s="6" t="s">
        <v>84</v>
      </c>
      <c r="O339" s="6" t="s">
        <v>886</v>
      </c>
      <c r="P339" s="6" t="s">
        <v>85</v>
      </c>
      <c r="Q339" s="6" t="str">
        <f aca="false">IF(P339="pass","No","Yes")</f>
        <v>Yes</v>
      </c>
      <c r="R339" s="6" t="s">
        <v>86</v>
      </c>
      <c r="S339" s="6" t="s">
        <v>886</v>
      </c>
      <c r="T339" s="6" t="s">
        <v>336</v>
      </c>
      <c r="U339" s="23" t="n">
        <v>16.134</v>
      </c>
      <c r="V339" s="6" t="s">
        <v>2605</v>
      </c>
      <c r="W339" s="6" t="s">
        <v>2606</v>
      </c>
      <c r="X339" s="6" t="s">
        <v>2607</v>
      </c>
      <c r="Y339" s="6" t="s">
        <v>86</v>
      </c>
      <c r="Z339" s="6" t="n">
        <v>0</v>
      </c>
      <c r="AA339" s="6" t="n">
        <v>0</v>
      </c>
      <c r="AB339" s="6" t="n">
        <v>1</v>
      </c>
      <c r="AC339" s="6" t="n">
        <v>0</v>
      </c>
      <c r="AD339" s="6" t="n">
        <v>0</v>
      </c>
      <c r="AE339" s="6" t="n">
        <v>0</v>
      </c>
      <c r="AF339" s="6" t="n">
        <v>0</v>
      </c>
      <c r="AG339" s="6" t="n">
        <v>0</v>
      </c>
      <c r="AH339" s="6" t="n">
        <v>0</v>
      </c>
      <c r="AI339" s="6" t="s">
        <v>84</v>
      </c>
    </row>
    <row r="340" customFormat="false" ht="15" hidden="false" customHeight="false" outlineLevel="0" collapsed="false">
      <c r="A340" s="6" t="n">
        <v>339</v>
      </c>
      <c r="B340" s="6" t="s">
        <v>2608</v>
      </c>
      <c r="C340" s="6" t="n">
        <v>7</v>
      </c>
      <c r="D340" s="6" t="s">
        <v>63</v>
      </c>
      <c r="E340" s="6" t="s">
        <v>67</v>
      </c>
      <c r="F340" s="6" t="n">
        <v>1</v>
      </c>
      <c r="G340" s="6" t="n">
        <v>21</v>
      </c>
      <c r="H340" s="6" t="s">
        <v>2609</v>
      </c>
      <c r="I340" s="22" t="n">
        <v>247800</v>
      </c>
      <c r="J340" s="22" t="n">
        <v>4500</v>
      </c>
      <c r="K340" s="22" t="n">
        <v>18922.5</v>
      </c>
      <c r="L340" s="22" t="n">
        <v>271222.5</v>
      </c>
      <c r="M340" s="6" t="s">
        <v>57</v>
      </c>
      <c r="N340" s="6" t="s">
        <v>58</v>
      </c>
      <c r="O340" s="6"/>
      <c r="P340" s="6" t="s">
        <v>69</v>
      </c>
      <c r="Q340" s="6" t="str">
        <f aca="false">IF(P340="pass","No","Yes")</f>
        <v>No</v>
      </c>
      <c r="R340" s="6" t="s">
        <v>60</v>
      </c>
      <c r="S340" s="6"/>
      <c r="T340" s="6"/>
      <c r="U340" s="23" t="n">
        <v>19.489</v>
      </c>
      <c r="V340" s="6" t="s">
        <v>2610</v>
      </c>
      <c r="W340" s="6" t="s">
        <v>2611</v>
      </c>
      <c r="X340" s="6" t="s">
        <v>2612</v>
      </c>
      <c r="Y340" s="6" t="s">
        <v>60</v>
      </c>
      <c r="Z340" s="6" t="n">
        <v>0</v>
      </c>
      <c r="AA340" s="6" t="n">
        <v>0</v>
      </c>
      <c r="AB340" s="6" t="n">
        <v>0</v>
      </c>
      <c r="AC340" s="6" t="n">
        <v>0</v>
      </c>
      <c r="AD340" s="6" t="n">
        <v>0</v>
      </c>
      <c r="AE340" s="6" t="n">
        <v>0</v>
      </c>
      <c r="AF340" s="6" t="n">
        <v>0</v>
      </c>
      <c r="AG340" s="6" t="n">
        <v>0</v>
      </c>
      <c r="AH340" s="6" t="n">
        <v>0</v>
      </c>
      <c r="AI340" s="6" t="s">
        <v>84</v>
      </c>
    </row>
    <row r="341" customFormat="false" ht="15" hidden="false" customHeight="false" outlineLevel="0" collapsed="false">
      <c r="A341" s="6" t="n">
        <v>340</v>
      </c>
      <c r="B341" s="6" t="s">
        <v>2613</v>
      </c>
      <c r="C341" s="6" t="n">
        <v>7</v>
      </c>
      <c r="D341" s="6" t="s">
        <v>213</v>
      </c>
      <c r="E341" s="6" t="s">
        <v>67</v>
      </c>
      <c r="F341" s="6" t="n">
        <v>4</v>
      </c>
      <c r="G341" s="6" t="n">
        <v>185</v>
      </c>
      <c r="H341" s="6" t="s">
        <v>2614</v>
      </c>
      <c r="I341" s="22" t="n">
        <v>1742200</v>
      </c>
      <c r="J341" s="22" t="n">
        <v>4500</v>
      </c>
      <c r="K341" s="22" t="n">
        <v>131002.5</v>
      </c>
      <c r="L341" s="22" t="n">
        <v>1877702.5</v>
      </c>
      <c r="M341" s="6" t="s">
        <v>152</v>
      </c>
      <c r="N341" s="6" t="s">
        <v>84</v>
      </c>
      <c r="O341" s="6" t="s">
        <v>886</v>
      </c>
      <c r="P341" s="6" t="s">
        <v>85</v>
      </c>
      <c r="Q341" s="6" t="str">
        <f aca="false">IF(P341="pass","No","Yes")</f>
        <v>Yes</v>
      </c>
      <c r="R341" s="6" t="s">
        <v>86</v>
      </c>
      <c r="S341" s="6" t="s">
        <v>1479</v>
      </c>
      <c r="T341" s="6" t="s">
        <v>2615</v>
      </c>
      <c r="U341" s="23" t="n">
        <v>55.155</v>
      </c>
      <c r="V341" s="6" t="s">
        <v>2616</v>
      </c>
      <c r="W341" s="6" t="s">
        <v>2617</v>
      </c>
      <c r="X341" s="6" t="s">
        <v>2618</v>
      </c>
      <c r="Y341" s="6" t="s">
        <v>86</v>
      </c>
      <c r="Z341" s="6" t="n">
        <v>0</v>
      </c>
      <c r="AA341" s="6" t="n">
        <v>0</v>
      </c>
      <c r="AB341" s="6" t="n">
        <v>1</v>
      </c>
      <c r="AC341" s="6" t="n">
        <v>0</v>
      </c>
      <c r="AD341" s="6" t="n">
        <v>0</v>
      </c>
      <c r="AE341" s="6" t="n">
        <v>0</v>
      </c>
      <c r="AF341" s="6" t="n">
        <v>0</v>
      </c>
      <c r="AG341" s="6" t="n">
        <v>0</v>
      </c>
      <c r="AH341" s="6" t="n">
        <v>1</v>
      </c>
      <c r="AI341" s="6" t="s">
        <v>84</v>
      </c>
    </row>
    <row r="342" customFormat="false" ht="15" hidden="false" customHeight="false" outlineLevel="0" collapsed="false">
      <c r="A342" s="6" t="n">
        <v>341</v>
      </c>
      <c r="B342" s="6" t="s">
        <v>2619</v>
      </c>
      <c r="C342" s="6" t="n">
        <v>7</v>
      </c>
      <c r="D342" s="6" t="s">
        <v>198</v>
      </c>
      <c r="E342" s="6" t="s">
        <v>81</v>
      </c>
      <c r="F342" s="6" t="n">
        <v>2</v>
      </c>
      <c r="G342" s="6" t="n">
        <v>33</v>
      </c>
      <c r="H342" s="6" t="s">
        <v>2620</v>
      </c>
      <c r="I342" s="22" t="n">
        <v>577800</v>
      </c>
      <c r="J342" s="22" t="n">
        <v>4000</v>
      </c>
      <c r="K342" s="22" t="n">
        <v>43635</v>
      </c>
      <c r="L342" s="22" t="n">
        <v>625435</v>
      </c>
      <c r="M342" s="6" t="s">
        <v>1042</v>
      </c>
      <c r="N342" s="6" t="s">
        <v>58</v>
      </c>
      <c r="O342" s="6"/>
      <c r="P342" s="6" t="s">
        <v>69</v>
      </c>
      <c r="Q342" s="6" t="str">
        <f aca="false">IF(P342="pass","No","Yes")</f>
        <v>No</v>
      </c>
      <c r="R342" s="6" t="s">
        <v>60</v>
      </c>
      <c r="S342" s="6"/>
      <c r="T342" s="6"/>
      <c r="U342" s="23" t="n">
        <v>31.562</v>
      </c>
      <c r="V342" s="6" t="s">
        <v>2621</v>
      </c>
      <c r="W342" s="6" t="s">
        <v>2622</v>
      </c>
      <c r="X342" s="6" t="s">
        <v>2623</v>
      </c>
      <c r="Y342" s="6" t="s">
        <v>60</v>
      </c>
      <c r="Z342" s="6" t="n">
        <v>0</v>
      </c>
      <c r="AA342" s="6" t="n">
        <v>0</v>
      </c>
      <c r="AB342" s="6" t="n">
        <v>0</v>
      </c>
      <c r="AC342" s="6" t="n">
        <v>0</v>
      </c>
      <c r="AD342" s="6" t="n">
        <v>0</v>
      </c>
      <c r="AE342" s="6" t="n">
        <v>0</v>
      </c>
      <c r="AF342" s="6" t="n">
        <v>0</v>
      </c>
      <c r="AG342" s="6" t="n">
        <v>0</v>
      </c>
      <c r="AH342" s="6" t="n">
        <v>0</v>
      </c>
      <c r="AI342" s="6" t="s">
        <v>84</v>
      </c>
    </row>
    <row r="343" customFormat="false" ht="15" hidden="false" customHeight="false" outlineLevel="0" collapsed="false">
      <c r="A343" s="6" t="n">
        <v>342</v>
      </c>
      <c r="B343" s="6" t="s">
        <v>2624</v>
      </c>
      <c r="C343" s="6" t="n">
        <v>7</v>
      </c>
      <c r="D343" s="6" t="s">
        <v>142</v>
      </c>
      <c r="E343" s="6" t="s">
        <v>74</v>
      </c>
      <c r="F343" s="6" t="n">
        <v>4</v>
      </c>
      <c r="G343" s="6" t="n">
        <v>306</v>
      </c>
      <c r="H343" s="6" t="s">
        <v>2625</v>
      </c>
      <c r="I343" s="22" t="n">
        <v>3917100</v>
      </c>
      <c r="J343" s="22" t="n">
        <v>9000</v>
      </c>
      <c r="K343" s="22" t="n">
        <v>294457.5</v>
      </c>
      <c r="L343" s="22" t="n">
        <v>4220557.5</v>
      </c>
      <c r="M343" s="6" t="s">
        <v>927</v>
      </c>
      <c r="N343" s="6" t="s">
        <v>58</v>
      </c>
      <c r="O343" s="6"/>
      <c r="P343" s="6" t="s">
        <v>69</v>
      </c>
      <c r="Q343" s="6" t="str">
        <f aca="false">IF(P343="pass","No","Yes")</f>
        <v>No</v>
      </c>
      <c r="R343" s="6" t="s">
        <v>60</v>
      </c>
      <c r="S343" s="6"/>
      <c r="T343" s="6"/>
      <c r="U343" s="23" t="n">
        <v>67.605</v>
      </c>
      <c r="V343" s="6" t="s">
        <v>2626</v>
      </c>
      <c r="W343" s="6" t="s">
        <v>2627</v>
      </c>
      <c r="X343" s="6" t="s">
        <v>2628</v>
      </c>
      <c r="Y343" s="6" t="s">
        <v>60</v>
      </c>
      <c r="Z343" s="6" t="n">
        <v>0</v>
      </c>
      <c r="AA343" s="6" t="n">
        <v>0</v>
      </c>
      <c r="AB343" s="6" t="n">
        <v>0</v>
      </c>
      <c r="AC343" s="6" t="n">
        <v>0</v>
      </c>
      <c r="AD343" s="6" t="n">
        <v>0</v>
      </c>
      <c r="AE343" s="6" t="n">
        <v>0</v>
      </c>
      <c r="AF343" s="6" t="n">
        <v>0</v>
      </c>
      <c r="AG343" s="6" t="n">
        <v>0</v>
      </c>
      <c r="AH343" s="6" t="n">
        <v>0</v>
      </c>
      <c r="AI343" s="6" t="s">
        <v>84</v>
      </c>
    </row>
    <row r="344" customFormat="false" ht="15" hidden="false" customHeight="false" outlineLevel="0" collapsed="false">
      <c r="A344" s="6" t="n">
        <v>343</v>
      </c>
      <c r="B344" s="6" t="s">
        <v>2629</v>
      </c>
      <c r="C344" s="6" t="n">
        <v>7</v>
      </c>
      <c r="D344" s="6" t="s">
        <v>166</v>
      </c>
      <c r="E344" s="6" t="s">
        <v>74</v>
      </c>
      <c r="F344" s="6" t="n">
        <v>3</v>
      </c>
      <c r="G344" s="6" t="n">
        <v>136</v>
      </c>
      <c r="H344" s="6" t="s">
        <v>2630</v>
      </c>
      <c r="I344" s="22" t="n">
        <v>1749200</v>
      </c>
      <c r="J344" s="22" t="n">
        <v>9000</v>
      </c>
      <c r="K344" s="22" t="n">
        <v>131865</v>
      </c>
      <c r="L344" s="22" t="n">
        <v>1890065</v>
      </c>
      <c r="M344" s="6" t="s">
        <v>57</v>
      </c>
      <c r="N344" s="6" t="s">
        <v>58</v>
      </c>
      <c r="O344" s="6"/>
      <c r="P344" s="6" t="s">
        <v>59</v>
      </c>
      <c r="Q344" s="6" t="str">
        <f aca="false">IF(P344="pass","No","Yes")</f>
        <v>Yes</v>
      </c>
      <c r="R344" s="6" t="s">
        <v>60</v>
      </c>
      <c r="S344" s="6" t="s">
        <v>915</v>
      </c>
      <c r="T344" s="6" t="s">
        <v>2631</v>
      </c>
      <c r="U344" s="23" t="n">
        <v>55.955</v>
      </c>
      <c r="V344" s="6" t="s">
        <v>2632</v>
      </c>
      <c r="W344" s="6" t="s">
        <v>2633</v>
      </c>
      <c r="X344" s="6" t="s">
        <v>2634</v>
      </c>
      <c r="Y344" s="6" t="s">
        <v>60</v>
      </c>
      <c r="Z344" s="6" t="n">
        <v>0</v>
      </c>
      <c r="AA344" s="6" t="n">
        <v>0</v>
      </c>
      <c r="AB344" s="6" t="n">
        <v>0</v>
      </c>
      <c r="AC344" s="6" t="n">
        <v>0</v>
      </c>
      <c r="AD344" s="6" t="n">
        <v>0</v>
      </c>
      <c r="AE344" s="6" t="n">
        <v>0</v>
      </c>
      <c r="AF344" s="6" t="n">
        <v>0</v>
      </c>
      <c r="AG344" s="6" t="n">
        <v>0</v>
      </c>
      <c r="AH344" s="6" t="n">
        <v>1</v>
      </c>
      <c r="AI344" s="6" t="s">
        <v>84</v>
      </c>
    </row>
    <row r="345" customFormat="false" ht="15" hidden="false" customHeight="false" outlineLevel="0" collapsed="false">
      <c r="A345" s="6" t="n">
        <v>344</v>
      </c>
      <c r="B345" s="6" t="s">
        <v>2635</v>
      </c>
      <c r="C345" s="6" t="n">
        <v>7</v>
      </c>
      <c r="D345" s="6" t="s">
        <v>166</v>
      </c>
      <c r="E345" s="6" t="s">
        <v>74</v>
      </c>
      <c r="F345" s="6" t="n">
        <v>3</v>
      </c>
      <c r="G345" s="6" t="n">
        <v>136</v>
      </c>
      <c r="H345" s="6" t="s">
        <v>2630</v>
      </c>
      <c r="I345" s="22" t="n">
        <v>1749200</v>
      </c>
      <c r="J345" s="22" t="n">
        <v>9000</v>
      </c>
      <c r="K345" s="22" t="n">
        <v>131865</v>
      </c>
      <c r="L345" s="22" t="n">
        <v>1890065</v>
      </c>
      <c r="M345" s="6" t="s">
        <v>97</v>
      </c>
      <c r="N345" s="6" t="s">
        <v>84</v>
      </c>
      <c r="O345" s="6" t="s">
        <v>1185</v>
      </c>
      <c r="P345" s="6" t="s">
        <v>59</v>
      </c>
      <c r="Q345" s="6" t="str">
        <f aca="false">IF(P345="pass","No","Yes")</f>
        <v>Yes</v>
      </c>
      <c r="R345" s="6" t="s">
        <v>98</v>
      </c>
      <c r="S345" s="6" t="s">
        <v>1185</v>
      </c>
      <c r="T345" s="6" t="s">
        <v>2636</v>
      </c>
      <c r="U345" s="23" t="n">
        <v>53.599</v>
      </c>
      <c r="V345" s="6" t="s">
        <v>2637</v>
      </c>
      <c r="W345" s="6"/>
      <c r="X345" s="6" t="s">
        <v>2637</v>
      </c>
      <c r="Y345" s="6" t="s">
        <v>98</v>
      </c>
      <c r="Z345" s="6" t="n">
        <v>0</v>
      </c>
      <c r="AA345" s="6" t="n">
        <v>0</v>
      </c>
      <c r="AB345" s="6" t="n">
        <v>0</v>
      </c>
      <c r="AC345" s="6" t="n">
        <v>0</v>
      </c>
      <c r="AD345" s="6" t="n">
        <v>0</v>
      </c>
      <c r="AE345" s="6" t="n">
        <v>0</v>
      </c>
      <c r="AF345" s="6" t="n">
        <v>0</v>
      </c>
      <c r="AG345" s="6" t="n">
        <v>1</v>
      </c>
      <c r="AH345" s="6" t="n">
        <v>0</v>
      </c>
      <c r="AI345" s="6" t="s">
        <v>84</v>
      </c>
    </row>
    <row r="346" customFormat="false" ht="15" hidden="false" customHeight="false" outlineLevel="0" collapsed="false">
      <c r="A346" s="6" t="n">
        <v>345</v>
      </c>
      <c r="B346" s="6" t="s">
        <v>2638</v>
      </c>
      <c r="C346" s="6" t="n">
        <v>7</v>
      </c>
      <c r="D346" s="6" t="s">
        <v>112</v>
      </c>
      <c r="E346" s="6" t="s">
        <v>146</v>
      </c>
      <c r="F346" s="6" t="n">
        <v>1</v>
      </c>
      <c r="G346" s="6" t="n">
        <v>14</v>
      </c>
      <c r="H346" s="6" t="s">
        <v>2639</v>
      </c>
      <c r="I346" s="22" t="n">
        <v>728000</v>
      </c>
      <c r="J346" s="22" t="n">
        <v>0</v>
      </c>
      <c r="K346" s="22" t="n">
        <v>54600</v>
      </c>
      <c r="L346" s="22" t="n">
        <v>782600</v>
      </c>
      <c r="M346" s="6" t="s">
        <v>148</v>
      </c>
      <c r="N346" s="6" t="s">
        <v>84</v>
      </c>
      <c r="O346" s="6" t="s">
        <v>866</v>
      </c>
      <c r="P346" s="6" t="s">
        <v>85</v>
      </c>
      <c r="Q346" s="6" t="str">
        <f aca="false">IF(P346="pass","No","Yes")</f>
        <v>Yes</v>
      </c>
      <c r="R346" s="6" t="s">
        <v>86</v>
      </c>
      <c r="S346" s="6" t="s">
        <v>866</v>
      </c>
      <c r="T346" s="6" t="s">
        <v>150</v>
      </c>
      <c r="U346" s="23" t="n">
        <v>17.987</v>
      </c>
      <c r="V346" s="6" t="s">
        <v>2640</v>
      </c>
      <c r="W346" s="6" t="s">
        <v>2641</v>
      </c>
      <c r="X346" s="6" t="s">
        <v>2642</v>
      </c>
      <c r="Y346" s="6" t="s">
        <v>86</v>
      </c>
      <c r="Z346" s="6" t="n">
        <v>1</v>
      </c>
      <c r="AA346" s="6" t="n">
        <v>0</v>
      </c>
      <c r="AB346" s="6" t="n">
        <v>0</v>
      </c>
      <c r="AC346" s="6" t="n">
        <v>0</v>
      </c>
      <c r="AD346" s="6" t="n">
        <v>0</v>
      </c>
      <c r="AE346" s="6" t="n">
        <v>0</v>
      </c>
      <c r="AF346" s="6" t="n">
        <v>0</v>
      </c>
      <c r="AG346" s="6" t="n">
        <v>0</v>
      </c>
      <c r="AH346" s="6" t="n">
        <v>0</v>
      </c>
      <c r="AI346" s="6" t="s">
        <v>84</v>
      </c>
    </row>
    <row r="347" customFormat="false" ht="15" hidden="false" customHeight="false" outlineLevel="0" collapsed="false">
      <c r="A347" s="6" t="n">
        <v>346</v>
      </c>
      <c r="B347" s="6" t="s">
        <v>2643</v>
      </c>
      <c r="C347" s="6" t="n">
        <v>7</v>
      </c>
      <c r="D347" s="6" t="s">
        <v>127</v>
      </c>
      <c r="E347" s="6" t="s">
        <v>55</v>
      </c>
      <c r="F347" s="6" t="n">
        <v>4</v>
      </c>
      <c r="G347" s="6" t="n">
        <v>67</v>
      </c>
      <c r="H347" s="6" t="s">
        <v>2644</v>
      </c>
      <c r="I347" s="22" t="n">
        <v>1591000</v>
      </c>
      <c r="J347" s="22" t="n">
        <v>6000</v>
      </c>
      <c r="K347" s="22" t="n">
        <v>119775</v>
      </c>
      <c r="L347" s="22" t="n">
        <v>1716775</v>
      </c>
      <c r="M347" s="6" t="s">
        <v>132</v>
      </c>
      <c r="N347" s="6" t="s">
        <v>84</v>
      </c>
      <c r="O347" s="6" t="s">
        <v>879</v>
      </c>
      <c r="P347" s="6" t="s">
        <v>85</v>
      </c>
      <c r="Q347" s="6" t="str">
        <f aca="false">IF(P347="pass","No","Yes")</f>
        <v>Yes</v>
      </c>
      <c r="R347" s="6" t="s">
        <v>86</v>
      </c>
      <c r="S347" s="6" t="s">
        <v>880</v>
      </c>
      <c r="T347" s="6" t="s">
        <v>134</v>
      </c>
      <c r="U347" s="23" t="n">
        <v>57.035</v>
      </c>
      <c r="V347" s="6" t="s">
        <v>2645</v>
      </c>
      <c r="W347" s="6" t="s">
        <v>2646</v>
      </c>
      <c r="X347" s="6" t="s">
        <v>2647</v>
      </c>
      <c r="Y347" s="6" t="s">
        <v>86</v>
      </c>
      <c r="Z347" s="6" t="n">
        <v>0</v>
      </c>
      <c r="AA347" s="6" t="n">
        <v>1</v>
      </c>
      <c r="AB347" s="6" t="n">
        <v>0</v>
      </c>
      <c r="AC347" s="6" t="n">
        <v>1</v>
      </c>
      <c r="AD347" s="6" t="n">
        <v>0</v>
      </c>
      <c r="AE347" s="6" t="n">
        <v>0</v>
      </c>
      <c r="AF347" s="6" t="n">
        <v>0</v>
      </c>
      <c r="AG347" s="6" t="n">
        <v>0</v>
      </c>
      <c r="AH347" s="6" t="n">
        <v>0</v>
      </c>
      <c r="AI347" s="6" t="s">
        <v>84</v>
      </c>
    </row>
    <row r="348" customFormat="false" ht="15" hidden="false" customHeight="false" outlineLevel="0" collapsed="false">
      <c r="A348" s="6" t="n">
        <v>347</v>
      </c>
      <c r="B348" s="6" t="s">
        <v>2648</v>
      </c>
      <c r="C348" s="6" t="n">
        <v>7</v>
      </c>
      <c r="D348" s="6" t="s">
        <v>166</v>
      </c>
      <c r="E348" s="6" t="s">
        <v>74</v>
      </c>
      <c r="F348" s="6" t="n">
        <v>2</v>
      </c>
      <c r="G348" s="6" t="n">
        <v>11</v>
      </c>
      <c r="H348" s="6" t="s">
        <v>2649</v>
      </c>
      <c r="I348" s="22" t="n">
        <v>530000</v>
      </c>
      <c r="J348" s="22" t="n">
        <v>9000</v>
      </c>
      <c r="K348" s="22" t="n">
        <v>40425</v>
      </c>
      <c r="L348" s="22" t="n">
        <v>579425</v>
      </c>
      <c r="M348" s="6" t="s">
        <v>224</v>
      </c>
      <c r="N348" s="6" t="s">
        <v>84</v>
      </c>
      <c r="O348" s="6" t="s">
        <v>866</v>
      </c>
      <c r="P348" s="6" t="s">
        <v>85</v>
      </c>
      <c r="Q348" s="6" t="str">
        <f aca="false">IF(P348="pass","No","Yes")</f>
        <v>Yes</v>
      </c>
      <c r="R348" s="6" t="s">
        <v>86</v>
      </c>
      <c r="S348" s="6" t="s">
        <v>866</v>
      </c>
      <c r="T348" s="6" t="s">
        <v>225</v>
      </c>
      <c r="U348" s="23" t="n">
        <v>29.528</v>
      </c>
      <c r="V348" s="6" t="s">
        <v>2650</v>
      </c>
      <c r="W348" s="6" t="s">
        <v>2651</v>
      </c>
      <c r="X348" s="6" t="s">
        <v>2652</v>
      </c>
      <c r="Y348" s="6" t="s">
        <v>86</v>
      </c>
      <c r="Z348" s="6" t="n">
        <v>1</v>
      </c>
      <c r="AA348" s="6" t="n">
        <v>0</v>
      </c>
      <c r="AB348" s="6" t="n">
        <v>0</v>
      </c>
      <c r="AC348" s="6" t="n">
        <v>0</v>
      </c>
      <c r="AD348" s="6" t="n">
        <v>0</v>
      </c>
      <c r="AE348" s="6" t="n">
        <v>0</v>
      </c>
      <c r="AF348" s="6" t="n">
        <v>0</v>
      </c>
      <c r="AG348" s="6" t="n">
        <v>0</v>
      </c>
      <c r="AH348" s="6" t="n">
        <v>0</v>
      </c>
      <c r="AI348" s="6" t="s">
        <v>58</v>
      </c>
    </row>
    <row r="349" customFormat="false" ht="15" hidden="false" customHeight="false" outlineLevel="0" collapsed="false">
      <c r="A349" s="6" t="n">
        <v>348</v>
      </c>
      <c r="B349" s="6" t="s">
        <v>2653</v>
      </c>
      <c r="C349" s="6" t="n">
        <v>7</v>
      </c>
      <c r="D349" s="6" t="s">
        <v>100</v>
      </c>
      <c r="E349" s="6" t="s">
        <v>67</v>
      </c>
      <c r="F349" s="6" t="n">
        <v>3</v>
      </c>
      <c r="G349" s="6" t="n">
        <v>92</v>
      </c>
      <c r="H349" s="6" t="s">
        <v>2654</v>
      </c>
      <c r="I349" s="22" t="n">
        <v>1251800</v>
      </c>
      <c r="J349" s="22" t="n">
        <v>4500</v>
      </c>
      <c r="K349" s="22" t="n">
        <v>94222.5</v>
      </c>
      <c r="L349" s="22" t="n">
        <v>1350522.5</v>
      </c>
      <c r="M349" s="6" t="s">
        <v>984</v>
      </c>
      <c r="N349" s="6" t="s">
        <v>84</v>
      </c>
      <c r="O349" s="6" t="s">
        <v>985</v>
      </c>
      <c r="P349" s="6" t="s">
        <v>85</v>
      </c>
      <c r="Q349" s="6" t="str">
        <f aca="false">IF(P349="pass","No","Yes")</f>
        <v>Yes</v>
      </c>
      <c r="R349" s="6" t="s">
        <v>86</v>
      </c>
      <c r="S349" s="6" t="s">
        <v>985</v>
      </c>
      <c r="T349" s="6" t="s">
        <v>2655</v>
      </c>
      <c r="U349" s="23" t="n">
        <v>57.874</v>
      </c>
      <c r="V349" s="6" t="s">
        <v>2656</v>
      </c>
      <c r="W349" s="6" t="s">
        <v>2657</v>
      </c>
      <c r="X349" s="6" t="s">
        <v>2658</v>
      </c>
      <c r="Y349" s="6" t="s">
        <v>86</v>
      </c>
      <c r="Z349" s="6" t="n">
        <v>0</v>
      </c>
      <c r="AA349" s="6" t="n">
        <v>0</v>
      </c>
      <c r="AB349" s="6" t="n">
        <v>0</v>
      </c>
      <c r="AC349" s="6" t="n">
        <v>0</v>
      </c>
      <c r="AD349" s="6" t="n">
        <v>0</v>
      </c>
      <c r="AE349" s="6" t="n">
        <v>1</v>
      </c>
      <c r="AF349" s="6" t="n">
        <v>0</v>
      </c>
      <c r="AG349" s="6" t="n">
        <v>0</v>
      </c>
      <c r="AH349" s="6" t="n">
        <v>0</v>
      </c>
      <c r="AI349" s="6" t="s">
        <v>84</v>
      </c>
    </row>
    <row r="350" customFormat="false" ht="15" hidden="false" customHeight="false" outlineLevel="0" collapsed="false">
      <c r="A350" s="6" t="n">
        <v>349</v>
      </c>
      <c r="B350" s="6" t="s">
        <v>2659</v>
      </c>
      <c r="C350" s="6" t="n">
        <v>7</v>
      </c>
      <c r="D350" s="6" t="s">
        <v>186</v>
      </c>
      <c r="E350" s="6" t="s">
        <v>123</v>
      </c>
      <c r="F350" s="6" t="n">
        <v>2</v>
      </c>
      <c r="G350" s="6" t="n">
        <v>80</v>
      </c>
      <c r="H350" s="6" t="s">
        <v>2660</v>
      </c>
      <c r="I350" s="22" t="n">
        <v>706000</v>
      </c>
      <c r="J350" s="22" t="n">
        <v>5000</v>
      </c>
      <c r="K350" s="22" t="n">
        <v>53325</v>
      </c>
      <c r="L350" s="22" t="n">
        <v>764325</v>
      </c>
      <c r="M350" s="6" t="s">
        <v>171</v>
      </c>
      <c r="N350" s="6" t="s">
        <v>84</v>
      </c>
      <c r="O350" s="6" t="s">
        <v>892</v>
      </c>
      <c r="P350" s="6" t="s">
        <v>85</v>
      </c>
      <c r="Q350" s="6" t="str">
        <f aca="false">IF(P350="pass","No","Yes")</f>
        <v>Yes</v>
      </c>
      <c r="R350" s="6" t="s">
        <v>86</v>
      </c>
      <c r="S350" s="6" t="s">
        <v>893</v>
      </c>
      <c r="T350" s="6" t="s">
        <v>2661</v>
      </c>
      <c r="U350" s="23" t="n">
        <v>45.162</v>
      </c>
      <c r="V350" s="6" t="s">
        <v>2662</v>
      </c>
      <c r="W350" s="6" t="s">
        <v>2663</v>
      </c>
      <c r="X350" s="6" t="s">
        <v>2664</v>
      </c>
      <c r="Y350" s="6" t="s">
        <v>86</v>
      </c>
      <c r="Z350" s="6" t="n">
        <v>0</v>
      </c>
      <c r="AA350" s="6" t="n">
        <v>0</v>
      </c>
      <c r="AB350" s="6" t="n">
        <v>0</v>
      </c>
      <c r="AC350" s="6" t="n">
        <v>1</v>
      </c>
      <c r="AD350" s="6" t="n">
        <v>0</v>
      </c>
      <c r="AE350" s="6" t="n">
        <v>0</v>
      </c>
      <c r="AF350" s="6" t="n">
        <v>0</v>
      </c>
      <c r="AG350" s="6" t="n">
        <v>0</v>
      </c>
      <c r="AH350" s="6" t="n">
        <v>1</v>
      </c>
      <c r="AI350" s="6" t="s">
        <v>84</v>
      </c>
    </row>
    <row r="351" customFormat="false" ht="15" hidden="false" customHeight="false" outlineLevel="0" collapsed="false">
      <c r="A351" s="6" t="n">
        <v>350</v>
      </c>
      <c r="B351" s="6" t="s">
        <v>2665</v>
      </c>
      <c r="C351" s="6" t="n">
        <v>7</v>
      </c>
      <c r="D351" s="6" t="s">
        <v>105</v>
      </c>
      <c r="E351" s="6" t="s">
        <v>81</v>
      </c>
      <c r="F351" s="6" t="n">
        <v>2</v>
      </c>
      <c r="G351" s="6" t="n">
        <v>4</v>
      </c>
      <c r="H351" s="6" t="s">
        <v>2666</v>
      </c>
      <c r="I351" s="22" t="n">
        <v>152000</v>
      </c>
      <c r="J351" s="22" t="n">
        <v>4000</v>
      </c>
      <c r="K351" s="22" t="n">
        <v>11700</v>
      </c>
      <c r="L351" s="22" t="n">
        <v>167700</v>
      </c>
      <c r="M351" s="6" t="s">
        <v>272</v>
      </c>
      <c r="N351" s="6" t="s">
        <v>84</v>
      </c>
      <c r="O351" s="6" t="s">
        <v>879</v>
      </c>
      <c r="P351" s="6" t="s">
        <v>85</v>
      </c>
      <c r="Q351" s="6" t="str">
        <f aca="false">IF(P351="pass","No","Yes")</f>
        <v>Yes</v>
      </c>
      <c r="R351" s="6" t="s">
        <v>86</v>
      </c>
      <c r="S351" s="6" t="s">
        <v>879</v>
      </c>
      <c r="T351" s="6" t="s">
        <v>2667</v>
      </c>
      <c r="U351" s="23" t="n">
        <v>18.56</v>
      </c>
      <c r="V351" s="6" t="s">
        <v>2668</v>
      </c>
      <c r="W351" s="6" t="s">
        <v>2669</v>
      </c>
      <c r="X351" s="6" t="s">
        <v>2670</v>
      </c>
      <c r="Y351" s="6" t="s">
        <v>86</v>
      </c>
      <c r="Z351" s="6" t="n">
        <v>0</v>
      </c>
      <c r="AA351" s="6" t="n">
        <v>1</v>
      </c>
      <c r="AB351" s="6" t="n">
        <v>0</v>
      </c>
      <c r="AC351" s="6" t="n">
        <v>0</v>
      </c>
      <c r="AD351" s="6" t="n">
        <v>0</v>
      </c>
      <c r="AE351" s="6" t="n">
        <v>0</v>
      </c>
      <c r="AF351" s="6" t="n">
        <v>0</v>
      </c>
      <c r="AG351" s="6" t="n">
        <v>0</v>
      </c>
      <c r="AH351" s="6" t="n">
        <v>0</v>
      </c>
      <c r="AI351" s="6" t="s">
        <v>84</v>
      </c>
    </row>
    <row r="352" customFormat="false" ht="15" hidden="false" customHeight="false" outlineLevel="0" collapsed="false">
      <c r="A352" s="6" t="n">
        <v>351</v>
      </c>
      <c r="B352" s="6" t="s">
        <v>2671</v>
      </c>
      <c r="C352" s="6" t="n">
        <v>8</v>
      </c>
      <c r="D352" s="6" t="s">
        <v>186</v>
      </c>
      <c r="E352" s="6" t="s">
        <v>123</v>
      </c>
      <c r="F352" s="6" t="n">
        <v>2</v>
      </c>
      <c r="G352" s="6" t="n">
        <v>10</v>
      </c>
      <c r="H352" s="6" t="s">
        <v>2672</v>
      </c>
      <c r="I352" s="22" t="n">
        <v>310000</v>
      </c>
      <c r="J352" s="22" t="n">
        <v>5000</v>
      </c>
      <c r="K352" s="22" t="n">
        <v>23625</v>
      </c>
      <c r="L352" s="22" t="n">
        <v>338625</v>
      </c>
      <c r="M352" s="6" t="s">
        <v>152</v>
      </c>
      <c r="N352" s="6" t="s">
        <v>84</v>
      </c>
      <c r="O352" s="6" t="s">
        <v>886</v>
      </c>
      <c r="P352" s="6" t="s">
        <v>85</v>
      </c>
      <c r="Q352" s="6" t="str">
        <f aca="false">IF(P352="pass","No","Yes")</f>
        <v>Yes</v>
      </c>
      <c r="R352" s="6" t="s">
        <v>86</v>
      </c>
      <c r="S352" s="6" t="s">
        <v>1479</v>
      </c>
      <c r="T352" s="6" t="s">
        <v>2673</v>
      </c>
      <c r="U352" s="23" t="n">
        <v>17.174</v>
      </c>
      <c r="V352" s="6" t="s">
        <v>2674</v>
      </c>
      <c r="W352" s="6" t="s">
        <v>2675</v>
      </c>
      <c r="X352" s="6" t="s">
        <v>2676</v>
      </c>
      <c r="Y352" s="6" t="s">
        <v>86</v>
      </c>
      <c r="Z352" s="6" t="n">
        <v>0</v>
      </c>
      <c r="AA352" s="6" t="n">
        <v>0</v>
      </c>
      <c r="AB352" s="6" t="n">
        <v>1</v>
      </c>
      <c r="AC352" s="6" t="n">
        <v>0</v>
      </c>
      <c r="AD352" s="6" t="n">
        <v>0</v>
      </c>
      <c r="AE352" s="6" t="n">
        <v>0</v>
      </c>
      <c r="AF352" s="6" t="n">
        <v>0</v>
      </c>
      <c r="AG352" s="6" t="n">
        <v>0</v>
      </c>
      <c r="AH352" s="6" t="n">
        <v>1</v>
      </c>
      <c r="AI352" s="6" t="s">
        <v>84</v>
      </c>
    </row>
    <row r="353" customFormat="false" ht="15" hidden="false" customHeight="false" outlineLevel="0" collapsed="false">
      <c r="A353" s="6" t="n">
        <v>352</v>
      </c>
      <c r="B353" s="6" t="s">
        <v>2677</v>
      </c>
      <c r="C353" s="6" t="n">
        <v>8</v>
      </c>
      <c r="D353" s="6" t="s">
        <v>89</v>
      </c>
      <c r="E353" s="6" t="s">
        <v>67</v>
      </c>
      <c r="F353" s="6" t="n">
        <v>3</v>
      </c>
      <c r="G353" s="6" t="n">
        <v>121</v>
      </c>
      <c r="H353" s="6" t="s">
        <v>2678</v>
      </c>
      <c r="I353" s="22" t="n">
        <v>1346500</v>
      </c>
      <c r="J353" s="22" t="n">
        <v>4500</v>
      </c>
      <c r="K353" s="22" t="n">
        <v>101325</v>
      </c>
      <c r="L353" s="22" t="n">
        <v>1452325</v>
      </c>
      <c r="M353" s="6" t="s">
        <v>132</v>
      </c>
      <c r="N353" s="6" t="s">
        <v>84</v>
      </c>
      <c r="O353" s="6" t="s">
        <v>879</v>
      </c>
      <c r="P353" s="6" t="s">
        <v>85</v>
      </c>
      <c r="Q353" s="6" t="str">
        <f aca="false">IF(P353="pass","No","Yes")</f>
        <v>Yes</v>
      </c>
      <c r="R353" s="6" t="s">
        <v>86</v>
      </c>
      <c r="S353" s="6" t="s">
        <v>880</v>
      </c>
      <c r="T353" s="6" t="s">
        <v>134</v>
      </c>
      <c r="U353" s="23" t="n">
        <v>45.163</v>
      </c>
      <c r="V353" s="6" t="s">
        <v>2679</v>
      </c>
      <c r="W353" s="6" t="s">
        <v>2680</v>
      </c>
      <c r="X353" s="6" t="s">
        <v>2681</v>
      </c>
      <c r="Y353" s="6" t="s">
        <v>86</v>
      </c>
      <c r="Z353" s="6" t="n">
        <v>0</v>
      </c>
      <c r="AA353" s="6" t="n">
        <v>1</v>
      </c>
      <c r="AB353" s="6" t="n">
        <v>0</v>
      </c>
      <c r="AC353" s="6" t="n">
        <v>1</v>
      </c>
      <c r="AD353" s="6" t="n">
        <v>0</v>
      </c>
      <c r="AE353" s="6" t="n">
        <v>0</v>
      </c>
      <c r="AF353" s="6" t="n">
        <v>0</v>
      </c>
      <c r="AG353" s="6" t="n">
        <v>0</v>
      </c>
      <c r="AH353" s="6" t="n">
        <v>0</v>
      </c>
      <c r="AI353" s="6" t="s">
        <v>84</v>
      </c>
    </row>
    <row r="354" customFormat="false" ht="15" hidden="false" customHeight="false" outlineLevel="0" collapsed="false">
      <c r="A354" s="6" t="n">
        <v>353</v>
      </c>
      <c r="B354" s="6" t="s">
        <v>2682</v>
      </c>
      <c r="C354" s="6" t="n">
        <v>8</v>
      </c>
      <c r="D354" s="6" t="s">
        <v>137</v>
      </c>
      <c r="E354" s="6" t="s">
        <v>55</v>
      </c>
      <c r="F354" s="6" t="n">
        <v>2</v>
      </c>
      <c r="G354" s="6" t="n">
        <v>250</v>
      </c>
      <c r="H354" s="6" t="s">
        <v>2683</v>
      </c>
      <c r="I354" s="22" t="n">
        <v>2339000</v>
      </c>
      <c r="J354" s="22" t="n">
        <v>6000</v>
      </c>
      <c r="K354" s="22" t="n">
        <v>175875</v>
      </c>
      <c r="L354" s="22" t="n">
        <v>2520875</v>
      </c>
      <c r="M354" s="6" t="s">
        <v>927</v>
      </c>
      <c r="N354" s="6" t="s">
        <v>58</v>
      </c>
      <c r="O354" s="6"/>
      <c r="P354" s="6" t="s">
        <v>59</v>
      </c>
      <c r="Q354" s="6" t="str">
        <f aca="false">IF(P354="pass","No","Yes")</f>
        <v>Yes</v>
      </c>
      <c r="R354" s="6" t="s">
        <v>60</v>
      </c>
      <c r="S354" s="6" t="s">
        <v>915</v>
      </c>
      <c r="T354" s="6" t="s">
        <v>2684</v>
      </c>
      <c r="U354" s="23" t="n">
        <v>47.204</v>
      </c>
      <c r="V354" s="6" t="s">
        <v>2685</v>
      </c>
      <c r="W354" s="6" t="s">
        <v>2686</v>
      </c>
      <c r="X354" s="6" t="s">
        <v>2687</v>
      </c>
      <c r="Y354" s="6" t="s">
        <v>60</v>
      </c>
      <c r="Z354" s="6" t="n">
        <v>0</v>
      </c>
      <c r="AA354" s="6" t="n">
        <v>0</v>
      </c>
      <c r="AB354" s="6" t="n">
        <v>0</v>
      </c>
      <c r="AC354" s="6" t="n">
        <v>0</v>
      </c>
      <c r="AD354" s="6" t="n">
        <v>0</v>
      </c>
      <c r="AE354" s="6" t="n">
        <v>0</v>
      </c>
      <c r="AF354" s="6" t="n">
        <v>0</v>
      </c>
      <c r="AG354" s="6" t="n">
        <v>0</v>
      </c>
      <c r="AH354" s="6" t="n">
        <v>1</v>
      </c>
      <c r="AI354" s="6" t="s">
        <v>84</v>
      </c>
    </row>
    <row r="355" customFormat="false" ht="15" hidden="false" customHeight="false" outlineLevel="0" collapsed="false">
      <c r="A355" s="6" t="n">
        <v>354</v>
      </c>
      <c r="B355" s="6" t="s">
        <v>2688</v>
      </c>
      <c r="C355" s="6" t="n">
        <v>8</v>
      </c>
      <c r="D355" s="6" t="s">
        <v>191</v>
      </c>
      <c r="E355" s="6" t="s">
        <v>116</v>
      </c>
      <c r="F355" s="6" t="n">
        <v>3</v>
      </c>
      <c r="G355" s="6" t="n">
        <v>94</v>
      </c>
      <c r="H355" s="6" t="s">
        <v>2689</v>
      </c>
      <c r="I355" s="22" t="n">
        <v>1130200</v>
      </c>
      <c r="J355" s="22" t="n">
        <v>15000</v>
      </c>
      <c r="K355" s="22" t="n">
        <v>85890</v>
      </c>
      <c r="L355" s="22" t="n">
        <v>1231090</v>
      </c>
      <c r="M355" s="6" t="s">
        <v>152</v>
      </c>
      <c r="N355" s="6" t="s">
        <v>84</v>
      </c>
      <c r="O355" s="6" t="s">
        <v>886</v>
      </c>
      <c r="P355" s="6" t="s">
        <v>85</v>
      </c>
      <c r="Q355" s="6" t="str">
        <f aca="false">IF(P355="pass","No","Yes")</f>
        <v>Yes</v>
      </c>
      <c r="R355" s="6" t="s">
        <v>86</v>
      </c>
      <c r="S355" s="6" t="s">
        <v>886</v>
      </c>
      <c r="T355" s="6" t="s">
        <v>264</v>
      </c>
      <c r="U355" s="23" t="n">
        <v>31.175</v>
      </c>
      <c r="V355" s="6" t="s">
        <v>2690</v>
      </c>
      <c r="W355" s="6" t="s">
        <v>2691</v>
      </c>
      <c r="X355" s="6" t="s">
        <v>2692</v>
      </c>
      <c r="Y355" s="6" t="s">
        <v>86</v>
      </c>
      <c r="Z355" s="6" t="n">
        <v>0</v>
      </c>
      <c r="AA355" s="6" t="n">
        <v>0</v>
      </c>
      <c r="AB355" s="6" t="n">
        <v>1</v>
      </c>
      <c r="AC355" s="6" t="n">
        <v>0</v>
      </c>
      <c r="AD355" s="6" t="n">
        <v>0</v>
      </c>
      <c r="AE355" s="6" t="n">
        <v>0</v>
      </c>
      <c r="AF355" s="6" t="n">
        <v>0</v>
      </c>
      <c r="AG355" s="6" t="n">
        <v>0</v>
      </c>
      <c r="AH355" s="6" t="n">
        <v>0</v>
      </c>
      <c r="AI355" s="6" t="s">
        <v>84</v>
      </c>
    </row>
    <row r="356" customFormat="false" ht="15" hidden="false" customHeight="false" outlineLevel="0" collapsed="false">
      <c r="A356" s="6" t="n">
        <v>355</v>
      </c>
      <c r="B356" s="6" t="s">
        <v>2693</v>
      </c>
      <c r="C356" s="6" t="n">
        <v>8</v>
      </c>
      <c r="D356" s="6" t="s">
        <v>177</v>
      </c>
      <c r="E356" s="6" t="s">
        <v>81</v>
      </c>
      <c r="F356" s="6" t="n">
        <v>2</v>
      </c>
      <c r="G356" s="6" t="n">
        <v>44</v>
      </c>
      <c r="H356" s="6" t="s">
        <v>2694</v>
      </c>
      <c r="I356" s="22" t="n">
        <v>961400</v>
      </c>
      <c r="J356" s="22" t="n">
        <v>4000</v>
      </c>
      <c r="K356" s="22" t="n">
        <v>72405</v>
      </c>
      <c r="L356" s="22" t="n">
        <v>1037805</v>
      </c>
      <c r="M356" s="6" t="s">
        <v>1042</v>
      </c>
      <c r="N356" s="6" t="s">
        <v>58</v>
      </c>
      <c r="O356" s="6"/>
      <c r="P356" s="6" t="s">
        <v>69</v>
      </c>
      <c r="Q356" s="6" t="str">
        <f aca="false">IF(P356="pass","No","Yes")</f>
        <v>No</v>
      </c>
      <c r="R356" s="6" t="s">
        <v>60</v>
      </c>
      <c r="S356" s="6"/>
      <c r="T356" s="6"/>
      <c r="U356" s="23" t="n">
        <v>34.197</v>
      </c>
      <c r="V356" s="6" t="s">
        <v>2695</v>
      </c>
      <c r="W356" s="6" t="s">
        <v>2696</v>
      </c>
      <c r="X356" s="6" t="s">
        <v>2697</v>
      </c>
      <c r="Y356" s="6" t="s">
        <v>60</v>
      </c>
      <c r="Z356" s="6" t="n">
        <v>0</v>
      </c>
      <c r="AA356" s="6" t="n">
        <v>0</v>
      </c>
      <c r="AB356" s="6" t="n">
        <v>0</v>
      </c>
      <c r="AC356" s="6" t="n">
        <v>0</v>
      </c>
      <c r="AD356" s="6" t="n">
        <v>0</v>
      </c>
      <c r="AE356" s="6" t="n">
        <v>0</v>
      </c>
      <c r="AF356" s="6" t="n">
        <v>0</v>
      </c>
      <c r="AG356" s="6" t="n">
        <v>0</v>
      </c>
      <c r="AH356" s="6" t="n">
        <v>0</v>
      </c>
      <c r="AI356" s="6" t="s">
        <v>84</v>
      </c>
    </row>
    <row r="357" customFormat="false" ht="15" hidden="false" customHeight="false" outlineLevel="0" collapsed="false">
      <c r="A357" s="6" t="n">
        <v>356</v>
      </c>
      <c r="B357" s="6" t="s">
        <v>2698</v>
      </c>
      <c r="C357" s="6" t="n">
        <v>8</v>
      </c>
      <c r="D357" s="6" t="s">
        <v>237</v>
      </c>
      <c r="E357" s="6" t="s">
        <v>116</v>
      </c>
      <c r="F357" s="6" t="n">
        <v>2</v>
      </c>
      <c r="G357" s="6" t="n">
        <v>32</v>
      </c>
      <c r="H357" s="6" t="s">
        <v>2699</v>
      </c>
      <c r="I357" s="22" t="n">
        <v>527500</v>
      </c>
      <c r="J357" s="22" t="n">
        <v>15000</v>
      </c>
      <c r="K357" s="22" t="n">
        <v>40687.5</v>
      </c>
      <c r="L357" s="22" t="n">
        <v>583187.5</v>
      </c>
      <c r="M357" s="6" t="s">
        <v>960</v>
      </c>
      <c r="N357" s="6" t="s">
        <v>84</v>
      </c>
      <c r="O357" s="6" t="s">
        <v>961</v>
      </c>
      <c r="P357" s="6" t="s">
        <v>85</v>
      </c>
      <c r="Q357" s="6" t="str">
        <f aca="false">IF(P357="pass","No","Yes")</f>
        <v>Yes</v>
      </c>
      <c r="R357" s="6" t="s">
        <v>86</v>
      </c>
      <c r="S357" s="6" t="s">
        <v>961</v>
      </c>
      <c r="T357" s="6" t="s">
        <v>962</v>
      </c>
      <c r="U357" s="23" t="n">
        <v>30.456</v>
      </c>
      <c r="V357" s="6" t="s">
        <v>2700</v>
      </c>
      <c r="W357" s="6" t="s">
        <v>2701</v>
      </c>
      <c r="X357" s="6" t="s">
        <v>2702</v>
      </c>
      <c r="Y357" s="6" t="s">
        <v>86</v>
      </c>
      <c r="Z357" s="6" t="n">
        <v>0</v>
      </c>
      <c r="AA357" s="6" t="n">
        <v>0</v>
      </c>
      <c r="AB357" s="6" t="n">
        <v>0</v>
      </c>
      <c r="AC357" s="6" t="n">
        <v>0</v>
      </c>
      <c r="AD357" s="6" t="n">
        <v>1</v>
      </c>
      <c r="AE357" s="6" t="n">
        <v>0</v>
      </c>
      <c r="AF357" s="6" t="n">
        <v>0</v>
      </c>
      <c r="AG357" s="6" t="n">
        <v>0</v>
      </c>
      <c r="AH357" s="6" t="n">
        <v>0</v>
      </c>
      <c r="AI357" s="6" t="s">
        <v>84</v>
      </c>
    </row>
    <row r="358" customFormat="false" ht="15" hidden="false" customHeight="false" outlineLevel="0" collapsed="false">
      <c r="A358" s="6" t="n">
        <v>357</v>
      </c>
      <c r="B358" s="6" t="s">
        <v>2703</v>
      </c>
      <c r="C358" s="6" t="n">
        <v>8</v>
      </c>
      <c r="D358" s="6" t="s">
        <v>105</v>
      </c>
      <c r="E358" s="6" t="s">
        <v>81</v>
      </c>
      <c r="F358" s="6" t="n">
        <v>4</v>
      </c>
      <c r="G358" s="6" t="n">
        <v>85</v>
      </c>
      <c r="H358" s="6" t="s">
        <v>2704</v>
      </c>
      <c r="I358" s="22" t="n">
        <v>909400</v>
      </c>
      <c r="J358" s="22" t="n">
        <v>4000</v>
      </c>
      <c r="K358" s="22" t="n">
        <v>68505</v>
      </c>
      <c r="L358" s="22" t="n">
        <v>981905</v>
      </c>
      <c r="M358" s="6" t="s">
        <v>1009</v>
      </c>
      <c r="N358" s="6" t="s">
        <v>58</v>
      </c>
      <c r="O358" s="6"/>
      <c r="P358" s="6" t="s">
        <v>69</v>
      </c>
      <c r="Q358" s="6" t="str">
        <f aca="false">IF(P358="pass","No","Yes")</f>
        <v>No</v>
      </c>
      <c r="R358" s="6" t="s">
        <v>60</v>
      </c>
      <c r="S358" s="6"/>
      <c r="T358" s="6"/>
      <c r="U358" s="23" t="n">
        <v>72.518</v>
      </c>
      <c r="V358" s="6" t="s">
        <v>2705</v>
      </c>
      <c r="W358" s="6" t="s">
        <v>2706</v>
      </c>
      <c r="X358" s="6" t="s">
        <v>2707</v>
      </c>
      <c r="Y358" s="6" t="s">
        <v>60</v>
      </c>
      <c r="Z358" s="6" t="n">
        <v>0</v>
      </c>
      <c r="AA358" s="6" t="n">
        <v>0</v>
      </c>
      <c r="AB358" s="6" t="n">
        <v>0</v>
      </c>
      <c r="AC358" s="6" t="n">
        <v>0</v>
      </c>
      <c r="AD358" s="6" t="n">
        <v>0</v>
      </c>
      <c r="AE358" s="6" t="n">
        <v>0</v>
      </c>
      <c r="AF358" s="6" t="n">
        <v>0</v>
      </c>
      <c r="AG358" s="6" t="n">
        <v>0</v>
      </c>
      <c r="AH358" s="6" t="n">
        <v>0</v>
      </c>
      <c r="AI358" s="6" t="s">
        <v>84</v>
      </c>
    </row>
    <row r="359" customFormat="false" ht="15" hidden="false" customHeight="false" outlineLevel="0" collapsed="false">
      <c r="A359" s="6" t="n">
        <v>358</v>
      </c>
      <c r="B359" s="6" t="s">
        <v>2708</v>
      </c>
      <c r="C359" s="6" t="n">
        <v>8</v>
      </c>
      <c r="D359" s="6" t="s">
        <v>70</v>
      </c>
      <c r="E359" s="6" t="s">
        <v>74</v>
      </c>
      <c r="F359" s="6" t="n">
        <v>2</v>
      </c>
      <c r="G359" s="6" t="n">
        <v>67</v>
      </c>
      <c r="H359" s="6" t="s">
        <v>2709</v>
      </c>
      <c r="I359" s="22" t="n">
        <v>1186000</v>
      </c>
      <c r="J359" s="22" t="n">
        <v>9000</v>
      </c>
      <c r="K359" s="22" t="n">
        <v>89625</v>
      </c>
      <c r="L359" s="22" t="n">
        <v>1284625</v>
      </c>
      <c r="M359" s="6" t="s">
        <v>94</v>
      </c>
      <c r="N359" s="6" t="s">
        <v>84</v>
      </c>
      <c r="O359" s="6" t="s">
        <v>909</v>
      </c>
      <c r="P359" s="6" t="s">
        <v>85</v>
      </c>
      <c r="Q359" s="6" t="str">
        <f aca="false">IF(P359="pass","No","Yes")</f>
        <v>Yes</v>
      </c>
      <c r="R359" s="6" t="s">
        <v>86</v>
      </c>
      <c r="S359" s="6" t="s">
        <v>909</v>
      </c>
      <c r="T359" s="6" t="s">
        <v>254</v>
      </c>
      <c r="U359" s="23" t="n">
        <v>31.62</v>
      </c>
      <c r="V359" s="6" t="s">
        <v>2710</v>
      </c>
      <c r="W359" s="6" t="s">
        <v>2711</v>
      </c>
      <c r="X359" s="6" t="s">
        <v>2712</v>
      </c>
      <c r="Y359" s="6" t="s">
        <v>86</v>
      </c>
      <c r="Z359" s="6" t="n">
        <v>0</v>
      </c>
      <c r="AA359" s="6" t="n">
        <v>0</v>
      </c>
      <c r="AB359" s="6" t="n">
        <v>0</v>
      </c>
      <c r="AC359" s="6" t="n">
        <v>0</v>
      </c>
      <c r="AD359" s="6" t="n">
        <v>0</v>
      </c>
      <c r="AE359" s="6" t="n">
        <v>0</v>
      </c>
      <c r="AF359" s="6" t="n">
        <v>1</v>
      </c>
      <c r="AG359" s="6" t="n">
        <v>0</v>
      </c>
      <c r="AH359" s="6" t="n">
        <v>0</v>
      </c>
      <c r="AI359" s="6" t="s">
        <v>84</v>
      </c>
    </row>
    <row r="360" customFormat="false" ht="15" hidden="false" customHeight="false" outlineLevel="0" collapsed="false">
      <c r="A360" s="6" t="n">
        <v>359</v>
      </c>
      <c r="B360" s="6" t="s">
        <v>2713</v>
      </c>
      <c r="C360" s="6" t="n">
        <v>8</v>
      </c>
      <c r="D360" s="6" t="s">
        <v>198</v>
      </c>
      <c r="E360" s="6" t="s">
        <v>81</v>
      </c>
      <c r="F360" s="6" t="n">
        <v>4</v>
      </c>
      <c r="G360" s="6" t="n">
        <v>401</v>
      </c>
      <c r="H360" s="6" t="s">
        <v>2714</v>
      </c>
      <c r="I360" s="22" t="n">
        <v>4756100</v>
      </c>
      <c r="J360" s="22" t="n">
        <v>4000</v>
      </c>
      <c r="K360" s="22" t="n">
        <v>357007.5</v>
      </c>
      <c r="L360" s="22" t="n">
        <v>5117107.5</v>
      </c>
      <c r="M360" s="6" t="s">
        <v>171</v>
      </c>
      <c r="N360" s="6" t="s">
        <v>84</v>
      </c>
      <c r="O360" s="6" t="s">
        <v>892</v>
      </c>
      <c r="P360" s="6" t="s">
        <v>85</v>
      </c>
      <c r="Q360" s="6" t="str">
        <f aca="false">IF(P360="pass","No","Yes")</f>
        <v>Yes</v>
      </c>
      <c r="R360" s="6" t="s">
        <v>86</v>
      </c>
      <c r="S360" s="6" t="s">
        <v>893</v>
      </c>
      <c r="T360" s="6" t="s">
        <v>2715</v>
      </c>
      <c r="U360" s="23" t="n">
        <v>84.271</v>
      </c>
      <c r="V360" s="6" t="s">
        <v>2716</v>
      </c>
      <c r="W360" s="6" t="s">
        <v>2717</v>
      </c>
      <c r="X360" s="6" t="s">
        <v>2718</v>
      </c>
      <c r="Y360" s="6" t="s">
        <v>86</v>
      </c>
      <c r="Z360" s="6" t="n">
        <v>0</v>
      </c>
      <c r="AA360" s="6" t="n">
        <v>0</v>
      </c>
      <c r="AB360" s="6" t="n">
        <v>0</v>
      </c>
      <c r="AC360" s="6" t="n">
        <v>1</v>
      </c>
      <c r="AD360" s="6" t="n">
        <v>0</v>
      </c>
      <c r="AE360" s="6" t="n">
        <v>0</v>
      </c>
      <c r="AF360" s="6" t="n">
        <v>0</v>
      </c>
      <c r="AG360" s="6" t="n">
        <v>0</v>
      </c>
      <c r="AH360" s="6" t="n">
        <v>1</v>
      </c>
      <c r="AI360" s="6" t="s">
        <v>84</v>
      </c>
    </row>
    <row r="361" customFormat="false" ht="15" hidden="false" customHeight="false" outlineLevel="0" collapsed="false">
      <c r="A361" s="6" t="n">
        <v>360</v>
      </c>
      <c r="B361" s="6" t="s">
        <v>2719</v>
      </c>
      <c r="C361" s="6" t="n">
        <v>8</v>
      </c>
      <c r="D361" s="6" t="s">
        <v>77</v>
      </c>
      <c r="E361" s="6" t="s">
        <v>81</v>
      </c>
      <c r="F361" s="6" t="n">
        <v>3</v>
      </c>
      <c r="G361" s="6" t="n">
        <v>44</v>
      </c>
      <c r="H361" s="6" t="s">
        <v>2720</v>
      </c>
      <c r="I361" s="22" t="n">
        <v>337200</v>
      </c>
      <c r="J361" s="22" t="n">
        <v>4000</v>
      </c>
      <c r="K361" s="22" t="n">
        <v>25590</v>
      </c>
      <c r="L361" s="22" t="n">
        <v>366790</v>
      </c>
      <c r="M361" s="6" t="s">
        <v>57</v>
      </c>
      <c r="N361" s="6" t="s">
        <v>58</v>
      </c>
      <c r="O361" s="6"/>
      <c r="P361" s="6" t="s">
        <v>69</v>
      </c>
      <c r="Q361" s="6" t="str">
        <f aca="false">IF(P361="pass","No","Yes")</f>
        <v>No</v>
      </c>
      <c r="R361" s="6" t="s">
        <v>60</v>
      </c>
      <c r="S361" s="6"/>
      <c r="T361" s="6"/>
      <c r="U361" s="23" t="n">
        <v>60.844</v>
      </c>
      <c r="V361" s="6" t="s">
        <v>2721</v>
      </c>
      <c r="W361" s="6" t="s">
        <v>2722</v>
      </c>
      <c r="X361" s="6" t="s">
        <v>2723</v>
      </c>
      <c r="Y361" s="6" t="s">
        <v>60</v>
      </c>
      <c r="Z361" s="6" t="n">
        <v>0</v>
      </c>
      <c r="AA361" s="6" t="n">
        <v>0</v>
      </c>
      <c r="AB361" s="6" t="n">
        <v>0</v>
      </c>
      <c r="AC361" s="6" t="n">
        <v>0</v>
      </c>
      <c r="AD361" s="6" t="n">
        <v>0</v>
      </c>
      <c r="AE361" s="6" t="n">
        <v>0</v>
      </c>
      <c r="AF361" s="6" t="n">
        <v>0</v>
      </c>
      <c r="AG361" s="6" t="n">
        <v>0</v>
      </c>
      <c r="AH361" s="6" t="n">
        <v>0</v>
      </c>
      <c r="AI361" s="6" t="s">
        <v>84</v>
      </c>
    </row>
    <row r="362" customFormat="false" ht="15" hidden="false" customHeight="false" outlineLevel="0" collapsed="false">
      <c r="A362" s="6" t="n">
        <v>361</v>
      </c>
      <c r="B362" s="6" t="s">
        <v>2724</v>
      </c>
      <c r="C362" s="6" t="n">
        <v>8</v>
      </c>
      <c r="D362" s="6" t="s">
        <v>51</v>
      </c>
      <c r="E362" s="6" t="s">
        <v>55</v>
      </c>
      <c r="F362" s="6" t="n">
        <v>2</v>
      </c>
      <c r="G362" s="6" t="n">
        <v>5</v>
      </c>
      <c r="H362" s="6" t="s">
        <v>2725</v>
      </c>
      <c r="I362" s="22" t="n">
        <v>74300</v>
      </c>
      <c r="J362" s="22" t="n">
        <v>6000</v>
      </c>
      <c r="K362" s="22" t="n">
        <v>6022.5</v>
      </c>
      <c r="L362" s="22" t="n">
        <v>86322.5</v>
      </c>
      <c r="M362" s="6" t="s">
        <v>1009</v>
      </c>
      <c r="N362" s="6" t="s">
        <v>58</v>
      </c>
      <c r="O362" s="6"/>
      <c r="P362" s="6" t="s">
        <v>69</v>
      </c>
      <c r="Q362" s="6" t="str">
        <f aca="false">IF(P362="pass","No","Yes")</f>
        <v>No</v>
      </c>
      <c r="R362" s="6" t="s">
        <v>60</v>
      </c>
      <c r="S362" s="6"/>
      <c r="T362" s="6"/>
      <c r="U362" s="23" t="n">
        <v>32.131</v>
      </c>
      <c r="V362" s="6" t="s">
        <v>2726</v>
      </c>
      <c r="W362" s="6" t="s">
        <v>2727</v>
      </c>
      <c r="X362" s="6" t="s">
        <v>2728</v>
      </c>
      <c r="Y362" s="6" t="s">
        <v>60</v>
      </c>
      <c r="Z362" s="6" t="n">
        <v>0</v>
      </c>
      <c r="AA362" s="6" t="n">
        <v>0</v>
      </c>
      <c r="AB362" s="6" t="n">
        <v>0</v>
      </c>
      <c r="AC362" s="6" t="n">
        <v>0</v>
      </c>
      <c r="AD362" s="6" t="n">
        <v>0</v>
      </c>
      <c r="AE362" s="6" t="n">
        <v>0</v>
      </c>
      <c r="AF362" s="6" t="n">
        <v>0</v>
      </c>
      <c r="AG362" s="6" t="n">
        <v>0</v>
      </c>
      <c r="AH362" s="6" t="n">
        <v>0</v>
      </c>
      <c r="AI362" s="6" t="s">
        <v>84</v>
      </c>
    </row>
    <row r="363" customFormat="false" ht="15" hidden="false" customHeight="false" outlineLevel="0" collapsed="false">
      <c r="A363" s="6" t="n">
        <v>362</v>
      </c>
      <c r="B363" s="6" t="s">
        <v>2729</v>
      </c>
      <c r="C363" s="6" t="n">
        <v>8</v>
      </c>
      <c r="D363" s="6" t="s">
        <v>119</v>
      </c>
      <c r="E363" s="6" t="s">
        <v>123</v>
      </c>
      <c r="F363" s="6" t="n">
        <v>3</v>
      </c>
      <c r="G363" s="6" t="n">
        <v>194</v>
      </c>
      <c r="H363" s="6" t="s">
        <v>2730</v>
      </c>
      <c r="I363" s="22" t="n">
        <v>1875200</v>
      </c>
      <c r="J363" s="22" t="n">
        <v>5000</v>
      </c>
      <c r="K363" s="22" t="n">
        <v>141015</v>
      </c>
      <c r="L363" s="22" t="n">
        <v>2021215</v>
      </c>
      <c r="M363" s="6" t="s">
        <v>927</v>
      </c>
      <c r="N363" s="6" t="s">
        <v>58</v>
      </c>
      <c r="O363" s="6"/>
      <c r="P363" s="6" t="s">
        <v>59</v>
      </c>
      <c r="Q363" s="6" t="str">
        <f aca="false">IF(P363="pass","No","Yes")</f>
        <v>Yes</v>
      </c>
      <c r="R363" s="6" t="s">
        <v>60</v>
      </c>
      <c r="S363" s="6" t="s">
        <v>915</v>
      </c>
      <c r="T363" s="6" t="s">
        <v>2731</v>
      </c>
      <c r="U363" s="23" t="n">
        <v>59.339</v>
      </c>
      <c r="V363" s="6" t="s">
        <v>2732</v>
      </c>
      <c r="W363" s="6" t="s">
        <v>2733</v>
      </c>
      <c r="X363" s="6" t="s">
        <v>2734</v>
      </c>
      <c r="Y363" s="6" t="s">
        <v>60</v>
      </c>
      <c r="Z363" s="6" t="n">
        <v>0</v>
      </c>
      <c r="AA363" s="6" t="n">
        <v>0</v>
      </c>
      <c r="AB363" s="6" t="n">
        <v>0</v>
      </c>
      <c r="AC363" s="6" t="n">
        <v>0</v>
      </c>
      <c r="AD363" s="6" t="n">
        <v>0</v>
      </c>
      <c r="AE363" s="6" t="n">
        <v>0</v>
      </c>
      <c r="AF363" s="6" t="n">
        <v>0</v>
      </c>
      <c r="AG363" s="6" t="n">
        <v>0</v>
      </c>
      <c r="AH363" s="6" t="n">
        <v>1</v>
      </c>
      <c r="AI363" s="6" t="s">
        <v>84</v>
      </c>
    </row>
    <row r="364" customFormat="false" ht="15" hidden="false" customHeight="false" outlineLevel="0" collapsed="false">
      <c r="A364" s="6" t="n">
        <v>363</v>
      </c>
      <c r="B364" s="6" t="s">
        <v>2735</v>
      </c>
      <c r="C364" s="6" t="n">
        <v>8</v>
      </c>
      <c r="D364" s="6" t="s">
        <v>237</v>
      </c>
      <c r="E364" s="6" t="s">
        <v>116</v>
      </c>
      <c r="F364" s="6" t="n">
        <v>3</v>
      </c>
      <c r="G364" s="6" t="n">
        <v>242</v>
      </c>
      <c r="H364" s="6" t="s">
        <v>2736</v>
      </c>
      <c r="I364" s="22" t="n">
        <v>2266500</v>
      </c>
      <c r="J364" s="22" t="n">
        <v>15000</v>
      </c>
      <c r="K364" s="22" t="n">
        <v>171112.5</v>
      </c>
      <c r="L364" s="22" t="n">
        <v>2452612.5</v>
      </c>
      <c r="M364" s="6" t="s">
        <v>927</v>
      </c>
      <c r="N364" s="6" t="s">
        <v>58</v>
      </c>
      <c r="O364" s="6"/>
      <c r="P364" s="6" t="s">
        <v>59</v>
      </c>
      <c r="Q364" s="6" t="str">
        <f aca="false">IF(P364="pass","No","Yes")</f>
        <v>Yes</v>
      </c>
      <c r="R364" s="6" t="s">
        <v>60</v>
      </c>
      <c r="S364" s="6" t="s">
        <v>915</v>
      </c>
      <c r="T364" s="6" t="s">
        <v>2737</v>
      </c>
      <c r="U364" s="23" t="n">
        <v>74.846</v>
      </c>
      <c r="V364" s="6" t="s">
        <v>2738</v>
      </c>
      <c r="W364" s="6" t="s">
        <v>2739</v>
      </c>
      <c r="X364" s="6" t="s">
        <v>2740</v>
      </c>
      <c r="Y364" s="6" t="s">
        <v>60</v>
      </c>
      <c r="Z364" s="6" t="n">
        <v>0</v>
      </c>
      <c r="AA364" s="6" t="n">
        <v>0</v>
      </c>
      <c r="AB364" s="6" t="n">
        <v>0</v>
      </c>
      <c r="AC364" s="6" t="n">
        <v>0</v>
      </c>
      <c r="AD364" s="6" t="n">
        <v>0</v>
      </c>
      <c r="AE364" s="6" t="n">
        <v>0</v>
      </c>
      <c r="AF364" s="6" t="n">
        <v>0</v>
      </c>
      <c r="AG364" s="6" t="n">
        <v>0</v>
      </c>
      <c r="AH364" s="6" t="n">
        <v>1</v>
      </c>
      <c r="AI364" s="6" t="s">
        <v>84</v>
      </c>
    </row>
    <row r="365" customFormat="false" ht="15" hidden="false" customHeight="false" outlineLevel="0" collapsed="false">
      <c r="A365" s="6" t="n">
        <v>364</v>
      </c>
      <c r="B365" s="6" t="s">
        <v>2741</v>
      </c>
      <c r="C365" s="6" t="n">
        <v>8</v>
      </c>
      <c r="D365" s="6" t="s">
        <v>105</v>
      </c>
      <c r="E365" s="6" t="s">
        <v>81</v>
      </c>
      <c r="F365" s="6" t="n">
        <v>3</v>
      </c>
      <c r="G365" s="6" t="n">
        <v>49</v>
      </c>
      <c r="H365" s="6" t="s">
        <v>2742</v>
      </c>
      <c r="I365" s="22" t="n">
        <v>1131500</v>
      </c>
      <c r="J365" s="22" t="n">
        <v>4000</v>
      </c>
      <c r="K365" s="22" t="n">
        <v>85162.5</v>
      </c>
      <c r="L365" s="22" t="n">
        <v>1220662.5</v>
      </c>
      <c r="M365" s="6" t="s">
        <v>1009</v>
      </c>
      <c r="N365" s="6" t="s">
        <v>58</v>
      </c>
      <c r="O365" s="6"/>
      <c r="P365" s="6" t="s">
        <v>69</v>
      </c>
      <c r="Q365" s="6" t="str">
        <f aca="false">IF(P365="pass","No","Yes")</f>
        <v>No</v>
      </c>
      <c r="R365" s="6" t="s">
        <v>60</v>
      </c>
      <c r="S365" s="6"/>
      <c r="T365" s="6"/>
      <c r="U365" s="23" t="n">
        <v>48.418</v>
      </c>
      <c r="V365" s="6" t="s">
        <v>2743</v>
      </c>
      <c r="W365" s="6" t="s">
        <v>2744</v>
      </c>
      <c r="X365" s="6" t="s">
        <v>2745</v>
      </c>
      <c r="Y365" s="6" t="s">
        <v>60</v>
      </c>
      <c r="Z365" s="6" t="n">
        <v>0</v>
      </c>
      <c r="AA365" s="6" t="n">
        <v>0</v>
      </c>
      <c r="AB365" s="6" t="n">
        <v>0</v>
      </c>
      <c r="AC365" s="6" t="n">
        <v>0</v>
      </c>
      <c r="AD365" s="6" t="n">
        <v>0</v>
      </c>
      <c r="AE365" s="6" t="n">
        <v>0</v>
      </c>
      <c r="AF365" s="6" t="n">
        <v>0</v>
      </c>
      <c r="AG365" s="6" t="n">
        <v>0</v>
      </c>
      <c r="AH365" s="6" t="n">
        <v>0</v>
      </c>
      <c r="AI365" s="6" t="s">
        <v>84</v>
      </c>
    </row>
    <row r="366" customFormat="false" ht="15" hidden="false" customHeight="false" outlineLevel="0" collapsed="false">
      <c r="A366" s="6" t="n">
        <v>365</v>
      </c>
      <c r="B366" s="6" t="s">
        <v>2746</v>
      </c>
      <c r="C366" s="6" t="n">
        <v>8</v>
      </c>
      <c r="D366" s="6" t="s">
        <v>177</v>
      </c>
      <c r="E366" s="6" t="s">
        <v>81</v>
      </c>
      <c r="F366" s="6" t="n">
        <v>2</v>
      </c>
      <c r="G366" s="6" t="n">
        <v>87</v>
      </c>
      <c r="H366" s="6" t="s">
        <v>2747</v>
      </c>
      <c r="I366" s="22" t="n">
        <v>1054500</v>
      </c>
      <c r="J366" s="22" t="n">
        <v>4000</v>
      </c>
      <c r="K366" s="22" t="n">
        <v>79387.5</v>
      </c>
      <c r="L366" s="22" t="n">
        <v>1137887.5</v>
      </c>
      <c r="M366" s="6" t="s">
        <v>224</v>
      </c>
      <c r="N366" s="6" t="s">
        <v>84</v>
      </c>
      <c r="O366" s="6" t="s">
        <v>866</v>
      </c>
      <c r="P366" s="6" t="s">
        <v>85</v>
      </c>
      <c r="Q366" s="6" t="str">
        <f aca="false">IF(P366="pass","No","Yes")</f>
        <v>Yes</v>
      </c>
      <c r="R366" s="6" t="s">
        <v>86</v>
      </c>
      <c r="S366" s="6" t="s">
        <v>866</v>
      </c>
      <c r="T366" s="6" t="s">
        <v>225</v>
      </c>
      <c r="U366" s="23" t="n">
        <v>47.36</v>
      </c>
      <c r="V366" s="6" t="s">
        <v>2748</v>
      </c>
      <c r="W366" s="6" t="s">
        <v>2749</v>
      </c>
      <c r="X366" s="6" t="s">
        <v>2750</v>
      </c>
      <c r="Y366" s="6" t="s">
        <v>86</v>
      </c>
      <c r="Z366" s="6" t="n">
        <v>1</v>
      </c>
      <c r="AA366" s="6" t="n">
        <v>0</v>
      </c>
      <c r="AB366" s="6" t="n">
        <v>0</v>
      </c>
      <c r="AC366" s="6" t="n">
        <v>0</v>
      </c>
      <c r="AD366" s="6" t="n">
        <v>0</v>
      </c>
      <c r="AE366" s="6" t="n">
        <v>0</v>
      </c>
      <c r="AF366" s="6" t="n">
        <v>0</v>
      </c>
      <c r="AG366" s="6" t="n">
        <v>0</v>
      </c>
      <c r="AH366" s="6" t="n">
        <v>0</v>
      </c>
      <c r="AI366" s="6" t="s">
        <v>58</v>
      </c>
    </row>
    <row r="367" customFormat="false" ht="15" hidden="false" customHeight="false" outlineLevel="0" collapsed="false">
      <c r="A367" s="6" t="n">
        <v>366</v>
      </c>
      <c r="B367" s="6" t="s">
        <v>2751</v>
      </c>
      <c r="C367" s="6" t="n">
        <v>8</v>
      </c>
      <c r="D367" s="6" t="s">
        <v>127</v>
      </c>
      <c r="E367" s="6" t="s">
        <v>55</v>
      </c>
      <c r="F367" s="6" t="n">
        <v>1</v>
      </c>
      <c r="G367" s="6" t="n">
        <v>61</v>
      </c>
      <c r="H367" s="6" t="s">
        <v>2752</v>
      </c>
      <c r="I367" s="22" t="n">
        <v>579500</v>
      </c>
      <c r="J367" s="22" t="n">
        <v>6000</v>
      </c>
      <c r="K367" s="22" t="n">
        <v>43912.5</v>
      </c>
      <c r="L367" s="22" t="n">
        <v>629412.5</v>
      </c>
      <c r="M367" s="6" t="s">
        <v>57</v>
      </c>
      <c r="N367" s="6" t="s">
        <v>58</v>
      </c>
      <c r="O367" s="6"/>
      <c r="P367" s="6" t="s">
        <v>69</v>
      </c>
      <c r="Q367" s="6" t="str">
        <f aca="false">IF(P367="pass","No","Yes")</f>
        <v>No</v>
      </c>
      <c r="R367" s="6" t="s">
        <v>60</v>
      </c>
      <c r="S367" s="6"/>
      <c r="T367" s="6"/>
      <c r="U367" s="23" t="n">
        <v>34.622</v>
      </c>
      <c r="V367" s="6" t="s">
        <v>2753</v>
      </c>
      <c r="W367" s="6" t="s">
        <v>2754</v>
      </c>
      <c r="X367" s="6" t="s">
        <v>2755</v>
      </c>
      <c r="Y367" s="6" t="s">
        <v>60</v>
      </c>
      <c r="Z367" s="6" t="n">
        <v>0</v>
      </c>
      <c r="AA367" s="6" t="n">
        <v>0</v>
      </c>
      <c r="AB367" s="6" t="n">
        <v>0</v>
      </c>
      <c r="AC367" s="6" t="n">
        <v>0</v>
      </c>
      <c r="AD367" s="6" t="n">
        <v>0</v>
      </c>
      <c r="AE367" s="6" t="n">
        <v>0</v>
      </c>
      <c r="AF367" s="6" t="n">
        <v>0</v>
      </c>
      <c r="AG367" s="6" t="n">
        <v>0</v>
      </c>
      <c r="AH367" s="6" t="n">
        <v>0</v>
      </c>
      <c r="AI367" s="6" t="s">
        <v>84</v>
      </c>
    </row>
    <row r="368" customFormat="false" ht="15" hidden="false" customHeight="false" outlineLevel="0" collapsed="false">
      <c r="A368" s="6" t="n">
        <v>367</v>
      </c>
      <c r="B368" s="6" t="s">
        <v>2756</v>
      </c>
      <c r="C368" s="6" t="n">
        <v>8</v>
      </c>
      <c r="D368" s="6" t="s">
        <v>89</v>
      </c>
      <c r="E368" s="6" t="s">
        <v>67</v>
      </c>
      <c r="F368" s="6" t="n">
        <v>3</v>
      </c>
      <c r="G368" s="6" t="n">
        <v>59</v>
      </c>
      <c r="H368" s="6" t="s">
        <v>2757</v>
      </c>
      <c r="I368" s="22" t="n">
        <v>1298000</v>
      </c>
      <c r="J368" s="22" t="n">
        <v>4500</v>
      </c>
      <c r="K368" s="22" t="n">
        <v>97687.5</v>
      </c>
      <c r="L368" s="22" t="n">
        <v>1400187.5</v>
      </c>
      <c r="M368" s="6" t="s">
        <v>1042</v>
      </c>
      <c r="N368" s="6" t="s">
        <v>58</v>
      </c>
      <c r="O368" s="6"/>
      <c r="P368" s="6" t="s">
        <v>69</v>
      </c>
      <c r="Q368" s="6" t="str">
        <f aca="false">IF(P368="pass","No","Yes")</f>
        <v>No</v>
      </c>
      <c r="R368" s="6" t="s">
        <v>60</v>
      </c>
      <c r="S368" s="6"/>
      <c r="T368" s="6"/>
      <c r="U368" s="23" t="n">
        <v>46.992</v>
      </c>
      <c r="V368" s="6" t="s">
        <v>2758</v>
      </c>
      <c r="W368" s="6" t="s">
        <v>2759</v>
      </c>
      <c r="X368" s="6" t="s">
        <v>2760</v>
      </c>
      <c r="Y368" s="6" t="s">
        <v>60</v>
      </c>
      <c r="Z368" s="6" t="n">
        <v>0</v>
      </c>
      <c r="AA368" s="6" t="n">
        <v>0</v>
      </c>
      <c r="AB368" s="6" t="n">
        <v>0</v>
      </c>
      <c r="AC368" s="6" t="n">
        <v>0</v>
      </c>
      <c r="AD368" s="6" t="n">
        <v>0</v>
      </c>
      <c r="AE368" s="6" t="n">
        <v>0</v>
      </c>
      <c r="AF368" s="6" t="n">
        <v>0</v>
      </c>
      <c r="AG368" s="6" t="n">
        <v>0</v>
      </c>
      <c r="AH368" s="6" t="n">
        <v>0</v>
      </c>
      <c r="AI368" s="6" t="s">
        <v>84</v>
      </c>
    </row>
    <row r="369" customFormat="false" ht="15" hidden="false" customHeight="false" outlineLevel="0" collapsed="false">
      <c r="A369" s="6" t="n">
        <v>368</v>
      </c>
      <c r="B369" s="6" t="s">
        <v>2761</v>
      </c>
      <c r="C369" s="6" t="n">
        <v>8</v>
      </c>
      <c r="D369" s="6" t="s">
        <v>127</v>
      </c>
      <c r="E369" s="6" t="s">
        <v>55</v>
      </c>
      <c r="F369" s="6" t="n">
        <v>1</v>
      </c>
      <c r="G369" s="6" t="n">
        <v>61</v>
      </c>
      <c r="H369" s="6" t="s">
        <v>2752</v>
      </c>
      <c r="I369" s="22" t="n">
        <v>579500</v>
      </c>
      <c r="J369" s="22" t="n">
        <v>6000</v>
      </c>
      <c r="K369" s="22" t="n">
        <v>43912.5</v>
      </c>
      <c r="L369" s="22" t="n">
        <v>629412.5</v>
      </c>
      <c r="M369" s="6" t="s">
        <v>97</v>
      </c>
      <c r="N369" s="6" t="s">
        <v>84</v>
      </c>
      <c r="O369" s="6" t="s">
        <v>1185</v>
      </c>
      <c r="P369" s="6" t="s">
        <v>59</v>
      </c>
      <c r="Q369" s="6" t="str">
        <f aca="false">IF(P369="pass","No","Yes")</f>
        <v>Yes</v>
      </c>
      <c r="R369" s="6" t="s">
        <v>98</v>
      </c>
      <c r="S369" s="6" t="s">
        <v>1185</v>
      </c>
      <c r="T369" s="6" t="s">
        <v>2762</v>
      </c>
      <c r="U369" s="23" t="n">
        <v>32.115</v>
      </c>
      <c r="V369" s="6" t="s">
        <v>2763</v>
      </c>
      <c r="W369" s="6"/>
      <c r="X369" s="6" t="s">
        <v>2763</v>
      </c>
      <c r="Y369" s="6" t="s">
        <v>98</v>
      </c>
      <c r="Z369" s="6" t="n">
        <v>0</v>
      </c>
      <c r="AA369" s="6" t="n">
        <v>0</v>
      </c>
      <c r="AB369" s="6" t="n">
        <v>0</v>
      </c>
      <c r="AC369" s="6" t="n">
        <v>0</v>
      </c>
      <c r="AD369" s="6" t="n">
        <v>0</v>
      </c>
      <c r="AE369" s="6" t="n">
        <v>0</v>
      </c>
      <c r="AF369" s="6" t="n">
        <v>0</v>
      </c>
      <c r="AG369" s="6" t="n">
        <v>1</v>
      </c>
      <c r="AH369" s="6" t="n">
        <v>0</v>
      </c>
      <c r="AI369" s="6" t="s">
        <v>84</v>
      </c>
    </row>
    <row r="370" customFormat="false" ht="15" hidden="false" customHeight="false" outlineLevel="0" collapsed="false">
      <c r="A370" s="6" t="n">
        <v>369</v>
      </c>
      <c r="B370" s="6" t="s">
        <v>2764</v>
      </c>
      <c r="C370" s="6" t="n">
        <v>8</v>
      </c>
      <c r="D370" s="6" t="s">
        <v>213</v>
      </c>
      <c r="E370" s="6" t="s">
        <v>67</v>
      </c>
      <c r="F370" s="6" t="n">
        <v>3</v>
      </c>
      <c r="G370" s="6" t="n">
        <v>16</v>
      </c>
      <c r="H370" s="6" t="s">
        <v>2765</v>
      </c>
      <c r="I370" s="22" t="n">
        <v>650000</v>
      </c>
      <c r="J370" s="22" t="n">
        <v>4500</v>
      </c>
      <c r="K370" s="22" t="n">
        <v>49087.5</v>
      </c>
      <c r="L370" s="22" t="n">
        <v>703587.5</v>
      </c>
      <c r="M370" s="6" t="s">
        <v>57</v>
      </c>
      <c r="N370" s="6" t="s">
        <v>58</v>
      </c>
      <c r="O370" s="6"/>
      <c r="P370" s="6" t="s">
        <v>69</v>
      </c>
      <c r="Q370" s="6" t="str">
        <f aca="false">IF(P370="pass","No","Yes")</f>
        <v>No</v>
      </c>
      <c r="R370" s="6" t="s">
        <v>60</v>
      </c>
      <c r="S370" s="6"/>
      <c r="T370" s="6"/>
      <c r="U370" s="23" t="n">
        <v>47.017</v>
      </c>
      <c r="V370" s="6" t="s">
        <v>2766</v>
      </c>
      <c r="W370" s="6" t="s">
        <v>2767</v>
      </c>
      <c r="X370" s="6" t="s">
        <v>2768</v>
      </c>
      <c r="Y370" s="6" t="s">
        <v>60</v>
      </c>
      <c r="Z370" s="6" t="n">
        <v>0</v>
      </c>
      <c r="AA370" s="6" t="n">
        <v>0</v>
      </c>
      <c r="AB370" s="6" t="n">
        <v>0</v>
      </c>
      <c r="AC370" s="6" t="n">
        <v>0</v>
      </c>
      <c r="AD370" s="6" t="n">
        <v>0</v>
      </c>
      <c r="AE370" s="6" t="n">
        <v>0</v>
      </c>
      <c r="AF370" s="6" t="n">
        <v>0</v>
      </c>
      <c r="AG370" s="6" t="n">
        <v>0</v>
      </c>
      <c r="AH370" s="6" t="n">
        <v>0</v>
      </c>
      <c r="AI370" s="6" t="s">
        <v>84</v>
      </c>
    </row>
    <row r="371" customFormat="false" ht="15" hidden="false" customHeight="false" outlineLevel="0" collapsed="false">
      <c r="A371" s="6" t="n">
        <v>370</v>
      </c>
      <c r="B371" s="6" t="s">
        <v>2769</v>
      </c>
      <c r="C371" s="6" t="n">
        <v>8</v>
      </c>
      <c r="D371" s="6" t="s">
        <v>100</v>
      </c>
      <c r="E371" s="6" t="s">
        <v>67</v>
      </c>
      <c r="F371" s="6" t="n">
        <v>2</v>
      </c>
      <c r="G371" s="6" t="n">
        <v>12</v>
      </c>
      <c r="H371" s="6" t="s">
        <v>2770</v>
      </c>
      <c r="I371" s="22" t="n">
        <v>388200</v>
      </c>
      <c r="J371" s="22" t="n">
        <v>4500</v>
      </c>
      <c r="K371" s="22" t="n">
        <v>29452.5</v>
      </c>
      <c r="L371" s="22" t="n">
        <v>422152.5</v>
      </c>
      <c r="M371" s="6" t="s">
        <v>57</v>
      </c>
      <c r="N371" s="6" t="s">
        <v>58</v>
      </c>
      <c r="O371" s="6"/>
      <c r="P371" s="6" t="s">
        <v>69</v>
      </c>
      <c r="Q371" s="6" t="str">
        <f aca="false">IF(P371="pass","No","Yes")</f>
        <v>No</v>
      </c>
      <c r="R371" s="6" t="s">
        <v>60</v>
      </c>
      <c r="S371" s="6"/>
      <c r="T371" s="6"/>
      <c r="U371" s="23" t="n">
        <v>35.106</v>
      </c>
      <c r="V371" s="6" t="s">
        <v>2771</v>
      </c>
      <c r="W371" s="6" t="s">
        <v>2772</v>
      </c>
      <c r="X371" s="6" t="s">
        <v>2773</v>
      </c>
      <c r="Y371" s="6" t="s">
        <v>60</v>
      </c>
      <c r="Z371" s="6" t="n">
        <v>0</v>
      </c>
      <c r="AA371" s="6" t="n">
        <v>0</v>
      </c>
      <c r="AB371" s="6" t="n">
        <v>0</v>
      </c>
      <c r="AC371" s="6" t="n">
        <v>0</v>
      </c>
      <c r="AD371" s="6" t="n">
        <v>0</v>
      </c>
      <c r="AE371" s="6" t="n">
        <v>0</v>
      </c>
      <c r="AF371" s="6" t="n">
        <v>0</v>
      </c>
      <c r="AG371" s="6" t="n">
        <v>0</v>
      </c>
      <c r="AH371" s="6" t="n">
        <v>0</v>
      </c>
      <c r="AI371" s="6" t="s">
        <v>84</v>
      </c>
    </row>
    <row r="372" customFormat="false" ht="15" hidden="false" customHeight="false" outlineLevel="0" collapsed="false">
      <c r="A372" s="6" t="n">
        <v>371</v>
      </c>
      <c r="B372" s="6" t="s">
        <v>2774</v>
      </c>
      <c r="C372" s="6" t="n">
        <v>8</v>
      </c>
      <c r="D372" s="6" t="s">
        <v>237</v>
      </c>
      <c r="E372" s="6" t="s">
        <v>116</v>
      </c>
      <c r="F372" s="6" t="n">
        <v>3</v>
      </c>
      <c r="G372" s="6" t="n">
        <v>59</v>
      </c>
      <c r="H372" s="6" t="s">
        <v>2775</v>
      </c>
      <c r="I372" s="22" t="n">
        <v>1253600</v>
      </c>
      <c r="J372" s="22" t="n">
        <v>15000</v>
      </c>
      <c r="K372" s="22" t="n">
        <v>95145</v>
      </c>
      <c r="L372" s="22" t="n">
        <v>1363745</v>
      </c>
      <c r="M372" s="6" t="s">
        <v>57</v>
      </c>
      <c r="N372" s="6" t="s">
        <v>58</v>
      </c>
      <c r="O372" s="6"/>
      <c r="P372" s="6" t="s">
        <v>69</v>
      </c>
      <c r="Q372" s="6" t="str">
        <f aca="false">IF(P372="pass","No","Yes")</f>
        <v>No</v>
      </c>
      <c r="R372" s="6" t="s">
        <v>60</v>
      </c>
      <c r="S372" s="6"/>
      <c r="T372" s="6"/>
      <c r="U372" s="23" t="n">
        <v>63.033</v>
      </c>
      <c r="V372" s="6" t="s">
        <v>2776</v>
      </c>
      <c r="W372" s="6" t="s">
        <v>2777</v>
      </c>
      <c r="X372" s="6" t="s">
        <v>2778</v>
      </c>
      <c r="Y372" s="6" t="s">
        <v>60</v>
      </c>
      <c r="Z372" s="6" t="n">
        <v>0</v>
      </c>
      <c r="AA372" s="6" t="n">
        <v>0</v>
      </c>
      <c r="AB372" s="6" t="n">
        <v>0</v>
      </c>
      <c r="AC372" s="6" t="n">
        <v>0</v>
      </c>
      <c r="AD372" s="6" t="n">
        <v>0</v>
      </c>
      <c r="AE372" s="6" t="n">
        <v>0</v>
      </c>
      <c r="AF372" s="6" t="n">
        <v>0</v>
      </c>
      <c r="AG372" s="6" t="n">
        <v>0</v>
      </c>
      <c r="AH372" s="6" t="n">
        <v>0</v>
      </c>
      <c r="AI372" s="6" t="s">
        <v>84</v>
      </c>
    </row>
    <row r="373" customFormat="false" ht="15" hidden="false" customHeight="false" outlineLevel="0" collapsed="false">
      <c r="A373" s="6" t="n">
        <v>372</v>
      </c>
      <c r="B373" s="6" t="s">
        <v>2779</v>
      </c>
      <c r="C373" s="6" t="n">
        <v>8</v>
      </c>
      <c r="D373" s="6" t="s">
        <v>177</v>
      </c>
      <c r="E373" s="6" t="s">
        <v>81</v>
      </c>
      <c r="F373" s="6" t="n">
        <v>3</v>
      </c>
      <c r="G373" s="6" t="n">
        <v>58</v>
      </c>
      <c r="H373" s="6" t="s">
        <v>2780</v>
      </c>
      <c r="I373" s="22" t="n">
        <v>1235000</v>
      </c>
      <c r="J373" s="22" t="n">
        <v>4000</v>
      </c>
      <c r="K373" s="22" t="n">
        <v>92925</v>
      </c>
      <c r="L373" s="22" t="n">
        <v>1331925</v>
      </c>
      <c r="M373" s="6" t="s">
        <v>57</v>
      </c>
      <c r="N373" s="6" t="s">
        <v>58</v>
      </c>
      <c r="O373" s="6"/>
      <c r="P373" s="6" t="s">
        <v>69</v>
      </c>
      <c r="Q373" s="6" t="str">
        <f aca="false">IF(P373="pass","No","Yes")</f>
        <v>No</v>
      </c>
      <c r="R373" s="6" t="s">
        <v>60</v>
      </c>
      <c r="S373" s="6"/>
      <c r="T373" s="6"/>
      <c r="U373" s="23" t="n">
        <v>46.816</v>
      </c>
      <c r="V373" s="6" t="s">
        <v>2781</v>
      </c>
      <c r="W373" s="6" t="s">
        <v>2782</v>
      </c>
      <c r="X373" s="6" t="s">
        <v>2783</v>
      </c>
      <c r="Y373" s="6" t="s">
        <v>60</v>
      </c>
      <c r="Z373" s="6" t="n">
        <v>0</v>
      </c>
      <c r="AA373" s="6" t="n">
        <v>0</v>
      </c>
      <c r="AB373" s="6" t="n">
        <v>0</v>
      </c>
      <c r="AC373" s="6" t="n">
        <v>0</v>
      </c>
      <c r="AD373" s="6" t="n">
        <v>0</v>
      </c>
      <c r="AE373" s="6" t="n">
        <v>0</v>
      </c>
      <c r="AF373" s="6" t="n">
        <v>0</v>
      </c>
      <c r="AG373" s="6" t="n">
        <v>0</v>
      </c>
      <c r="AH373" s="6" t="n">
        <v>0</v>
      </c>
      <c r="AI373" s="6" t="s">
        <v>84</v>
      </c>
    </row>
    <row r="374" customFormat="false" ht="15" hidden="false" customHeight="false" outlineLevel="0" collapsed="false">
      <c r="A374" s="6" t="n">
        <v>373</v>
      </c>
      <c r="B374" s="6" t="s">
        <v>2784</v>
      </c>
      <c r="C374" s="6" t="n">
        <v>8</v>
      </c>
      <c r="D374" s="6" t="s">
        <v>154</v>
      </c>
      <c r="E374" s="6" t="s">
        <v>123</v>
      </c>
      <c r="F374" s="6" t="n">
        <v>2</v>
      </c>
      <c r="G374" s="6" t="n">
        <v>5</v>
      </c>
      <c r="H374" s="6" t="s">
        <v>2785</v>
      </c>
      <c r="I374" s="22" t="n">
        <v>190000</v>
      </c>
      <c r="J374" s="22" t="n">
        <v>5000</v>
      </c>
      <c r="K374" s="22" t="n">
        <v>14625</v>
      </c>
      <c r="L374" s="22" t="n">
        <v>209625</v>
      </c>
      <c r="M374" s="6" t="s">
        <v>960</v>
      </c>
      <c r="N374" s="6" t="s">
        <v>84</v>
      </c>
      <c r="O374" s="6" t="s">
        <v>961</v>
      </c>
      <c r="P374" s="6" t="s">
        <v>85</v>
      </c>
      <c r="Q374" s="6" t="str">
        <f aca="false">IF(P374="pass","No","Yes")</f>
        <v>Yes</v>
      </c>
      <c r="R374" s="6" t="s">
        <v>86</v>
      </c>
      <c r="S374" s="6" t="s">
        <v>961</v>
      </c>
      <c r="T374" s="6" t="s">
        <v>962</v>
      </c>
      <c r="U374" s="23" t="n">
        <v>33.404</v>
      </c>
      <c r="V374" s="6" t="s">
        <v>2786</v>
      </c>
      <c r="W374" s="6" t="s">
        <v>2787</v>
      </c>
      <c r="X374" s="6" t="s">
        <v>2788</v>
      </c>
      <c r="Y374" s="6" t="s">
        <v>86</v>
      </c>
      <c r="Z374" s="6" t="n">
        <v>0</v>
      </c>
      <c r="AA374" s="6" t="n">
        <v>0</v>
      </c>
      <c r="AB374" s="6" t="n">
        <v>0</v>
      </c>
      <c r="AC374" s="6" t="n">
        <v>0</v>
      </c>
      <c r="AD374" s="6" t="n">
        <v>1</v>
      </c>
      <c r="AE374" s="6" t="n">
        <v>0</v>
      </c>
      <c r="AF374" s="6" t="n">
        <v>0</v>
      </c>
      <c r="AG374" s="6" t="n">
        <v>0</v>
      </c>
      <c r="AH374" s="6" t="n">
        <v>0</v>
      </c>
      <c r="AI374" s="6" t="s">
        <v>84</v>
      </c>
    </row>
    <row r="375" customFormat="false" ht="15" hidden="false" customHeight="false" outlineLevel="0" collapsed="false">
      <c r="A375" s="6" t="n">
        <v>374</v>
      </c>
      <c r="B375" s="6" t="s">
        <v>2789</v>
      </c>
      <c r="C375" s="6" t="n">
        <v>8</v>
      </c>
      <c r="D375" s="6" t="s">
        <v>177</v>
      </c>
      <c r="E375" s="6" t="s">
        <v>81</v>
      </c>
      <c r="F375" s="6" t="n">
        <v>3</v>
      </c>
      <c r="G375" s="6" t="n">
        <v>80</v>
      </c>
      <c r="H375" s="6" t="s">
        <v>2790</v>
      </c>
      <c r="I375" s="22" t="n">
        <v>1216700</v>
      </c>
      <c r="J375" s="22" t="n">
        <v>4000</v>
      </c>
      <c r="K375" s="22" t="n">
        <v>91552.5</v>
      </c>
      <c r="L375" s="22" t="n">
        <v>1312252.5</v>
      </c>
      <c r="M375" s="6" t="s">
        <v>57</v>
      </c>
      <c r="N375" s="6" t="s">
        <v>58</v>
      </c>
      <c r="O375" s="6"/>
      <c r="P375" s="6" t="s">
        <v>69</v>
      </c>
      <c r="Q375" s="6" t="str">
        <f aca="false">IF(P375="pass","No","Yes")</f>
        <v>No</v>
      </c>
      <c r="R375" s="6" t="s">
        <v>60</v>
      </c>
      <c r="S375" s="6"/>
      <c r="T375" s="6"/>
      <c r="U375" s="23" t="n">
        <v>64.659</v>
      </c>
      <c r="V375" s="6" t="s">
        <v>2791</v>
      </c>
      <c r="W375" s="6" t="s">
        <v>2792</v>
      </c>
      <c r="X375" s="6" t="s">
        <v>2793</v>
      </c>
      <c r="Y375" s="6" t="s">
        <v>60</v>
      </c>
      <c r="Z375" s="6" t="n">
        <v>0</v>
      </c>
      <c r="AA375" s="6" t="n">
        <v>0</v>
      </c>
      <c r="AB375" s="6" t="n">
        <v>0</v>
      </c>
      <c r="AC375" s="6" t="n">
        <v>0</v>
      </c>
      <c r="AD375" s="6" t="n">
        <v>0</v>
      </c>
      <c r="AE375" s="6" t="n">
        <v>0</v>
      </c>
      <c r="AF375" s="6" t="n">
        <v>0</v>
      </c>
      <c r="AG375" s="6" t="n">
        <v>0</v>
      </c>
      <c r="AH375" s="6" t="n">
        <v>0</v>
      </c>
      <c r="AI375" s="6" t="s">
        <v>84</v>
      </c>
    </row>
    <row r="376" customFormat="false" ht="15" hidden="false" customHeight="false" outlineLevel="0" collapsed="false">
      <c r="A376" s="6" t="n">
        <v>375</v>
      </c>
      <c r="B376" s="6" t="s">
        <v>2794</v>
      </c>
      <c r="C376" s="6" t="n">
        <v>8</v>
      </c>
      <c r="D376" s="6" t="s">
        <v>198</v>
      </c>
      <c r="E376" s="6" t="s">
        <v>81</v>
      </c>
      <c r="F376" s="6" t="n">
        <v>3</v>
      </c>
      <c r="G376" s="6" t="n">
        <v>55</v>
      </c>
      <c r="H376" s="6" t="s">
        <v>2795</v>
      </c>
      <c r="I376" s="22" t="n">
        <v>796400</v>
      </c>
      <c r="J376" s="22" t="n">
        <v>4000</v>
      </c>
      <c r="K376" s="22" t="n">
        <v>60030</v>
      </c>
      <c r="L376" s="22" t="n">
        <v>860430</v>
      </c>
      <c r="M376" s="6" t="s">
        <v>57</v>
      </c>
      <c r="N376" s="6" t="s">
        <v>58</v>
      </c>
      <c r="O376" s="6"/>
      <c r="P376" s="6" t="s">
        <v>69</v>
      </c>
      <c r="Q376" s="6" t="str">
        <f aca="false">IF(P376="pass","No","Yes")</f>
        <v>No</v>
      </c>
      <c r="R376" s="6" t="s">
        <v>60</v>
      </c>
      <c r="S376" s="6"/>
      <c r="T376" s="6"/>
      <c r="U376" s="23" t="n">
        <v>50.564</v>
      </c>
      <c r="V376" s="6" t="s">
        <v>2796</v>
      </c>
      <c r="W376" s="6" t="s">
        <v>2797</v>
      </c>
      <c r="X376" s="6" t="s">
        <v>2798</v>
      </c>
      <c r="Y376" s="6" t="s">
        <v>60</v>
      </c>
      <c r="Z376" s="6" t="n">
        <v>0</v>
      </c>
      <c r="AA376" s="6" t="n">
        <v>0</v>
      </c>
      <c r="AB376" s="6" t="n">
        <v>0</v>
      </c>
      <c r="AC376" s="6" t="n">
        <v>0</v>
      </c>
      <c r="AD376" s="6" t="n">
        <v>0</v>
      </c>
      <c r="AE376" s="6" t="n">
        <v>0</v>
      </c>
      <c r="AF376" s="6" t="n">
        <v>0</v>
      </c>
      <c r="AG376" s="6" t="n">
        <v>0</v>
      </c>
      <c r="AH376" s="6" t="n">
        <v>0</v>
      </c>
      <c r="AI376" s="6" t="s">
        <v>84</v>
      </c>
    </row>
    <row r="377" customFormat="false" ht="15" hidden="false" customHeight="false" outlineLevel="0" collapsed="false">
      <c r="A377" s="6" t="n">
        <v>376</v>
      </c>
      <c r="B377" s="6" t="s">
        <v>2799</v>
      </c>
      <c r="C377" s="6" t="n">
        <v>8</v>
      </c>
      <c r="D377" s="6" t="s">
        <v>51</v>
      </c>
      <c r="E377" s="6" t="s">
        <v>55</v>
      </c>
      <c r="F377" s="6" t="n">
        <v>2</v>
      </c>
      <c r="G377" s="6" t="n">
        <v>13</v>
      </c>
      <c r="H377" s="6" t="s">
        <v>2800</v>
      </c>
      <c r="I377" s="22" t="n">
        <v>410000</v>
      </c>
      <c r="J377" s="22" t="n">
        <v>6000</v>
      </c>
      <c r="K377" s="22" t="n">
        <v>31200</v>
      </c>
      <c r="L377" s="22" t="n">
        <v>447200</v>
      </c>
      <c r="M377" s="6" t="s">
        <v>1009</v>
      </c>
      <c r="N377" s="6" t="s">
        <v>58</v>
      </c>
      <c r="O377" s="6"/>
      <c r="P377" s="6" t="s">
        <v>69</v>
      </c>
      <c r="Q377" s="6" t="str">
        <f aca="false">IF(P377="pass","No","Yes")</f>
        <v>No</v>
      </c>
      <c r="R377" s="6" t="s">
        <v>60</v>
      </c>
      <c r="S377" s="6"/>
      <c r="T377" s="6"/>
      <c r="U377" s="23" t="n">
        <v>35.132</v>
      </c>
      <c r="V377" s="6" t="s">
        <v>2801</v>
      </c>
      <c r="W377" s="6" t="s">
        <v>2802</v>
      </c>
      <c r="X377" s="6" t="s">
        <v>2803</v>
      </c>
      <c r="Y377" s="6" t="s">
        <v>60</v>
      </c>
      <c r="Z377" s="6" t="n">
        <v>0</v>
      </c>
      <c r="AA377" s="6" t="n">
        <v>0</v>
      </c>
      <c r="AB377" s="6" t="n">
        <v>0</v>
      </c>
      <c r="AC377" s="6" t="n">
        <v>0</v>
      </c>
      <c r="AD377" s="6" t="n">
        <v>0</v>
      </c>
      <c r="AE377" s="6" t="n">
        <v>0</v>
      </c>
      <c r="AF377" s="6" t="n">
        <v>0</v>
      </c>
      <c r="AG377" s="6" t="n">
        <v>0</v>
      </c>
      <c r="AH377" s="6" t="n">
        <v>0</v>
      </c>
      <c r="AI377" s="6" t="s">
        <v>84</v>
      </c>
    </row>
    <row r="378" customFormat="false" ht="15" hidden="false" customHeight="false" outlineLevel="0" collapsed="false">
      <c r="A378" s="6" t="n">
        <v>377</v>
      </c>
      <c r="B378" s="6" t="s">
        <v>2804</v>
      </c>
      <c r="C378" s="6" t="n">
        <v>8</v>
      </c>
      <c r="D378" s="6" t="s">
        <v>186</v>
      </c>
      <c r="E378" s="6" t="s">
        <v>123</v>
      </c>
      <c r="F378" s="6" t="n">
        <v>3</v>
      </c>
      <c r="G378" s="6" t="n">
        <v>281</v>
      </c>
      <c r="H378" s="6" t="s">
        <v>2805</v>
      </c>
      <c r="I378" s="22" t="n">
        <v>3044900</v>
      </c>
      <c r="J378" s="22" t="n">
        <v>5000</v>
      </c>
      <c r="K378" s="22" t="n">
        <v>228742.5</v>
      </c>
      <c r="L378" s="22" t="n">
        <v>3278642.5</v>
      </c>
      <c r="M378" s="6" t="s">
        <v>960</v>
      </c>
      <c r="N378" s="6" t="s">
        <v>84</v>
      </c>
      <c r="O378" s="6" t="s">
        <v>961</v>
      </c>
      <c r="P378" s="6" t="s">
        <v>85</v>
      </c>
      <c r="Q378" s="6" t="str">
        <f aca="false">IF(P378="pass","No","Yes")</f>
        <v>Yes</v>
      </c>
      <c r="R378" s="6" t="s">
        <v>86</v>
      </c>
      <c r="S378" s="6" t="s">
        <v>961</v>
      </c>
      <c r="T378" s="6" t="s">
        <v>962</v>
      </c>
      <c r="U378" s="23" t="n">
        <v>65.138</v>
      </c>
      <c r="V378" s="6" t="s">
        <v>2806</v>
      </c>
      <c r="W378" s="6" t="s">
        <v>2807</v>
      </c>
      <c r="X378" s="6" t="s">
        <v>2808</v>
      </c>
      <c r="Y378" s="6" t="s">
        <v>86</v>
      </c>
      <c r="Z378" s="6" t="n">
        <v>0</v>
      </c>
      <c r="AA378" s="6" t="n">
        <v>0</v>
      </c>
      <c r="AB378" s="6" t="n">
        <v>0</v>
      </c>
      <c r="AC378" s="6" t="n">
        <v>0</v>
      </c>
      <c r="AD378" s="6" t="n">
        <v>1</v>
      </c>
      <c r="AE378" s="6" t="n">
        <v>0</v>
      </c>
      <c r="AF378" s="6" t="n">
        <v>0</v>
      </c>
      <c r="AG378" s="6" t="n">
        <v>0</v>
      </c>
      <c r="AH378" s="6" t="n">
        <v>0</v>
      </c>
      <c r="AI378" s="6" t="s">
        <v>84</v>
      </c>
    </row>
    <row r="379" customFormat="false" ht="15" hidden="false" customHeight="false" outlineLevel="0" collapsed="false">
      <c r="A379" s="6" t="n">
        <v>378</v>
      </c>
      <c r="B379" s="6" t="s">
        <v>2809</v>
      </c>
      <c r="C379" s="6" t="n">
        <v>8</v>
      </c>
      <c r="D379" s="6" t="s">
        <v>63</v>
      </c>
      <c r="E379" s="6" t="s">
        <v>67</v>
      </c>
      <c r="F379" s="6" t="n">
        <v>1</v>
      </c>
      <c r="G379" s="6" t="n">
        <v>55</v>
      </c>
      <c r="H379" s="6" t="s">
        <v>2810</v>
      </c>
      <c r="I379" s="22" t="n">
        <v>396000</v>
      </c>
      <c r="J379" s="22" t="n">
        <v>4500</v>
      </c>
      <c r="K379" s="22" t="n">
        <v>30037.5</v>
      </c>
      <c r="L379" s="22" t="n">
        <v>430537.5</v>
      </c>
      <c r="M379" s="6" t="s">
        <v>984</v>
      </c>
      <c r="N379" s="6" t="s">
        <v>84</v>
      </c>
      <c r="O379" s="6" t="s">
        <v>985</v>
      </c>
      <c r="P379" s="6" t="s">
        <v>85</v>
      </c>
      <c r="Q379" s="6" t="str">
        <f aca="false">IF(P379="pass","No","Yes")</f>
        <v>Yes</v>
      </c>
      <c r="R379" s="6" t="s">
        <v>86</v>
      </c>
      <c r="S379" s="6" t="s">
        <v>985</v>
      </c>
      <c r="T379" s="6" t="s">
        <v>2655</v>
      </c>
      <c r="U379" s="23" t="n">
        <v>34.449</v>
      </c>
      <c r="V379" s="6" t="s">
        <v>2811</v>
      </c>
      <c r="W379" s="6" t="s">
        <v>2812</v>
      </c>
      <c r="X379" s="6" t="s">
        <v>2813</v>
      </c>
      <c r="Y379" s="6" t="s">
        <v>86</v>
      </c>
      <c r="Z379" s="6" t="n">
        <v>0</v>
      </c>
      <c r="AA379" s="6" t="n">
        <v>0</v>
      </c>
      <c r="AB379" s="6" t="n">
        <v>0</v>
      </c>
      <c r="AC379" s="6" t="n">
        <v>0</v>
      </c>
      <c r="AD379" s="6" t="n">
        <v>0</v>
      </c>
      <c r="AE379" s="6" t="n">
        <v>1</v>
      </c>
      <c r="AF379" s="6" t="n">
        <v>0</v>
      </c>
      <c r="AG379" s="6" t="n">
        <v>0</v>
      </c>
      <c r="AH379" s="6" t="n">
        <v>0</v>
      </c>
      <c r="AI379" s="6" t="s">
        <v>84</v>
      </c>
    </row>
    <row r="380" customFormat="false" ht="15" hidden="false" customHeight="false" outlineLevel="0" collapsed="false">
      <c r="A380" s="6" t="n">
        <v>379</v>
      </c>
      <c r="B380" s="6" t="s">
        <v>2814</v>
      </c>
      <c r="C380" s="6" t="n">
        <v>8</v>
      </c>
      <c r="D380" s="6" t="s">
        <v>77</v>
      </c>
      <c r="E380" s="6" t="s">
        <v>81</v>
      </c>
      <c r="F380" s="6" t="n">
        <v>3</v>
      </c>
      <c r="G380" s="6" t="n">
        <v>172</v>
      </c>
      <c r="H380" s="6" t="s">
        <v>2815</v>
      </c>
      <c r="I380" s="22" t="n">
        <v>2454300</v>
      </c>
      <c r="J380" s="22" t="n">
        <v>4000</v>
      </c>
      <c r="K380" s="22" t="n">
        <v>184372.5</v>
      </c>
      <c r="L380" s="22" t="n">
        <v>2642672.5</v>
      </c>
      <c r="M380" s="6" t="s">
        <v>57</v>
      </c>
      <c r="N380" s="6" t="s">
        <v>58</v>
      </c>
      <c r="O380" s="6"/>
      <c r="P380" s="6" t="s">
        <v>59</v>
      </c>
      <c r="Q380" s="6" t="str">
        <f aca="false">IF(P380="pass","No","Yes")</f>
        <v>Yes</v>
      </c>
      <c r="R380" s="6" t="s">
        <v>60</v>
      </c>
      <c r="S380" s="6" t="s">
        <v>915</v>
      </c>
      <c r="T380" s="6" t="s">
        <v>2816</v>
      </c>
      <c r="U380" s="23" t="n">
        <v>65.893</v>
      </c>
      <c r="V380" s="6" t="s">
        <v>2817</v>
      </c>
      <c r="W380" s="6" t="s">
        <v>2818</v>
      </c>
      <c r="X380" s="6" t="s">
        <v>2819</v>
      </c>
      <c r="Y380" s="6" t="s">
        <v>60</v>
      </c>
      <c r="Z380" s="6" t="n">
        <v>0</v>
      </c>
      <c r="AA380" s="6" t="n">
        <v>0</v>
      </c>
      <c r="AB380" s="6" t="n">
        <v>0</v>
      </c>
      <c r="AC380" s="6" t="n">
        <v>0</v>
      </c>
      <c r="AD380" s="6" t="n">
        <v>0</v>
      </c>
      <c r="AE380" s="6" t="n">
        <v>0</v>
      </c>
      <c r="AF380" s="6" t="n">
        <v>0</v>
      </c>
      <c r="AG380" s="6" t="n">
        <v>0</v>
      </c>
      <c r="AH380" s="6" t="n">
        <v>1</v>
      </c>
      <c r="AI380" s="6" t="s">
        <v>84</v>
      </c>
    </row>
    <row r="381" customFormat="false" ht="15" hidden="false" customHeight="false" outlineLevel="0" collapsed="false">
      <c r="A381" s="6" t="n">
        <v>380</v>
      </c>
      <c r="B381" s="6" t="s">
        <v>2820</v>
      </c>
      <c r="C381" s="6" t="n">
        <v>8</v>
      </c>
      <c r="D381" s="6" t="s">
        <v>105</v>
      </c>
      <c r="E381" s="6" t="s">
        <v>81</v>
      </c>
      <c r="F381" s="6" t="n">
        <v>2</v>
      </c>
      <c r="G381" s="6" t="n">
        <v>53</v>
      </c>
      <c r="H381" s="6" t="s">
        <v>2821</v>
      </c>
      <c r="I381" s="22" t="n">
        <v>680000</v>
      </c>
      <c r="J381" s="22" t="n">
        <v>4000</v>
      </c>
      <c r="K381" s="22" t="n">
        <v>51300</v>
      </c>
      <c r="L381" s="22" t="n">
        <v>735300</v>
      </c>
      <c r="M381" s="6" t="s">
        <v>57</v>
      </c>
      <c r="N381" s="6" t="s">
        <v>58</v>
      </c>
      <c r="O381" s="6"/>
      <c r="P381" s="6" t="s">
        <v>69</v>
      </c>
      <c r="Q381" s="6" t="str">
        <f aca="false">IF(P381="pass","No","Yes")</f>
        <v>No</v>
      </c>
      <c r="R381" s="6" t="s">
        <v>60</v>
      </c>
      <c r="S381" s="6"/>
      <c r="T381" s="6"/>
      <c r="U381" s="23" t="n">
        <v>37.819</v>
      </c>
      <c r="V381" s="6" t="s">
        <v>2822</v>
      </c>
      <c r="W381" s="6" t="s">
        <v>2823</v>
      </c>
      <c r="X381" s="6" t="s">
        <v>2824</v>
      </c>
      <c r="Y381" s="6" t="s">
        <v>60</v>
      </c>
      <c r="Z381" s="6" t="n">
        <v>0</v>
      </c>
      <c r="AA381" s="6" t="n">
        <v>0</v>
      </c>
      <c r="AB381" s="6" t="n">
        <v>0</v>
      </c>
      <c r="AC381" s="6" t="n">
        <v>0</v>
      </c>
      <c r="AD381" s="6" t="n">
        <v>0</v>
      </c>
      <c r="AE381" s="6" t="n">
        <v>0</v>
      </c>
      <c r="AF381" s="6" t="n">
        <v>0</v>
      </c>
      <c r="AG381" s="6" t="n">
        <v>0</v>
      </c>
      <c r="AH381" s="6" t="n">
        <v>0</v>
      </c>
      <c r="AI381" s="6" t="s">
        <v>84</v>
      </c>
    </row>
    <row r="382" customFormat="false" ht="15" hidden="false" customHeight="false" outlineLevel="0" collapsed="false">
      <c r="A382" s="6" t="n">
        <v>381</v>
      </c>
      <c r="B382" s="6" t="s">
        <v>2825</v>
      </c>
      <c r="C382" s="6" t="n">
        <v>8</v>
      </c>
      <c r="D382" s="6" t="s">
        <v>237</v>
      </c>
      <c r="E382" s="6" t="s">
        <v>116</v>
      </c>
      <c r="F382" s="6" t="n">
        <v>3</v>
      </c>
      <c r="G382" s="6" t="n">
        <v>99</v>
      </c>
      <c r="H382" s="6" t="s">
        <v>2826</v>
      </c>
      <c r="I382" s="22" t="n">
        <v>884400</v>
      </c>
      <c r="J382" s="22" t="n">
        <v>15000</v>
      </c>
      <c r="K382" s="22" t="n">
        <v>67455</v>
      </c>
      <c r="L382" s="22" t="n">
        <v>966855</v>
      </c>
      <c r="M382" s="6" t="s">
        <v>132</v>
      </c>
      <c r="N382" s="6" t="s">
        <v>84</v>
      </c>
      <c r="O382" s="6" t="s">
        <v>879</v>
      </c>
      <c r="P382" s="6" t="s">
        <v>85</v>
      </c>
      <c r="Q382" s="6" t="str">
        <f aca="false">IF(P382="pass","No","Yes")</f>
        <v>Yes</v>
      </c>
      <c r="R382" s="6" t="s">
        <v>86</v>
      </c>
      <c r="S382" s="6" t="s">
        <v>880</v>
      </c>
      <c r="T382" s="6" t="s">
        <v>134</v>
      </c>
      <c r="U382" s="23" t="n">
        <v>53.25</v>
      </c>
      <c r="V382" s="6" t="s">
        <v>2827</v>
      </c>
      <c r="W382" s="6" t="s">
        <v>2828</v>
      </c>
      <c r="X382" s="6" t="s">
        <v>2829</v>
      </c>
      <c r="Y382" s="6" t="s">
        <v>86</v>
      </c>
      <c r="Z382" s="6" t="n">
        <v>0</v>
      </c>
      <c r="AA382" s="6" t="n">
        <v>1</v>
      </c>
      <c r="AB382" s="6" t="n">
        <v>0</v>
      </c>
      <c r="AC382" s="6" t="n">
        <v>1</v>
      </c>
      <c r="AD382" s="6" t="n">
        <v>0</v>
      </c>
      <c r="AE382" s="6" t="n">
        <v>0</v>
      </c>
      <c r="AF382" s="6" t="n">
        <v>0</v>
      </c>
      <c r="AG382" s="6" t="n">
        <v>0</v>
      </c>
      <c r="AH382" s="6" t="n">
        <v>0</v>
      </c>
      <c r="AI382" s="6" t="s">
        <v>84</v>
      </c>
    </row>
    <row r="383" customFormat="false" ht="15" hidden="false" customHeight="false" outlineLevel="0" collapsed="false">
      <c r="A383" s="6" t="n">
        <v>382</v>
      </c>
      <c r="B383" s="6" t="s">
        <v>2830</v>
      </c>
      <c r="C383" s="6" t="n">
        <v>8</v>
      </c>
      <c r="D383" s="6" t="s">
        <v>186</v>
      </c>
      <c r="E383" s="6" t="s">
        <v>123</v>
      </c>
      <c r="F383" s="6" t="n">
        <v>4</v>
      </c>
      <c r="G383" s="6" t="n">
        <v>135</v>
      </c>
      <c r="H383" s="6" t="s">
        <v>2831</v>
      </c>
      <c r="I383" s="22" t="n">
        <v>2107800</v>
      </c>
      <c r="J383" s="22" t="n">
        <v>5000</v>
      </c>
      <c r="K383" s="22" t="n">
        <v>158460</v>
      </c>
      <c r="L383" s="22" t="n">
        <v>2271260</v>
      </c>
      <c r="M383" s="6" t="s">
        <v>132</v>
      </c>
      <c r="N383" s="6" t="s">
        <v>84</v>
      </c>
      <c r="O383" s="6" t="s">
        <v>879</v>
      </c>
      <c r="P383" s="6" t="s">
        <v>85</v>
      </c>
      <c r="Q383" s="6" t="str">
        <f aca="false">IF(P383="pass","No","Yes")</f>
        <v>Yes</v>
      </c>
      <c r="R383" s="6" t="s">
        <v>86</v>
      </c>
      <c r="S383" s="6" t="s">
        <v>880</v>
      </c>
      <c r="T383" s="6" t="s">
        <v>134</v>
      </c>
      <c r="U383" s="23" t="n">
        <v>53.798</v>
      </c>
      <c r="V383" s="6" t="s">
        <v>2832</v>
      </c>
      <c r="W383" s="6" t="s">
        <v>2833</v>
      </c>
      <c r="X383" s="6" t="s">
        <v>2834</v>
      </c>
      <c r="Y383" s="6" t="s">
        <v>86</v>
      </c>
      <c r="Z383" s="6" t="n">
        <v>0</v>
      </c>
      <c r="AA383" s="6" t="n">
        <v>1</v>
      </c>
      <c r="AB383" s="6" t="n">
        <v>0</v>
      </c>
      <c r="AC383" s="6" t="n">
        <v>1</v>
      </c>
      <c r="AD383" s="6" t="n">
        <v>0</v>
      </c>
      <c r="AE383" s="6" t="n">
        <v>0</v>
      </c>
      <c r="AF383" s="6" t="n">
        <v>0</v>
      </c>
      <c r="AG383" s="6" t="n">
        <v>0</v>
      </c>
      <c r="AH383" s="6" t="n">
        <v>0</v>
      </c>
      <c r="AI383" s="6" t="s">
        <v>84</v>
      </c>
    </row>
    <row r="384" customFormat="false" ht="15" hidden="false" customHeight="false" outlineLevel="0" collapsed="false">
      <c r="A384" s="6" t="n">
        <v>383</v>
      </c>
      <c r="B384" s="6" t="s">
        <v>2835</v>
      </c>
      <c r="C384" s="6" t="n">
        <v>8</v>
      </c>
      <c r="D384" s="6" t="s">
        <v>70</v>
      </c>
      <c r="E384" s="6" t="s">
        <v>74</v>
      </c>
      <c r="F384" s="6" t="n">
        <v>1</v>
      </c>
      <c r="G384" s="6" t="n">
        <v>2</v>
      </c>
      <c r="H384" s="6" t="s">
        <v>2836</v>
      </c>
      <c r="I384" s="22" t="n">
        <v>62000</v>
      </c>
      <c r="J384" s="22" t="n">
        <v>9000</v>
      </c>
      <c r="K384" s="22" t="n">
        <v>5325</v>
      </c>
      <c r="L384" s="22" t="n">
        <v>76325</v>
      </c>
      <c r="M384" s="6" t="s">
        <v>57</v>
      </c>
      <c r="N384" s="6" t="s">
        <v>58</v>
      </c>
      <c r="O384" s="6"/>
      <c r="P384" s="6" t="s">
        <v>69</v>
      </c>
      <c r="Q384" s="6" t="str">
        <f aca="false">IF(P384="pass","No","Yes")</f>
        <v>No</v>
      </c>
      <c r="R384" s="6" t="s">
        <v>60</v>
      </c>
      <c r="S384" s="6"/>
      <c r="T384" s="6"/>
      <c r="U384" s="23" t="n">
        <v>21.042</v>
      </c>
      <c r="V384" s="6" t="s">
        <v>2837</v>
      </c>
      <c r="W384" s="6" t="s">
        <v>2838</v>
      </c>
      <c r="X384" s="6" t="s">
        <v>2839</v>
      </c>
      <c r="Y384" s="6" t="s">
        <v>60</v>
      </c>
      <c r="Z384" s="6" t="n">
        <v>0</v>
      </c>
      <c r="AA384" s="6" t="n">
        <v>0</v>
      </c>
      <c r="AB384" s="6" t="n">
        <v>0</v>
      </c>
      <c r="AC384" s="6" t="n">
        <v>0</v>
      </c>
      <c r="AD384" s="6" t="n">
        <v>0</v>
      </c>
      <c r="AE384" s="6" t="n">
        <v>0</v>
      </c>
      <c r="AF384" s="6" t="n">
        <v>0</v>
      </c>
      <c r="AG384" s="6" t="n">
        <v>0</v>
      </c>
      <c r="AH384" s="6" t="n">
        <v>0</v>
      </c>
      <c r="AI384" s="6" t="s">
        <v>84</v>
      </c>
    </row>
    <row r="385" customFormat="false" ht="15" hidden="false" customHeight="false" outlineLevel="0" collapsed="false">
      <c r="A385" s="6" t="n">
        <v>384</v>
      </c>
      <c r="B385" s="6" t="s">
        <v>2840</v>
      </c>
      <c r="C385" s="6" t="n">
        <v>8</v>
      </c>
      <c r="D385" s="6" t="s">
        <v>213</v>
      </c>
      <c r="E385" s="6" t="s">
        <v>67</v>
      </c>
      <c r="F385" s="6" t="n">
        <v>2</v>
      </c>
      <c r="G385" s="6" t="n">
        <v>1017</v>
      </c>
      <c r="H385" s="6" t="s">
        <v>2841</v>
      </c>
      <c r="I385" s="22" t="n">
        <v>12135000</v>
      </c>
      <c r="J385" s="22" t="n">
        <v>4500</v>
      </c>
      <c r="K385" s="22" t="n">
        <v>910462.5</v>
      </c>
      <c r="L385" s="22" t="n">
        <v>13049962.5</v>
      </c>
      <c r="M385" s="6" t="s">
        <v>159</v>
      </c>
      <c r="N385" s="6" t="s">
        <v>84</v>
      </c>
      <c r="O385" s="6" t="s">
        <v>886</v>
      </c>
      <c r="P385" s="6" t="s">
        <v>85</v>
      </c>
      <c r="Q385" s="6" t="str">
        <f aca="false">IF(P385="pass","No","Yes")</f>
        <v>Yes</v>
      </c>
      <c r="R385" s="6" t="s">
        <v>86</v>
      </c>
      <c r="S385" s="6" t="s">
        <v>934</v>
      </c>
      <c r="T385" s="6" t="s">
        <v>197</v>
      </c>
      <c r="U385" s="23" t="n">
        <v>36.115</v>
      </c>
      <c r="V385" s="6" t="s">
        <v>2842</v>
      </c>
      <c r="W385" s="6" t="s">
        <v>2843</v>
      </c>
      <c r="X385" s="6" t="s">
        <v>2844</v>
      </c>
      <c r="Y385" s="6" t="s">
        <v>86</v>
      </c>
      <c r="Z385" s="6" t="n">
        <v>0</v>
      </c>
      <c r="AA385" s="6" t="n">
        <v>0</v>
      </c>
      <c r="AB385" s="6" t="n">
        <v>1</v>
      </c>
      <c r="AC385" s="6" t="n">
        <v>1</v>
      </c>
      <c r="AD385" s="6" t="n">
        <v>0</v>
      </c>
      <c r="AE385" s="6" t="n">
        <v>0</v>
      </c>
      <c r="AF385" s="6" t="n">
        <v>0</v>
      </c>
      <c r="AG385" s="6" t="n">
        <v>0</v>
      </c>
      <c r="AH385" s="6" t="n">
        <v>0</v>
      </c>
      <c r="AI385" s="6" t="s">
        <v>84</v>
      </c>
    </row>
    <row r="386" customFormat="false" ht="15" hidden="false" customHeight="false" outlineLevel="0" collapsed="false">
      <c r="A386" s="6" t="n">
        <v>385</v>
      </c>
      <c r="B386" s="6" t="s">
        <v>2845</v>
      </c>
      <c r="C386" s="6" t="n">
        <v>8</v>
      </c>
      <c r="D386" s="6" t="s">
        <v>105</v>
      </c>
      <c r="E386" s="6" t="s">
        <v>81</v>
      </c>
      <c r="F386" s="6" t="n">
        <v>1</v>
      </c>
      <c r="G386" s="6" t="n">
        <v>75</v>
      </c>
      <c r="H386" s="6" t="s">
        <v>2846</v>
      </c>
      <c r="I386" s="22" t="n">
        <v>1087500</v>
      </c>
      <c r="J386" s="22" t="n">
        <v>4000</v>
      </c>
      <c r="K386" s="22" t="n">
        <v>81862.5</v>
      </c>
      <c r="L386" s="22" t="n">
        <v>1173362.5</v>
      </c>
      <c r="M386" s="6" t="s">
        <v>57</v>
      </c>
      <c r="N386" s="6" t="s">
        <v>58</v>
      </c>
      <c r="O386" s="6"/>
      <c r="P386" s="6" t="s">
        <v>69</v>
      </c>
      <c r="Q386" s="6" t="str">
        <f aca="false">IF(P386="pass","No","Yes")</f>
        <v>No</v>
      </c>
      <c r="R386" s="6" t="s">
        <v>60</v>
      </c>
      <c r="S386" s="6"/>
      <c r="T386" s="6"/>
      <c r="U386" s="23" t="n">
        <v>22.245</v>
      </c>
      <c r="V386" s="6" t="s">
        <v>2847</v>
      </c>
      <c r="W386" s="6" t="s">
        <v>2848</v>
      </c>
      <c r="X386" s="6" t="s">
        <v>2849</v>
      </c>
      <c r="Y386" s="6" t="s">
        <v>60</v>
      </c>
      <c r="Z386" s="6" t="n">
        <v>0</v>
      </c>
      <c r="AA386" s="6" t="n">
        <v>0</v>
      </c>
      <c r="AB386" s="6" t="n">
        <v>0</v>
      </c>
      <c r="AC386" s="6" t="n">
        <v>0</v>
      </c>
      <c r="AD386" s="6" t="n">
        <v>0</v>
      </c>
      <c r="AE386" s="6" t="n">
        <v>0</v>
      </c>
      <c r="AF386" s="6" t="n">
        <v>0</v>
      </c>
      <c r="AG386" s="6" t="n">
        <v>0</v>
      </c>
      <c r="AH386" s="6" t="n">
        <v>0</v>
      </c>
      <c r="AI386" s="6" t="s">
        <v>84</v>
      </c>
    </row>
    <row r="387" customFormat="false" ht="15" hidden="false" customHeight="false" outlineLevel="0" collapsed="false">
      <c r="A387" s="6" t="n">
        <v>386</v>
      </c>
      <c r="B387" s="6" t="s">
        <v>2850</v>
      </c>
      <c r="C387" s="6" t="n">
        <v>8</v>
      </c>
      <c r="D387" s="6" t="s">
        <v>70</v>
      </c>
      <c r="E387" s="6" t="s">
        <v>74</v>
      </c>
      <c r="F387" s="6" t="n">
        <v>2</v>
      </c>
      <c r="G387" s="6" t="n">
        <v>67</v>
      </c>
      <c r="H387" s="6" t="s">
        <v>2851</v>
      </c>
      <c r="I387" s="22" t="n">
        <v>812300</v>
      </c>
      <c r="J387" s="22" t="n">
        <v>9000</v>
      </c>
      <c r="K387" s="22" t="n">
        <v>61597.5</v>
      </c>
      <c r="L387" s="22" t="n">
        <v>882897.5</v>
      </c>
      <c r="M387" s="6" t="s">
        <v>1009</v>
      </c>
      <c r="N387" s="6" t="s">
        <v>58</v>
      </c>
      <c r="O387" s="6"/>
      <c r="P387" s="6" t="s">
        <v>69</v>
      </c>
      <c r="Q387" s="6" t="str">
        <f aca="false">IF(P387="pass","No","Yes")</f>
        <v>No</v>
      </c>
      <c r="R387" s="6" t="s">
        <v>60</v>
      </c>
      <c r="S387" s="6"/>
      <c r="T387" s="6"/>
      <c r="U387" s="23" t="n">
        <v>36.49</v>
      </c>
      <c r="V387" s="6" t="s">
        <v>2852</v>
      </c>
      <c r="W387" s="6" t="s">
        <v>2853</v>
      </c>
      <c r="X387" s="6" t="s">
        <v>2854</v>
      </c>
      <c r="Y387" s="6" t="s">
        <v>60</v>
      </c>
      <c r="Z387" s="6" t="n">
        <v>0</v>
      </c>
      <c r="AA387" s="6" t="n">
        <v>0</v>
      </c>
      <c r="AB387" s="6" t="n">
        <v>0</v>
      </c>
      <c r="AC387" s="6" t="n">
        <v>0</v>
      </c>
      <c r="AD387" s="6" t="n">
        <v>0</v>
      </c>
      <c r="AE387" s="6" t="n">
        <v>0</v>
      </c>
      <c r="AF387" s="6" t="n">
        <v>0</v>
      </c>
      <c r="AG387" s="6" t="n">
        <v>0</v>
      </c>
      <c r="AH387" s="6" t="n">
        <v>0</v>
      </c>
      <c r="AI387" s="6" t="s">
        <v>84</v>
      </c>
    </row>
    <row r="388" customFormat="false" ht="15" hidden="false" customHeight="false" outlineLevel="0" collapsed="false">
      <c r="A388" s="6" t="n">
        <v>387</v>
      </c>
      <c r="B388" s="6" t="s">
        <v>2855</v>
      </c>
      <c r="C388" s="6" t="n">
        <v>8</v>
      </c>
      <c r="D388" s="6" t="s">
        <v>63</v>
      </c>
      <c r="E388" s="6" t="s">
        <v>67</v>
      </c>
      <c r="F388" s="6" t="n">
        <v>1</v>
      </c>
      <c r="G388" s="6" t="n">
        <v>150</v>
      </c>
      <c r="H388" s="6" t="s">
        <v>2856</v>
      </c>
      <c r="I388" s="22" t="n">
        <v>1425000</v>
      </c>
      <c r="J388" s="22" t="n">
        <v>4500</v>
      </c>
      <c r="K388" s="22" t="n">
        <v>107212.5</v>
      </c>
      <c r="L388" s="22" t="n">
        <v>1536712.5</v>
      </c>
      <c r="M388" s="6" t="s">
        <v>94</v>
      </c>
      <c r="N388" s="6" t="s">
        <v>84</v>
      </c>
      <c r="O388" s="6" t="s">
        <v>909</v>
      </c>
      <c r="P388" s="6" t="s">
        <v>85</v>
      </c>
      <c r="Q388" s="6" t="str">
        <f aca="false">IF(P388="pass","No","Yes")</f>
        <v>Yes</v>
      </c>
      <c r="R388" s="6" t="s">
        <v>86</v>
      </c>
      <c r="S388" s="6" t="s">
        <v>1544</v>
      </c>
      <c r="T388" s="6" t="s">
        <v>2857</v>
      </c>
      <c r="U388" s="23" t="n">
        <v>36.051</v>
      </c>
      <c r="V388" s="6" t="s">
        <v>2858</v>
      </c>
      <c r="W388" s="6" t="s">
        <v>2859</v>
      </c>
      <c r="X388" s="6" t="s">
        <v>2860</v>
      </c>
      <c r="Y388" s="6" t="s">
        <v>86</v>
      </c>
      <c r="Z388" s="6" t="n">
        <v>0</v>
      </c>
      <c r="AA388" s="6" t="n">
        <v>0</v>
      </c>
      <c r="AB388" s="6" t="n">
        <v>0</v>
      </c>
      <c r="AC388" s="6" t="n">
        <v>0</v>
      </c>
      <c r="AD388" s="6" t="n">
        <v>0</v>
      </c>
      <c r="AE388" s="6" t="n">
        <v>0</v>
      </c>
      <c r="AF388" s="6" t="n">
        <v>1</v>
      </c>
      <c r="AG388" s="6" t="n">
        <v>0</v>
      </c>
      <c r="AH388" s="6" t="n">
        <v>1</v>
      </c>
      <c r="AI388" s="6" t="s">
        <v>84</v>
      </c>
    </row>
    <row r="389" customFormat="false" ht="15" hidden="false" customHeight="false" outlineLevel="0" collapsed="false">
      <c r="A389" s="6" t="n">
        <v>388</v>
      </c>
      <c r="B389" s="6" t="s">
        <v>2861</v>
      </c>
      <c r="C389" s="6" t="n">
        <v>8</v>
      </c>
      <c r="D389" s="6" t="s">
        <v>105</v>
      </c>
      <c r="E389" s="6" t="s">
        <v>81</v>
      </c>
      <c r="F389" s="6" t="n">
        <v>1</v>
      </c>
      <c r="G389" s="6" t="n">
        <v>75</v>
      </c>
      <c r="H389" s="6" t="s">
        <v>2846</v>
      </c>
      <c r="I389" s="22" t="n">
        <v>1087500</v>
      </c>
      <c r="J389" s="22" t="n">
        <v>4000</v>
      </c>
      <c r="K389" s="22" t="n">
        <v>81862.5</v>
      </c>
      <c r="L389" s="22" t="n">
        <v>1173362.5</v>
      </c>
      <c r="M389" s="6" t="s">
        <v>97</v>
      </c>
      <c r="N389" s="6" t="s">
        <v>84</v>
      </c>
      <c r="O389" s="6" t="s">
        <v>1185</v>
      </c>
      <c r="P389" s="6" t="s">
        <v>59</v>
      </c>
      <c r="Q389" s="6" t="str">
        <f aca="false">IF(P389="pass","No","Yes")</f>
        <v>Yes</v>
      </c>
      <c r="R389" s="6" t="s">
        <v>98</v>
      </c>
      <c r="S389" s="6" t="s">
        <v>1185</v>
      </c>
      <c r="T389" s="6" t="s">
        <v>2862</v>
      </c>
      <c r="U389" s="23" t="n">
        <v>20.069</v>
      </c>
      <c r="V389" s="6" t="s">
        <v>2863</v>
      </c>
      <c r="W389" s="6"/>
      <c r="X389" s="6" t="s">
        <v>2863</v>
      </c>
      <c r="Y389" s="6" t="s">
        <v>98</v>
      </c>
      <c r="Z389" s="6" t="n">
        <v>0</v>
      </c>
      <c r="AA389" s="6" t="n">
        <v>0</v>
      </c>
      <c r="AB389" s="6" t="n">
        <v>0</v>
      </c>
      <c r="AC389" s="6" t="n">
        <v>0</v>
      </c>
      <c r="AD389" s="6" t="n">
        <v>0</v>
      </c>
      <c r="AE389" s="6" t="n">
        <v>0</v>
      </c>
      <c r="AF389" s="6" t="n">
        <v>0</v>
      </c>
      <c r="AG389" s="6" t="n">
        <v>1</v>
      </c>
      <c r="AH389" s="6" t="n">
        <v>0</v>
      </c>
      <c r="AI389" s="6" t="s">
        <v>84</v>
      </c>
    </row>
    <row r="390" customFormat="false" ht="15" hidden="false" customHeight="false" outlineLevel="0" collapsed="false">
      <c r="A390" s="6" t="n">
        <v>389</v>
      </c>
      <c r="B390" s="6" t="s">
        <v>2864</v>
      </c>
      <c r="C390" s="6" t="n">
        <v>8</v>
      </c>
      <c r="D390" s="6" t="s">
        <v>198</v>
      </c>
      <c r="E390" s="6" t="s">
        <v>81</v>
      </c>
      <c r="F390" s="6" t="n">
        <v>3</v>
      </c>
      <c r="G390" s="6" t="n">
        <v>24</v>
      </c>
      <c r="H390" s="6" t="s">
        <v>2865</v>
      </c>
      <c r="I390" s="22" t="n">
        <v>844200</v>
      </c>
      <c r="J390" s="22" t="n">
        <v>4000</v>
      </c>
      <c r="K390" s="22" t="n">
        <v>63615</v>
      </c>
      <c r="L390" s="22" t="n">
        <v>911815</v>
      </c>
      <c r="M390" s="6" t="s">
        <v>272</v>
      </c>
      <c r="N390" s="6" t="s">
        <v>84</v>
      </c>
      <c r="O390" s="6" t="s">
        <v>879</v>
      </c>
      <c r="P390" s="6" t="s">
        <v>85</v>
      </c>
      <c r="Q390" s="6" t="str">
        <f aca="false">IF(P390="pass","No","Yes")</f>
        <v>Yes</v>
      </c>
      <c r="R390" s="6" t="s">
        <v>86</v>
      </c>
      <c r="S390" s="6" t="s">
        <v>879</v>
      </c>
      <c r="T390" s="6" t="s">
        <v>2866</v>
      </c>
      <c r="U390" s="23" t="n">
        <v>35.994</v>
      </c>
      <c r="V390" s="6" t="s">
        <v>2867</v>
      </c>
      <c r="W390" s="6" t="s">
        <v>2868</v>
      </c>
      <c r="X390" s="6" t="s">
        <v>2869</v>
      </c>
      <c r="Y390" s="6" t="s">
        <v>86</v>
      </c>
      <c r="Z390" s="6" t="n">
        <v>0</v>
      </c>
      <c r="AA390" s="6" t="n">
        <v>1</v>
      </c>
      <c r="AB390" s="6" t="n">
        <v>0</v>
      </c>
      <c r="AC390" s="6" t="n">
        <v>0</v>
      </c>
      <c r="AD390" s="6" t="n">
        <v>0</v>
      </c>
      <c r="AE390" s="6" t="n">
        <v>0</v>
      </c>
      <c r="AF390" s="6" t="n">
        <v>0</v>
      </c>
      <c r="AG390" s="6" t="n">
        <v>0</v>
      </c>
      <c r="AH390" s="6" t="n">
        <v>0</v>
      </c>
      <c r="AI390" s="6" t="s">
        <v>84</v>
      </c>
    </row>
    <row r="391" customFormat="false" ht="15" hidden="false" customHeight="false" outlineLevel="0" collapsed="false">
      <c r="A391" s="6" t="n">
        <v>390</v>
      </c>
      <c r="B391" s="6" t="s">
        <v>2870</v>
      </c>
      <c r="C391" s="6" t="n">
        <v>8</v>
      </c>
      <c r="D391" s="6" t="s">
        <v>89</v>
      </c>
      <c r="E391" s="6" t="s">
        <v>67</v>
      </c>
      <c r="F391" s="6" t="n">
        <v>2</v>
      </c>
      <c r="G391" s="6" t="n">
        <v>2</v>
      </c>
      <c r="H391" s="6" t="s">
        <v>2871</v>
      </c>
      <c r="I391" s="22" t="n">
        <v>8200</v>
      </c>
      <c r="J391" s="22" t="n">
        <v>4500</v>
      </c>
      <c r="K391" s="22" t="n">
        <v>952.5</v>
      </c>
      <c r="L391" s="22" t="n">
        <v>13652.5</v>
      </c>
      <c r="M391" s="6" t="s">
        <v>272</v>
      </c>
      <c r="N391" s="6" t="s">
        <v>84</v>
      </c>
      <c r="O391" s="6" t="s">
        <v>879</v>
      </c>
      <c r="P391" s="6" t="s">
        <v>85</v>
      </c>
      <c r="Q391" s="6" t="str">
        <f aca="false">IF(P391="pass","No","Yes")</f>
        <v>Yes</v>
      </c>
      <c r="R391" s="6" t="s">
        <v>86</v>
      </c>
      <c r="S391" s="6" t="s">
        <v>879</v>
      </c>
      <c r="T391" s="6" t="s">
        <v>2872</v>
      </c>
      <c r="U391" s="23" t="n">
        <v>21.749</v>
      </c>
      <c r="V391" s="6" t="s">
        <v>2873</v>
      </c>
      <c r="W391" s="6" t="s">
        <v>2874</v>
      </c>
      <c r="X391" s="6" t="s">
        <v>2875</v>
      </c>
      <c r="Y391" s="6" t="s">
        <v>86</v>
      </c>
      <c r="Z391" s="6" t="n">
        <v>0</v>
      </c>
      <c r="AA391" s="6" t="n">
        <v>1</v>
      </c>
      <c r="AB391" s="6" t="n">
        <v>0</v>
      </c>
      <c r="AC391" s="6" t="n">
        <v>0</v>
      </c>
      <c r="AD391" s="6" t="n">
        <v>0</v>
      </c>
      <c r="AE391" s="6" t="n">
        <v>0</v>
      </c>
      <c r="AF391" s="6" t="n">
        <v>0</v>
      </c>
      <c r="AG391" s="6" t="n">
        <v>0</v>
      </c>
      <c r="AH391" s="6" t="n">
        <v>0</v>
      </c>
      <c r="AI391" s="6" t="s">
        <v>84</v>
      </c>
    </row>
    <row r="392" customFormat="false" ht="15" hidden="false" customHeight="false" outlineLevel="0" collapsed="false">
      <c r="A392" s="6" t="n">
        <v>391</v>
      </c>
      <c r="B392" s="6" t="s">
        <v>2876</v>
      </c>
      <c r="C392" s="6" t="n">
        <v>8</v>
      </c>
      <c r="D392" s="6" t="s">
        <v>70</v>
      </c>
      <c r="E392" s="6" t="s">
        <v>74</v>
      </c>
      <c r="F392" s="6" t="n">
        <v>3</v>
      </c>
      <c r="G392" s="6" t="n">
        <v>20</v>
      </c>
      <c r="H392" s="6" t="s">
        <v>2877</v>
      </c>
      <c r="I392" s="22" t="n">
        <v>457200</v>
      </c>
      <c r="J392" s="22" t="n">
        <v>9000</v>
      </c>
      <c r="K392" s="22" t="n">
        <v>34965</v>
      </c>
      <c r="L392" s="22" t="n">
        <v>501165</v>
      </c>
      <c r="M392" s="6" t="s">
        <v>57</v>
      </c>
      <c r="N392" s="6" t="s">
        <v>58</v>
      </c>
      <c r="O392" s="6"/>
      <c r="P392" s="6" t="s">
        <v>69</v>
      </c>
      <c r="Q392" s="6" t="str">
        <f aca="false">IF(P392="pass","No","Yes")</f>
        <v>No</v>
      </c>
      <c r="R392" s="6" t="s">
        <v>60</v>
      </c>
      <c r="S392" s="6"/>
      <c r="T392" s="6"/>
      <c r="U392" s="23" t="n">
        <v>55.413</v>
      </c>
      <c r="V392" s="6" t="s">
        <v>2878</v>
      </c>
      <c r="W392" s="6" t="s">
        <v>2879</v>
      </c>
      <c r="X392" s="6" t="s">
        <v>2880</v>
      </c>
      <c r="Y392" s="6" t="s">
        <v>60</v>
      </c>
      <c r="Z392" s="6" t="n">
        <v>0</v>
      </c>
      <c r="AA392" s="6" t="n">
        <v>0</v>
      </c>
      <c r="AB392" s="6" t="n">
        <v>0</v>
      </c>
      <c r="AC392" s="6" t="n">
        <v>0</v>
      </c>
      <c r="AD392" s="6" t="n">
        <v>0</v>
      </c>
      <c r="AE392" s="6" t="n">
        <v>0</v>
      </c>
      <c r="AF392" s="6" t="n">
        <v>0</v>
      </c>
      <c r="AG392" s="6" t="n">
        <v>0</v>
      </c>
      <c r="AH392" s="6" t="n">
        <v>0</v>
      </c>
      <c r="AI392" s="6" t="s">
        <v>84</v>
      </c>
    </row>
    <row r="393" customFormat="false" ht="15" hidden="false" customHeight="false" outlineLevel="0" collapsed="false">
      <c r="A393" s="6" t="n">
        <v>392</v>
      </c>
      <c r="B393" s="6" t="s">
        <v>2881</v>
      </c>
      <c r="C393" s="6" t="n">
        <v>8</v>
      </c>
      <c r="D393" s="6" t="s">
        <v>237</v>
      </c>
      <c r="E393" s="6" t="s">
        <v>116</v>
      </c>
      <c r="F393" s="6" t="n">
        <v>1</v>
      </c>
      <c r="G393" s="6" t="n">
        <v>7</v>
      </c>
      <c r="H393" s="6" t="s">
        <v>2882</v>
      </c>
      <c r="I393" s="22" t="n">
        <v>217000</v>
      </c>
      <c r="J393" s="22" t="n">
        <v>15000</v>
      </c>
      <c r="K393" s="22" t="n">
        <v>17400</v>
      </c>
      <c r="L393" s="22" t="n">
        <v>249400</v>
      </c>
      <c r="M393" s="6" t="s">
        <v>57</v>
      </c>
      <c r="N393" s="6" t="s">
        <v>58</v>
      </c>
      <c r="O393" s="6"/>
      <c r="P393" s="6" t="s">
        <v>69</v>
      </c>
      <c r="Q393" s="6" t="str">
        <f aca="false">IF(P393="pass","No","Yes")</f>
        <v>No</v>
      </c>
      <c r="R393" s="6" t="s">
        <v>60</v>
      </c>
      <c r="S393" s="6"/>
      <c r="T393" s="6"/>
      <c r="U393" s="23" t="n">
        <v>20.9</v>
      </c>
      <c r="V393" s="6" t="s">
        <v>2883</v>
      </c>
      <c r="W393" s="6" t="s">
        <v>2884</v>
      </c>
      <c r="X393" s="6" t="s">
        <v>2885</v>
      </c>
      <c r="Y393" s="6" t="s">
        <v>60</v>
      </c>
      <c r="Z393" s="6" t="n">
        <v>0</v>
      </c>
      <c r="AA393" s="6" t="n">
        <v>0</v>
      </c>
      <c r="AB393" s="6" t="n">
        <v>0</v>
      </c>
      <c r="AC393" s="6" t="n">
        <v>0</v>
      </c>
      <c r="AD393" s="6" t="n">
        <v>0</v>
      </c>
      <c r="AE393" s="6" t="n">
        <v>0</v>
      </c>
      <c r="AF393" s="6" t="n">
        <v>0</v>
      </c>
      <c r="AG393" s="6" t="n">
        <v>0</v>
      </c>
      <c r="AH393" s="6" t="n">
        <v>0</v>
      </c>
      <c r="AI393" s="6" t="s">
        <v>84</v>
      </c>
    </row>
    <row r="394" customFormat="false" ht="15" hidden="false" customHeight="false" outlineLevel="0" collapsed="false">
      <c r="A394" s="6" t="n">
        <v>393</v>
      </c>
      <c r="B394" s="6" t="s">
        <v>2886</v>
      </c>
      <c r="C394" s="6" t="n">
        <v>8</v>
      </c>
      <c r="D394" s="6" t="s">
        <v>166</v>
      </c>
      <c r="E394" s="6" t="s">
        <v>74</v>
      </c>
      <c r="F394" s="6" t="n">
        <v>4</v>
      </c>
      <c r="G394" s="6" t="n">
        <v>182</v>
      </c>
      <c r="H394" s="6" t="s">
        <v>2887</v>
      </c>
      <c r="I394" s="22" t="n">
        <v>2392500</v>
      </c>
      <c r="J394" s="22" t="n">
        <v>9000</v>
      </c>
      <c r="K394" s="22" t="n">
        <v>180112.5</v>
      </c>
      <c r="L394" s="22" t="n">
        <v>2581612.5</v>
      </c>
      <c r="M394" s="6" t="s">
        <v>132</v>
      </c>
      <c r="N394" s="6" t="s">
        <v>84</v>
      </c>
      <c r="O394" s="6" t="s">
        <v>879</v>
      </c>
      <c r="P394" s="6" t="s">
        <v>85</v>
      </c>
      <c r="Q394" s="6" t="str">
        <f aca="false">IF(P394="pass","No","Yes")</f>
        <v>Yes</v>
      </c>
      <c r="R394" s="6" t="s">
        <v>86</v>
      </c>
      <c r="S394" s="6" t="s">
        <v>880</v>
      </c>
      <c r="T394" s="6" t="s">
        <v>134</v>
      </c>
      <c r="U394" s="23" t="n">
        <v>69.629</v>
      </c>
      <c r="V394" s="6" t="s">
        <v>2888</v>
      </c>
      <c r="W394" s="6" t="s">
        <v>2889</v>
      </c>
      <c r="X394" s="6" t="s">
        <v>2890</v>
      </c>
      <c r="Y394" s="6" t="s">
        <v>86</v>
      </c>
      <c r="Z394" s="6" t="n">
        <v>0</v>
      </c>
      <c r="AA394" s="6" t="n">
        <v>1</v>
      </c>
      <c r="AB394" s="6" t="n">
        <v>0</v>
      </c>
      <c r="AC394" s="6" t="n">
        <v>1</v>
      </c>
      <c r="AD394" s="6" t="n">
        <v>0</v>
      </c>
      <c r="AE394" s="6" t="n">
        <v>0</v>
      </c>
      <c r="AF394" s="6" t="n">
        <v>0</v>
      </c>
      <c r="AG394" s="6" t="n">
        <v>0</v>
      </c>
      <c r="AH394" s="6" t="n">
        <v>0</v>
      </c>
      <c r="AI394" s="6" t="s">
        <v>84</v>
      </c>
    </row>
    <row r="395" customFormat="false" ht="15" hidden="false" customHeight="false" outlineLevel="0" collapsed="false">
      <c r="A395" s="6" t="n">
        <v>394</v>
      </c>
      <c r="B395" s="6" t="s">
        <v>2891</v>
      </c>
      <c r="C395" s="6" t="n">
        <v>8</v>
      </c>
      <c r="D395" s="6" t="s">
        <v>119</v>
      </c>
      <c r="E395" s="6" t="s">
        <v>123</v>
      </c>
      <c r="F395" s="6" t="n">
        <v>4</v>
      </c>
      <c r="G395" s="6" t="n">
        <v>640</v>
      </c>
      <c r="H395" s="6" t="s">
        <v>2892</v>
      </c>
      <c r="I395" s="22" t="n">
        <v>5714900</v>
      </c>
      <c r="J395" s="22" t="n">
        <v>5000</v>
      </c>
      <c r="K395" s="22" t="n">
        <v>428992.5</v>
      </c>
      <c r="L395" s="22" t="n">
        <v>6148892.5</v>
      </c>
      <c r="M395" s="6" t="s">
        <v>159</v>
      </c>
      <c r="N395" s="6" t="s">
        <v>84</v>
      </c>
      <c r="O395" s="6" t="s">
        <v>886</v>
      </c>
      <c r="P395" s="6" t="s">
        <v>85</v>
      </c>
      <c r="Q395" s="6" t="str">
        <f aca="false">IF(P395="pass","No","Yes")</f>
        <v>Yes</v>
      </c>
      <c r="R395" s="6" t="s">
        <v>86</v>
      </c>
      <c r="S395" s="6" t="s">
        <v>934</v>
      </c>
      <c r="T395" s="6" t="s">
        <v>524</v>
      </c>
      <c r="U395" s="23" t="n">
        <v>84.318</v>
      </c>
      <c r="V395" s="6" t="s">
        <v>2893</v>
      </c>
      <c r="W395" s="6" t="s">
        <v>2894</v>
      </c>
      <c r="X395" s="6" t="s">
        <v>2895</v>
      </c>
      <c r="Y395" s="6" t="s">
        <v>86</v>
      </c>
      <c r="Z395" s="6" t="n">
        <v>0</v>
      </c>
      <c r="AA395" s="6" t="n">
        <v>0</v>
      </c>
      <c r="AB395" s="6" t="n">
        <v>1</v>
      </c>
      <c r="AC395" s="6" t="n">
        <v>1</v>
      </c>
      <c r="AD395" s="6" t="n">
        <v>0</v>
      </c>
      <c r="AE395" s="6" t="n">
        <v>0</v>
      </c>
      <c r="AF395" s="6" t="n">
        <v>0</v>
      </c>
      <c r="AG395" s="6" t="n">
        <v>0</v>
      </c>
      <c r="AH395" s="6" t="n">
        <v>0</v>
      </c>
      <c r="AI395" s="6" t="s">
        <v>84</v>
      </c>
    </row>
    <row r="396" customFormat="false" ht="15" hidden="false" customHeight="false" outlineLevel="0" collapsed="false">
      <c r="A396" s="6" t="n">
        <v>395</v>
      </c>
      <c r="B396" s="6" t="s">
        <v>2896</v>
      </c>
      <c r="C396" s="6" t="n">
        <v>8</v>
      </c>
      <c r="D396" s="6" t="s">
        <v>237</v>
      </c>
      <c r="E396" s="6" t="s">
        <v>146</v>
      </c>
      <c r="F396" s="6" t="n">
        <v>1</v>
      </c>
      <c r="G396" s="6" t="n">
        <v>2</v>
      </c>
      <c r="H396" s="6" t="s">
        <v>959</v>
      </c>
      <c r="I396" s="22" t="n">
        <v>8200</v>
      </c>
      <c r="J396" s="22" t="n">
        <v>0</v>
      </c>
      <c r="K396" s="22" t="n">
        <v>615</v>
      </c>
      <c r="L396" s="22" t="n">
        <v>8815</v>
      </c>
      <c r="M396" s="6" t="s">
        <v>148</v>
      </c>
      <c r="N396" s="6" t="s">
        <v>84</v>
      </c>
      <c r="O396" s="6" t="s">
        <v>866</v>
      </c>
      <c r="P396" s="6" t="s">
        <v>85</v>
      </c>
      <c r="Q396" s="6" t="str">
        <f aca="false">IF(P396="pass","No","Yes")</f>
        <v>Yes</v>
      </c>
      <c r="R396" s="6" t="s">
        <v>86</v>
      </c>
      <c r="S396" s="6" t="s">
        <v>866</v>
      </c>
      <c r="T396" s="6" t="s">
        <v>150</v>
      </c>
      <c r="U396" s="23" t="n">
        <v>22.811</v>
      </c>
      <c r="V396" s="6" t="s">
        <v>2897</v>
      </c>
      <c r="W396" s="6" t="s">
        <v>2898</v>
      </c>
      <c r="X396" s="6" t="s">
        <v>2899</v>
      </c>
      <c r="Y396" s="6" t="s">
        <v>86</v>
      </c>
      <c r="Z396" s="6" t="n">
        <v>1</v>
      </c>
      <c r="AA396" s="6" t="n">
        <v>0</v>
      </c>
      <c r="AB396" s="6" t="n">
        <v>0</v>
      </c>
      <c r="AC396" s="6" t="n">
        <v>0</v>
      </c>
      <c r="AD396" s="6" t="n">
        <v>0</v>
      </c>
      <c r="AE396" s="6" t="n">
        <v>0</v>
      </c>
      <c r="AF396" s="6" t="n">
        <v>0</v>
      </c>
      <c r="AG396" s="6" t="n">
        <v>0</v>
      </c>
      <c r="AH396" s="6" t="n">
        <v>0</v>
      </c>
      <c r="AI396" s="6" t="s">
        <v>84</v>
      </c>
    </row>
    <row r="397" customFormat="false" ht="15" hidden="false" customHeight="false" outlineLevel="0" collapsed="false">
      <c r="A397" s="6" t="n">
        <v>396</v>
      </c>
      <c r="B397" s="6" t="s">
        <v>2900</v>
      </c>
      <c r="C397" s="6" t="n">
        <v>8</v>
      </c>
      <c r="D397" s="6" t="s">
        <v>100</v>
      </c>
      <c r="E397" s="6" t="s">
        <v>67</v>
      </c>
      <c r="F397" s="6" t="n">
        <v>1</v>
      </c>
      <c r="G397" s="6" t="n">
        <v>22</v>
      </c>
      <c r="H397" s="6" t="s">
        <v>2901</v>
      </c>
      <c r="I397" s="22" t="n">
        <v>836000</v>
      </c>
      <c r="J397" s="22" t="n">
        <v>4500</v>
      </c>
      <c r="K397" s="22" t="n">
        <v>63037.5</v>
      </c>
      <c r="L397" s="22" t="n">
        <v>903537.5</v>
      </c>
      <c r="M397" s="6" t="s">
        <v>57</v>
      </c>
      <c r="N397" s="6" t="s">
        <v>58</v>
      </c>
      <c r="O397" s="6"/>
      <c r="P397" s="6" t="s">
        <v>69</v>
      </c>
      <c r="Q397" s="6" t="str">
        <f aca="false">IF(P397="pass","No","Yes")</f>
        <v>No</v>
      </c>
      <c r="R397" s="6" t="s">
        <v>60</v>
      </c>
      <c r="S397" s="6"/>
      <c r="T397" s="6"/>
      <c r="U397" s="23" t="n">
        <v>21.552</v>
      </c>
      <c r="V397" s="6" t="s">
        <v>2902</v>
      </c>
      <c r="W397" s="6" t="s">
        <v>2903</v>
      </c>
      <c r="X397" s="6" t="s">
        <v>2904</v>
      </c>
      <c r="Y397" s="6" t="s">
        <v>60</v>
      </c>
      <c r="Z397" s="6" t="n">
        <v>0</v>
      </c>
      <c r="AA397" s="6" t="n">
        <v>0</v>
      </c>
      <c r="AB397" s="6" t="n">
        <v>0</v>
      </c>
      <c r="AC397" s="6" t="n">
        <v>0</v>
      </c>
      <c r="AD397" s="6" t="n">
        <v>0</v>
      </c>
      <c r="AE397" s="6" t="n">
        <v>0</v>
      </c>
      <c r="AF397" s="6" t="n">
        <v>0</v>
      </c>
      <c r="AG397" s="6" t="n">
        <v>0</v>
      </c>
      <c r="AH397" s="6" t="n">
        <v>0</v>
      </c>
      <c r="AI397" s="6" t="s">
        <v>84</v>
      </c>
    </row>
    <row r="398" customFormat="false" ht="15" hidden="false" customHeight="false" outlineLevel="0" collapsed="false">
      <c r="A398" s="6" t="n">
        <v>397</v>
      </c>
      <c r="B398" s="6" t="s">
        <v>2905</v>
      </c>
      <c r="C398" s="6" t="n">
        <v>8</v>
      </c>
      <c r="D398" s="6" t="s">
        <v>112</v>
      </c>
      <c r="E398" s="6" t="s">
        <v>116</v>
      </c>
      <c r="F398" s="6" t="n">
        <v>1</v>
      </c>
      <c r="G398" s="6" t="n">
        <v>68</v>
      </c>
      <c r="H398" s="6" t="s">
        <v>2906</v>
      </c>
      <c r="I398" s="22" t="n">
        <v>802400</v>
      </c>
      <c r="J398" s="22" t="n">
        <v>15000</v>
      </c>
      <c r="K398" s="22" t="n">
        <v>61305</v>
      </c>
      <c r="L398" s="22" t="n">
        <v>878705</v>
      </c>
      <c r="M398" s="6" t="s">
        <v>57</v>
      </c>
      <c r="N398" s="6" t="s">
        <v>58</v>
      </c>
      <c r="O398" s="6"/>
      <c r="P398" s="6" t="s">
        <v>69</v>
      </c>
      <c r="Q398" s="6" t="str">
        <f aca="false">IF(P398="pass","No","Yes")</f>
        <v>No</v>
      </c>
      <c r="R398" s="6" t="s">
        <v>60</v>
      </c>
      <c r="S398" s="6"/>
      <c r="T398" s="6"/>
      <c r="U398" s="23" t="n">
        <v>23.259</v>
      </c>
      <c r="V398" s="6" t="s">
        <v>2907</v>
      </c>
      <c r="W398" s="6" t="s">
        <v>2908</v>
      </c>
      <c r="X398" s="6" t="s">
        <v>2909</v>
      </c>
      <c r="Y398" s="6" t="s">
        <v>60</v>
      </c>
      <c r="Z398" s="6" t="n">
        <v>0</v>
      </c>
      <c r="AA398" s="6" t="n">
        <v>0</v>
      </c>
      <c r="AB398" s="6" t="n">
        <v>0</v>
      </c>
      <c r="AC398" s="6" t="n">
        <v>0</v>
      </c>
      <c r="AD398" s="6" t="n">
        <v>0</v>
      </c>
      <c r="AE398" s="6" t="n">
        <v>0</v>
      </c>
      <c r="AF398" s="6" t="n">
        <v>0</v>
      </c>
      <c r="AG398" s="6" t="n">
        <v>0</v>
      </c>
      <c r="AH398" s="6" t="n">
        <v>0</v>
      </c>
      <c r="AI398" s="6" t="s">
        <v>84</v>
      </c>
    </row>
    <row r="399" customFormat="false" ht="15" hidden="false" customHeight="false" outlineLevel="0" collapsed="false">
      <c r="A399" s="6" t="n">
        <v>398</v>
      </c>
      <c r="B399" s="6" t="s">
        <v>2910</v>
      </c>
      <c r="C399" s="6" t="n">
        <v>8</v>
      </c>
      <c r="D399" s="6" t="s">
        <v>213</v>
      </c>
      <c r="E399" s="6" t="s">
        <v>67</v>
      </c>
      <c r="F399" s="6" t="n">
        <v>1</v>
      </c>
      <c r="G399" s="6" t="n">
        <v>9</v>
      </c>
      <c r="H399" s="6" t="s">
        <v>1300</v>
      </c>
      <c r="I399" s="22" t="n">
        <v>468000</v>
      </c>
      <c r="J399" s="22" t="n">
        <v>4500</v>
      </c>
      <c r="K399" s="22" t="n">
        <v>35437.5</v>
      </c>
      <c r="L399" s="22" t="n">
        <v>507937.5</v>
      </c>
      <c r="M399" s="6" t="s">
        <v>57</v>
      </c>
      <c r="N399" s="6" t="s">
        <v>58</v>
      </c>
      <c r="O399" s="6"/>
      <c r="P399" s="6" t="s">
        <v>69</v>
      </c>
      <c r="Q399" s="6" t="str">
        <f aca="false">IF(P399="pass","No","Yes")</f>
        <v>No</v>
      </c>
      <c r="R399" s="6" t="s">
        <v>60</v>
      </c>
      <c r="S399" s="6"/>
      <c r="T399" s="6"/>
      <c r="U399" s="23" t="n">
        <v>22.065</v>
      </c>
      <c r="V399" s="6" t="s">
        <v>2911</v>
      </c>
      <c r="W399" s="6" t="s">
        <v>2912</v>
      </c>
      <c r="X399" s="6" t="s">
        <v>2913</v>
      </c>
      <c r="Y399" s="6" t="s">
        <v>60</v>
      </c>
      <c r="Z399" s="6" t="n">
        <v>0</v>
      </c>
      <c r="AA399" s="6" t="n">
        <v>0</v>
      </c>
      <c r="AB399" s="6" t="n">
        <v>0</v>
      </c>
      <c r="AC399" s="6" t="n">
        <v>0</v>
      </c>
      <c r="AD399" s="6" t="n">
        <v>0</v>
      </c>
      <c r="AE399" s="6" t="n">
        <v>0</v>
      </c>
      <c r="AF399" s="6" t="n">
        <v>0</v>
      </c>
      <c r="AG399" s="6" t="n">
        <v>0</v>
      </c>
      <c r="AH399" s="6" t="n">
        <v>0</v>
      </c>
      <c r="AI399" s="6" t="s">
        <v>84</v>
      </c>
    </row>
    <row r="400" customFormat="false" ht="15" hidden="false" customHeight="false" outlineLevel="0" collapsed="false">
      <c r="A400" s="6" t="n">
        <v>399</v>
      </c>
      <c r="B400" s="6" t="s">
        <v>2914</v>
      </c>
      <c r="C400" s="6" t="n">
        <v>8</v>
      </c>
      <c r="D400" s="6" t="s">
        <v>198</v>
      </c>
      <c r="E400" s="6" t="s">
        <v>81</v>
      </c>
      <c r="F400" s="6" t="n">
        <v>3</v>
      </c>
      <c r="G400" s="6" t="n">
        <v>56</v>
      </c>
      <c r="H400" s="6" t="s">
        <v>2915</v>
      </c>
      <c r="I400" s="22" t="n">
        <v>832500</v>
      </c>
      <c r="J400" s="22" t="n">
        <v>4000</v>
      </c>
      <c r="K400" s="22" t="n">
        <v>62737.5</v>
      </c>
      <c r="L400" s="22" t="n">
        <v>899237.5</v>
      </c>
      <c r="M400" s="6" t="s">
        <v>57</v>
      </c>
      <c r="N400" s="6" t="s">
        <v>58</v>
      </c>
      <c r="O400" s="6"/>
      <c r="P400" s="6" t="s">
        <v>69</v>
      </c>
      <c r="Q400" s="6" t="str">
        <f aca="false">IF(P400="pass","No","Yes")</f>
        <v>No</v>
      </c>
      <c r="R400" s="6" t="s">
        <v>60</v>
      </c>
      <c r="S400" s="6"/>
      <c r="T400" s="6"/>
      <c r="U400" s="23" t="n">
        <v>69.236</v>
      </c>
      <c r="V400" s="6" t="s">
        <v>2916</v>
      </c>
      <c r="W400" s="6" t="s">
        <v>2917</v>
      </c>
      <c r="X400" s="6" t="s">
        <v>2918</v>
      </c>
      <c r="Y400" s="6" t="s">
        <v>60</v>
      </c>
      <c r="Z400" s="6" t="n">
        <v>0</v>
      </c>
      <c r="AA400" s="6" t="n">
        <v>0</v>
      </c>
      <c r="AB400" s="6" t="n">
        <v>0</v>
      </c>
      <c r="AC400" s="6" t="n">
        <v>0</v>
      </c>
      <c r="AD400" s="6" t="n">
        <v>0</v>
      </c>
      <c r="AE400" s="6" t="n">
        <v>0</v>
      </c>
      <c r="AF400" s="6" t="n">
        <v>0</v>
      </c>
      <c r="AG400" s="6" t="n">
        <v>0</v>
      </c>
      <c r="AH400" s="6" t="n">
        <v>0</v>
      </c>
      <c r="AI400" s="6" t="s">
        <v>84</v>
      </c>
    </row>
    <row r="401" customFormat="false" ht="15" hidden="false" customHeight="false" outlineLevel="0" collapsed="false">
      <c r="A401" s="6" t="n">
        <v>400</v>
      </c>
      <c r="B401" s="6" t="s">
        <v>2919</v>
      </c>
      <c r="C401" s="6" t="n">
        <v>8</v>
      </c>
      <c r="D401" s="6" t="s">
        <v>198</v>
      </c>
      <c r="E401" s="6" t="s">
        <v>81</v>
      </c>
      <c r="F401" s="6" t="n">
        <v>2</v>
      </c>
      <c r="G401" s="6" t="n">
        <v>8</v>
      </c>
      <c r="H401" s="6" t="s">
        <v>2920</v>
      </c>
      <c r="I401" s="22" t="n">
        <v>320200</v>
      </c>
      <c r="J401" s="22" t="n">
        <v>4000</v>
      </c>
      <c r="K401" s="22" t="n">
        <v>24315</v>
      </c>
      <c r="L401" s="22" t="n">
        <v>348515</v>
      </c>
      <c r="M401" s="6" t="s">
        <v>57</v>
      </c>
      <c r="N401" s="6" t="s">
        <v>58</v>
      </c>
      <c r="O401" s="6"/>
      <c r="P401" s="6" t="s">
        <v>69</v>
      </c>
      <c r="Q401" s="6" t="str">
        <f aca="false">IF(P401="pass","No","Yes")</f>
        <v>No</v>
      </c>
      <c r="R401" s="6" t="s">
        <v>60</v>
      </c>
      <c r="S401" s="6"/>
      <c r="T401" s="6"/>
      <c r="U401" s="23" t="n">
        <v>41.068</v>
      </c>
      <c r="V401" s="6" t="s">
        <v>2921</v>
      </c>
      <c r="W401" s="6" t="s">
        <v>2922</v>
      </c>
      <c r="X401" s="6" t="s">
        <v>2923</v>
      </c>
      <c r="Y401" s="6" t="s">
        <v>60</v>
      </c>
      <c r="Z401" s="6" t="n">
        <v>0</v>
      </c>
      <c r="AA401" s="6" t="n">
        <v>0</v>
      </c>
      <c r="AB401" s="6" t="n">
        <v>0</v>
      </c>
      <c r="AC401" s="6" t="n">
        <v>0</v>
      </c>
      <c r="AD401" s="6" t="n">
        <v>0</v>
      </c>
      <c r="AE401" s="6" t="n">
        <v>0</v>
      </c>
      <c r="AF401" s="6" t="n">
        <v>0</v>
      </c>
      <c r="AG401" s="6" t="n">
        <v>0</v>
      </c>
      <c r="AH401" s="6" t="n">
        <v>0</v>
      </c>
      <c r="AI401" s="6" t="s">
        <v>84</v>
      </c>
    </row>
    <row r="402" customFormat="false" ht="15" hidden="false" customHeight="false" outlineLevel="0" collapsed="false">
      <c r="A402" s="6" t="n">
        <v>401</v>
      </c>
      <c r="B402" s="6" t="s">
        <v>2924</v>
      </c>
      <c r="C402" s="6" t="n">
        <v>9</v>
      </c>
      <c r="D402" s="6" t="s">
        <v>77</v>
      </c>
      <c r="E402" s="6" t="s">
        <v>81</v>
      </c>
      <c r="F402" s="6" t="n">
        <v>3</v>
      </c>
      <c r="G402" s="6" t="n">
        <v>93</v>
      </c>
      <c r="H402" s="6" t="s">
        <v>2925</v>
      </c>
      <c r="I402" s="22" t="n">
        <v>1405000</v>
      </c>
      <c r="J402" s="22" t="n">
        <v>4000</v>
      </c>
      <c r="K402" s="22" t="n">
        <v>105675</v>
      </c>
      <c r="L402" s="22" t="n">
        <v>1514675</v>
      </c>
      <c r="M402" s="6" t="s">
        <v>57</v>
      </c>
      <c r="N402" s="6" t="s">
        <v>58</v>
      </c>
      <c r="O402" s="6"/>
      <c r="P402" s="6" t="s">
        <v>69</v>
      </c>
      <c r="Q402" s="6" t="str">
        <f aca="false">IF(P402="pass","No","Yes")</f>
        <v>No</v>
      </c>
      <c r="R402" s="6" t="s">
        <v>60</v>
      </c>
      <c r="S402" s="6"/>
      <c r="T402" s="6"/>
      <c r="U402" s="23" t="n">
        <v>70.638</v>
      </c>
      <c r="V402" s="6" t="s">
        <v>2926</v>
      </c>
      <c r="W402" s="6" t="s">
        <v>2927</v>
      </c>
      <c r="X402" s="6" t="s">
        <v>2928</v>
      </c>
      <c r="Y402" s="6" t="s">
        <v>60</v>
      </c>
      <c r="Z402" s="6" t="n">
        <v>0</v>
      </c>
      <c r="AA402" s="6" t="n">
        <v>0</v>
      </c>
      <c r="AB402" s="6" t="n">
        <v>0</v>
      </c>
      <c r="AC402" s="6" t="n">
        <v>0</v>
      </c>
      <c r="AD402" s="6" t="n">
        <v>0</v>
      </c>
      <c r="AE402" s="6" t="n">
        <v>0</v>
      </c>
      <c r="AF402" s="6" t="n">
        <v>0</v>
      </c>
      <c r="AG402" s="6" t="n">
        <v>0</v>
      </c>
      <c r="AH402" s="6" t="n">
        <v>0</v>
      </c>
      <c r="AI402" s="6" t="s">
        <v>84</v>
      </c>
    </row>
    <row r="403" customFormat="false" ht="15" hidden="false" customHeight="false" outlineLevel="0" collapsed="false">
      <c r="A403" s="6" t="n">
        <v>402</v>
      </c>
      <c r="B403" s="6" t="s">
        <v>2929</v>
      </c>
      <c r="C403" s="6" t="n">
        <v>9</v>
      </c>
      <c r="D403" s="6" t="s">
        <v>191</v>
      </c>
      <c r="E403" s="6" t="s">
        <v>116</v>
      </c>
      <c r="F403" s="6" t="n">
        <v>2</v>
      </c>
      <c r="G403" s="6" t="n">
        <v>165</v>
      </c>
      <c r="H403" s="6" t="s">
        <v>2930</v>
      </c>
      <c r="I403" s="22" t="n">
        <v>2035000</v>
      </c>
      <c r="J403" s="22" t="n">
        <v>15000</v>
      </c>
      <c r="K403" s="22" t="n">
        <v>153750</v>
      </c>
      <c r="L403" s="22" t="n">
        <v>2203750</v>
      </c>
      <c r="M403" s="6" t="s">
        <v>57</v>
      </c>
      <c r="N403" s="6" t="s">
        <v>58</v>
      </c>
      <c r="O403" s="6"/>
      <c r="P403" s="6" t="s">
        <v>59</v>
      </c>
      <c r="Q403" s="6" t="str">
        <f aca="false">IF(P403="pass","No","Yes")</f>
        <v>Yes</v>
      </c>
      <c r="R403" s="6" t="s">
        <v>60</v>
      </c>
      <c r="S403" s="6" t="s">
        <v>915</v>
      </c>
      <c r="T403" s="6" t="s">
        <v>2931</v>
      </c>
      <c r="U403" s="23" t="n">
        <v>54.638</v>
      </c>
      <c r="V403" s="6" t="s">
        <v>2932</v>
      </c>
      <c r="W403" s="6" t="s">
        <v>2933</v>
      </c>
      <c r="X403" s="6" t="s">
        <v>2934</v>
      </c>
      <c r="Y403" s="6" t="s">
        <v>60</v>
      </c>
      <c r="Z403" s="6" t="n">
        <v>0</v>
      </c>
      <c r="AA403" s="6" t="n">
        <v>0</v>
      </c>
      <c r="AB403" s="6" t="n">
        <v>0</v>
      </c>
      <c r="AC403" s="6" t="n">
        <v>0</v>
      </c>
      <c r="AD403" s="6" t="n">
        <v>0</v>
      </c>
      <c r="AE403" s="6" t="n">
        <v>0</v>
      </c>
      <c r="AF403" s="6" t="n">
        <v>0</v>
      </c>
      <c r="AG403" s="6" t="n">
        <v>0</v>
      </c>
      <c r="AH403" s="6" t="n">
        <v>1</v>
      </c>
      <c r="AI403" s="6" t="s">
        <v>84</v>
      </c>
    </row>
    <row r="404" customFormat="false" ht="15" hidden="false" customHeight="false" outlineLevel="0" collapsed="false">
      <c r="A404" s="6" t="n">
        <v>403</v>
      </c>
      <c r="B404" s="6" t="s">
        <v>2935</v>
      </c>
      <c r="C404" s="6" t="n">
        <v>9</v>
      </c>
      <c r="D404" s="6" t="s">
        <v>70</v>
      </c>
      <c r="E404" s="6" t="s">
        <v>74</v>
      </c>
      <c r="F404" s="6" t="n">
        <v>2</v>
      </c>
      <c r="G404" s="6" t="n">
        <v>184</v>
      </c>
      <c r="H404" s="6" t="s">
        <v>2936</v>
      </c>
      <c r="I404" s="22" t="n">
        <v>1919000</v>
      </c>
      <c r="J404" s="22" t="n">
        <v>9000</v>
      </c>
      <c r="K404" s="22" t="n">
        <v>144600</v>
      </c>
      <c r="L404" s="22" t="n">
        <v>2072600</v>
      </c>
      <c r="M404" s="6" t="s">
        <v>224</v>
      </c>
      <c r="N404" s="6" t="s">
        <v>84</v>
      </c>
      <c r="O404" s="6" t="s">
        <v>866</v>
      </c>
      <c r="P404" s="6" t="s">
        <v>85</v>
      </c>
      <c r="Q404" s="6" t="str">
        <f aca="false">IF(P404="pass","No","Yes")</f>
        <v>Yes</v>
      </c>
      <c r="R404" s="6" t="s">
        <v>86</v>
      </c>
      <c r="S404" s="6" t="s">
        <v>866</v>
      </c>
      <c r="T404" s="6" t="s">
        <v>225</v>
      </c>
      <c r="U404" s="23" t="n">
        <v>55.93</v>
      </c>
      <c r="V404" s="6" t="s">
        <v>2937</v>
      </c>
      <c r="W404" s="6" t="s">
        <v>2938</v>
      </c>
      <c r="X404" s="6" t="s">
        <v>2939</v>
      </c>
      <c r="Y404" s="6" t="s">
        <v>86</v>
      </c>
      <c r="Z404" s="6" t="n">
        <v>1</v>
      </c>
      <c r="AA404" s="6" t="n">
        <v>0</v>
      </c>
      <c r="AB404" s="6" t="n">
        <v>0</v>
      </c>
      <c r="AC404" s="6" t="n">
        <v>0</v>
      </c>
      <c r="AD404" s="6" t="n">
        <v>0</v>
      </c>
      <c r="AE404" s="6" t="n">
        <v>0</v>
      </c>
      <c r="AF404" s="6" t="n">
        <v>0</v>
      </c>
      <c r="AG404" s="6" t="n">
        <v>0</v>
      </c>
      <c r="AH404" s="6" t="n">
        <v>0</v>
      </c>
      <c r="AI404" s="6" t="s">
        <v>58</v>
      </c>
    </row>
    <row r="405" customFormat="false" ht="15" hidden="false" customHeight="false" outlineLevel="0" collapsed="false">
      <c r="A405" s="6" t="n">
        <v>404</v>
      </c>
      <c r="B405" s="6" t="s">
        <v>2940</v>
      </c>
      <c r="C405" s="6" t="n">
        <v>9</v>
      </c>
      <c r="D405" s="6" t="s">
        <v>237</v>
      </c>
      <c r="E405" s="6" t="s">
        <v>116</v>
      </c>
      <c r="F405" s="6" t="n">
        <v>2</v>
      </c>
      <c r="G405" s="6" t="n">
        <v>176</v>
      </c>
      <c r="H405" s="6" t="s">
        <v>2941</v>
      </c>
      <c r="I405" s="22" t="n">
        <v>1672000</v>
      </c>
      <c r="J405" s="22" t="n">
        <v>15000</v>
      </c>
      <c r="K405" s="22" t="n">
        <v>126525</v>
      </c>
      <c r="L405" s="22" t="n">
        <v>1813525</v>
      </c>
      <c r="M405" s="6" t="s">
        <v>272</v>
      </c>
      <c r="N405" s="6" t="s">
        <v>84</v>
      </c>
      <c r="O405" s="6" t="s">
        <v>879</v>
      </c>
      <c r="P405" s="6" t="s">
        <v>85</v>
      </c>
      <c r="Q405" s="6" t="str">
        <f aca="false">IF(P405="pass","No","Yes")</f>
        <v>Yes</v>
      </c>
      <c r="R405" s="6" t="s">
        <v>86</v>
      </c>
      <c r="S405" s="6" t="s">
        <v>1233</v>
      </c>
      <c r="T405" s="6" t="s">
        <v>2942</v>
      </c>
      <c r="U405" s="23" t="n">
        <v>39.303</v>
      </c>
      <c r="V405" s="6" t="s">
        <v>2943</v>
      </c>
      <c r="W405" s="6" t="s">
        <v>2944</v>
      </c>
      <c r="X405" s="6" t="s">
        <v>2945</v>
      </c>
      <c r="Y405" s="6" t="s">
        <v>86</v>
      </c>
      <c r="Z405" s="6" t="n">
        <v>0</v>
      </c>
      <c r="AA405" s="6" t="n">
        <v>1</v>
      </c>
      <c r="AB405" s="6" t="n">
        <v>0</v>
      </c>
      <c r="AC405" s="6" t="n">
        <v>0</v>
      </c>
      <c r="AD405" s="6" t="n">
        <v>0</v>
      </c>
      <c r="AE405" s="6" t="n">
        <v>0</v>
      </c>
      <c r="AF405" s="6" t="n">
        <v>0</v>
      </c>
      <c r="AG405" s="6" t="n">
        <v>0</v>
      </c>
      <c r="AH405" s="6" t="n">
        <v>1</v>
      </c>
      <c r="AI405" s="6" t="s">
        <v>84</v>
      </c>
    </row>
    <row r="406" customFormat="false" ht="15" hidden="false" customHeight="false" outlineLevel="0" collapsed="false">
      <c r="A406" s="6" t="n">
        <v>405</v>
      </c>
      <c r="B406" s="6" t="s">
        <v>2946</v>
      </c>
      <c r="C406" s="6" t="n">
        <v>9</v>
      </c>
      <c r="D406" s="6" t="s">
        <v>166</v>
      </c>
      <c r="E406" s="6" t="s">
        <v>74</v>
      </c>
      <c r="F406" s="6" t="n">
        <v>4</v>
      </c>
      <c r="G406" s="6" t="n">
        <v>47</v>
      </c>
      <c r="H406" s="6" t="s">
        <v>2947</v>
      </c>
      <c r="I406" s="22" t="n">
        <v>783000</v>
      </c>
      <c r="J406" s="22" t="n">
        <v>9000</v>
      </c>
      <c r="K406" s="22" t="n">
        <v>59400</v>
      </c>
      <c r="L406" s="22" t="n">
        <v>851400</v>
      </c>
      <c r="M406" s="6" t="s">
        <v>272</v>
      </c>
      <c r="N406" s="6" t="s">
        <v>84</v>
      </c>
      <c r="O406" s="6" t="s">
        <v>879</v>
      </c>
      <c r="P406" s="6" t="s">
        <v>85</v>
      </c>
      <c r="Q406" s="6" t="str">
        <f aca="false">IF(P406="pass","No","Yes")</f>
        <v>Yes</v>
      </c>
      <c r="R406" s="6" t="s">
        <v>86</v>
      </c>
      <c r="S406" s="6" t="s">
        <v>879</v>
      </c>
      <c r="T406" s="6" t="s">
        <v>2948</v>
      </c>
      <c r="U406" s="23" t="n">
        <v>71.333</v>
      </c>
      <c r="V406" s="6" t="s">
        <v>2949</v>
      </c>
      <c r="W406" s="6" t="s">
        <v>2950</v>
      </c>
      <c r="X406" s="6" t="s">
        <v>2951</v>
      </c>
      <c r="Y406" s="6" t="s">
        <v>86</v>
      </c>
      <c r="Z406" s="6" t="n">
        <v>0</v>
      </c>
      <c r="AA406" s="6" t="n">
        <v>1</v>
      </c>
      <c r="AB406" s="6" t="n">
        <v>0</v>
      </c>
      <c r="AC406" s="6" t="n">
        <v>0</v>
      </c>
      <c r="AD406" s="6" t="n">
        <v>0</v>
      </c>
      <c r="AE406" s="6" t="n">
        <v>0</v>
      </c>
      <c r="AF406" s="6" t="n">
        <v>0</v>
      </c>
      <c r="AG406" s="6" t="n">
        <v>0</v>
      </c>
      <c r="AH406" s="6" t="n">
        <v>0</v>
      </c>
      <c r="AI406" s="6" t="s">
        <v>84</v>
      </c>
    </row>
    <row r="407" customFormat="false" ht="15" hidden="false" customHeight="false" outlineLevel="0" collapsed="false">
      <c r="A407" s="6" t="n">
        <v>406</v>
      </c>
      <c r="B407" s="6" t="s">
        <v>2952</v>
      </c>
      <c r="C407" s="6" t="n">
        <v>9</v>
      </c>
      <c r="D407" s="6" t="s">
        <v>191</v>
      </c>
      <c r="E407" s="6" t="s">
        <v>116</v>
      </c>
      <c r="F407" s="6" t="n">
        <v>2</v>
      </c>
      <c r="G407" s="6" t="n">
        <v>165</v>
      </c>
      <c r="H407" s="6" t="s">
        <v>2930</v>
      </c>
      <c r="I407" s="22" t="n">
        <v>2035000</v>
      </c>
      <c r="J407" s="22" t="n">
        <v>15000</v>
      </c>
      <c r="K407" s="22" t="n">
        <v>153750</v>
      </c>
      <c r="L407" s="22" t="n">
        <v>2203750</v>
      </c>
      <c r="M407" s="6" t="s">
        <v>97</v>
      </c>
      <c r="N407" s="6" t="s">
        <v>84</v>
      </c>
      <c r="O407" s="6" t="s">
        <v>1185</v>
      </c>
      <c r="P407" s="6" t="s">
        <v>59</v>
      </c>
      <c r="Q407" s="6" t="str">
        <f aca="false">IF(P407="pass","No","Yes")</f>
        <v>Yes</v>
      </c>
      <c r="R407" s="6" t="s">
        <v>98</v>
      </c>
      <c r="S407" s="6" t="s">
        <v>1186</v>
      </c>
      <c r="T407" s="6" t="s">
        <v>2953</v>
      </c>
      <c r="U407" s="23" t="n">
        <v>53.863</v>
      </c>
      <c r="V407" s="6" t="s">
        <v>2954</v>
      </c>
      <c r="W407" s="6"/>
      <c r="X407" s="6" t="s">
        <v>2954</v>
      </c>
      <c r="Y407" s="6" t="s">
        <v>98</v>
      </c>
      <c r="Z407" s="6" t="n">
        <v>0</v>
      </c>
      <c r="AA407" s="6" t="n">
        <v>0</v>
      </c>
      <c r="AB407" s="6" t="n">
        <v>0</v>
      </c>
      <c r="AC407" s="6" t="n">
        <v>0</v>
      </c>
      <c r="AD407" s="6" t="n">
        <v>0</v>
      </c>
      <c r="AE407" s="6" t="n">
        <v>0</v>
      </c>
      <c r="AF407" s="6" t="n">
        <v>0</v>
      </c>
      <c r="AG407" s="6" t="n">
        <v>1</v>
      </c>
      <c r="AH407" s="6" t="n">
        <v>1</v>
      </c>
      <c r="AI407" s="6" t="s">
        <v>84</v>
      </c>
    </row>
    <row r="408" customFormat="false" ht="15" hidden="false" customHeight="false" outlineLevel="0" collapsed="false">
      <c r="A408" s="6" t="n">
        <v>407</v>
      </c>
      <c r="B408" s="6" t="s">
        <v>2955</v>
      </c>
      <c r="C408" s="6" t="n">
        <v>9</v>
      </c>
      <c r="D408" s="6" t="s">
        <v>166</v>
      </c>
      <c r="E408" s="6" t="s">
        <v>74</v>
      </c>
      <c r="F408" s="6" t="n">
        <v>3</v>
      </c>
      <c r="G408" s="6" t="n">
        <v>111</v>
      </c>
      <c r="H408" s="6" t="s">
        <v>2956</v>
      </c>
      <c r="I408" s="22" t="n">
        <v>944900</v>
      </c>
      <c r="J408" s="22" t="n">
        <v>9000</v>
      </c>
      <c r="K408" s="22" t="n">
        <v>71542.5</v>
      </c>
      <c r="L408" s="22" t="n">
        <v>1025442.5</v>
      </c>
      <c r="M408" s="6" t="s">
        <v>57</v>
      </c>
      <c r="N408" s="6" t="s">
        <v>58</v>
      </c>
      <c r="O408" s="6"/>
      <c r="P408" s="6" t="s">
        <v>69</v>
      </c>
      <c r="Q408" s="6" t="str">
        <f aca="false">IF(P408="pass","No","Yes")</f>
        <v>No</v>
      </c>
      <c r="R408" s="6" t="s">
        <v>60</v>
      </c>
      <c r="S408" s="6"/>
      <c r="T408" s="6"/>
      <c r="U408" s="23" t="n">
        <v>68.386</v>
      </c>
      <c r="V408" s="6" t="s">
        <v>2957</v>
      </c>
      <c r="W408" s="6" t="s">
        <v>2958</v>
      </c>
      <c r="X408" s="6" t="s">
        <v>2959</v>
      </c>
      <c r="Y408" s="6" t="s">
        <v>60</v>
      </c>
      <c r="Z408" s="6" t="n">
        <v>0</v>
      </c>
      <c r="AA408" s="6" t="n">
        <v>0</v>
      </c>
      <c r="AB408" s="6" t="n">
        <v>0</v>
      </c>
      <c r="AC408" s="6" t="n">
        <v>0</v>
      </c>
      <c r="AD408" s="6" t="n">
        <v>0</v>
      </c>
      <c r="AE408" s="6" t="n">
        <v>0</v>
      </c>
      <c r="AF408" s="6" t="n">
        <v>0</v>
      </c>
      <c r="AG408" s="6" t="n">
        <v>0</v>
      </c>
      <c r="AH408" s="6" t="n">
        <v>0</v>
      </c>
      <c r="AI408" s="6" t="s">
        <v>84</v>
      </c>
    </row>
    <row r="409" customFormat="false" ht="15" hidden="false" customHeight="false" outlineLevel="0" collapsed="false">
      <c r="A409" s="6" t="n">
        <v>408</v>
      </c>
      <c r="B409" s="6" t="s">
        <v>2960</v>
      </c>
      <c r="C409" s="6" t="n">
        <v>9</v>
      </c>
      <c r="D409" s="6" t="s">
        <v>142</v>
      </c>
      <c r="E409" s="6" t="s">
        <v>74</v>
      </c>
      <c r="F409" s="6" t="n">
        <v>2</v>
      </c>
      <c r="G409" s="6" t="n">
        <v>23</v>
      </c>
      <c r="H409" s="6" t="s">
        <v>2961</v>
      </c>
      <c r="I409" s="22" t="n">
        <v>1070000</v>
      </c>
      <c r="J409" s="22" t="n">
        <v>9000</v>
      </c>
      <c r="K409" s="22" t="n">
        <v>80925</v>
      </c>
      <c r="L409" s="22" t="n">
        <v>1159925</v>
      </c>
      <c r="M409" s="6" t="s">
        <v>224</v>
      </c>
      <c r="N409" s="6" t="s">
        <v>84</v>
      </c>
      <c r="O409" s="6" t="s">
        <v>866</v>
      </c>
      <c r="P409" s="6" t="s">
        <v>85</v>
      </c>
      <c r="Q409" s="6" t="str">
        <f aca="false">IF(P409="pass","No","Yes")</f>
        <v>Yes</v>
      </c>
      <c r="R409" s="6" t="s">
        <v>86</v>
      </c>
      <c r="S409" s="6" t="s">
        <v>866</v>
      </c>
      <c r="T409" s="6" t="s">
        <v>225</v>
      </c>
      <c r="U409" s="23" t="n">
        <v>39.972</v>
      </c>
      <c r="V409" s="6" t="s">
        <v>2962</v>
      </c>
      <c r="W409" s="6" t="s">
        <v>2963</v>
      </c>
      <c r="X409" s="6" t="s">
        <v>2964</v>
      </c>
      <c r="Y409" s="6" t="s">
        <v>86</v>
      </c>
      <c r="Z409" s="6" t="n">
        <v>1</v>
      </c>
      <c r="AA409" s="6" t="n">
        <v>0</v>
      </c>
      <c r="AB409" s="6" t="n">
        <v>0</v>
      </c>
      <c r="AC409" s="6" t="n">
        <v>0</v>
      </c>
      <c r="AD409" s="6" t="n">
        <v>0</v>
      </c>
      <c r="AE409" s="6" t="n">
        <v>0</v>
      </c>
      <c r="AF409" s="6" t="n">
        <v>0</v>
      </c>
      <c r="AG409" s="6" t="n">
        <v>0</v>
      </c>
      <c r="AH409" s="6" t="n">
        <v>0</v>
      </c>
      <c r="AI409" s="6" t="s">
        <v>58</v>
      </c>
    </row>
    <row r="410" customFormat="false" ht="15" hidden="false" customHeight="false" outlineLevel="0" collapsed="false">
      <c r="A410" s="6" t="n">
        <v>409</v>
      </c>
      <c r="B410" s="6" t="s">
        <v>2965</v>
      </c>
      <c r="C410" s="6" t="n">
        <v>9</v>
      </c>
      <c r="D410" s="6" t="s">
        <v>119</v>
      </c>
      <c r="E410" s="6" t="s">
        <v>146</v>
      </c>
      <c r="F410" s="6" t="n">
        <v>1</v>
      </c>
      <c r="G410" s="6" t="n">
        <v>25</v>
      </c>
      <c r="H410" s="6" t="s">
        <v>2966</v>
      </c>
      <c r="I410" s="22" t="n">
        <v>180000</v>
      </c>
      <c r="J410" s="22" t="n">
        <v>0</v>
      </c>
      <c r="K410" s="22" t="n">
        <v>13500</v>
      </c>
      <c r="L410" s="22" t="n">
        <v>193500</v>
      </c>
      <c r="M410" s="6" t="s">
        <v>148</v>
      </c>
      <c r="N410" s="6" t="s">
        <v>84</v>
      </c>
      <c r="O410" s="6" t="s">
        <v>866</v>
      </c>
      <c r="P410" s="6" t="s">
        <v>85</v>
      </c>
      <c r="Q410" s="6" t="str">
        <f aca="false">IF(P410="pass","No","Yes")</f>
        <v>Yes</v>
      </c>
      <c r="R410" s="6" t="s">
        <v>86</v>
      </c>
      <c r="S410" s="6" t="s">
        <v>866</v>
      </c>
      <c r="T410" s="6" t="s">
        <v>150</v>
      </c>
      <c r="U410" s="23" t="n">
        <v>37.166</v>
      </c>
      <c r="V410" s="6" t="s">
        <v>2967</v>
      </c>
      <c r="W410" s="6" t="s">
        <v>2968</v>
      </c>
      <c r="X410" s="6" t="s">
        <v>2969</v>
      </c>
      <c r="Y410" s="6" t="s">
        <v>86</v>
      </c>
      <c r="Z410" s="6" t="n">
        <v>1</v>
      </c>
      <c r="AA410" s="6" t="n">
        <v>0</v>
      </c>
      <c r="AB410" s="6" t="n">
        <v>0</v>
      </c>
      <c r="AC410" s="6" t="n">
        <v>0</v>
      </c>
      <c r="AD410" s="6" t="n">
        <v>0</v>
      </c>
      <c r="AE410" s="6" t="n">
        <v>0</v>
      </c>
      <c r="AF410" s="6" t="n">
        <v>0</v>
      </c>
      <c r="AG410" s="6" t="n">
        <v>0</v>
      </c>
      <c r="AH410" s="6" t="n">
        <v>0</v>
      </c>
      <c r="AI410" s="6" t="s">
        <v>84</v>
      </c>
    </row>
    <row r="411" customFormat="false" ht="15" hidden="false" customHeight="false" outlineLevel="0" collapsed="false">
      <c r="A411" s="6" t="n">
        <v>410</v>
      </c>
      <c r="B411" s="6" t="s">
        <v>2970</v>
      </c>
      <c r="C411" s="6" t="n">
        <v>9</v>
      </c>
      <c r="D411" s="6" t="s">
        <v>63</v>
      </c>
      <c r="E411" s="6" t="s">
        <v>67</v>
      </c>
      <c r="F411" s="6" t="n">
        <v>2</v>
      </c>
      <c r="G411" s="6" t="n">
        <v>127</v>
      </c>
      <c r="H411" s="6" t="s">
        <v>2971</v>
      </c>
      <c r="I411" s="22" t="n">
        <v>999800</v>
      </c>
      <c r="J411" s="22" t="n">
        <v>4500</v>
      </c>
      <c r="K411" s="22" t="n">
        <v>75322.5</v>
      </c>
      <c r="L411" s="22" t="n">
        <v>1079622.5</v>
      </c>
      <c r="M411" s="6" t="s">
        <v>960</v>
      </c>
      <c r="N411" s="6" t="s">
        <v>84</v>
      </c>
      <c r="O411" s="6" t="s">
        <v>961</v>
      </c>
      <c r="P411" s="6" t="s">
        <v>85</v>
      </c>
      <c r="Q411" s="6" t="str">
        <f aca="false">IF(P411="pass","No","Yes")</f>
        <v>Yes</v>
      </c>
      <c r="R411" s="6" t="s">
        <v>86</v>
      </c>
      <c r="S411" s="6" t="s">
        <v>961</v>
      </c>
      <c r="T411" s="6" t="s">
        <v>962</v>
      </c>
      <c r="U411" s="23" t="n">
        <v>55.273</v>
      </c>
      <c r="V411" s="6" t="s">
        <v>2972</v>
      </c>
      <c r="W411" s="6" t="s">
        <v>2973</v>
      </c>
      <c r="X411" s="6" t="s">
        <v>2974</v>
      </c>
      <c r="Y411" s="6" t="s">
        <v>86</v>
      </c>
      <c r="Z411" s="6" t="n">
        <v>0</v>
      </c>
      <c r="AA411" s="6" t="n">
        <v>0</v>
      </c>
      <c r="AB411" s="6" t="n">
        <v>0</v>
      </c>
      <c r="AC411" s="6" t="n">
        <v>0</v>
      </c>
      <c r="AD411" s="6" t="n">
        <v>1</v>
      </c>
      <c r="AE411" s="6" t="n">
        <v>0</v>
      </c>
      <c r="AF411" s="6" t="n">
        <v>0</v>
      </c>
      <c r="AG411" s="6" t="n">
        <v>0</v>
      </c>
      <c r="AH411" s="6" t="n">
        <v>0</v>
      </c>
      <c r="AI411" s="6" t="s">
        <v>84</v>
      </c>
    </row>
    <row r="412" customFormat="false" ht="15" hidden="false" customHeight="false" outlineLevel="0" collapsed="false">
      <c r="A412" s="6" t="n">
        <v>411</v>
      </c>
      <c r="B412" s="6" t="s">
        <v>2975</v>
      </c>
      <c r="C412" s="6" t="n">
        <v>9</v>
      </c>
      <c r="D412" s="6" t="s">
        <v>186</v>
      </c>
      <c r="E412" s="6" t="s">
        <v>123</v>
      </c>
      <c r="F412" s="6" t="n">
        <v>1</v>
      </c>
      <c r="G412" s="6" t="n">
        <v>64</v>
      </c>
      <c r="H412" s="6" t="s">
        <v>2976</v>
      </c>
      <c r="I412" s="22" t="n">
        <v>928000</v>
      </c>
      <c r="J412" s="22" t="n">
        <v>5000</v>
      </c>
      <c r="K412" s="22" t="n">
        <v>69975</v>
      </c>
      <c r="L412" s="22" t="n">
        <v>1002975</v>
      </c>
      <c r="M412" s="6" t="s">
        <v>224</v>
      </c>
      <c r="N412" s="6" t="s">
        <v>84</v>
      </c>
      <c r="O412" s="6" t="s">
        <v>866</v>
      </c>
      <c r="P412" s="6" t="s">
        <v>85</v>
      </c>
      <c r="Q412" s="6" t="str">
        <f aca="false">IF(P412="pass","No","Yes")</f>
        <v>Yes</v>
      </c>
      <c r="R412" s="6" t="s">
        <v>86</v>
      </c>
      <c r="S412" s="6" t="s">
        <v>866</v>
      </c>
      <c r="T412" s="6" t="s">
        <v>225</v>
      </c>
      <c r="U412" s="23" t="n">
        <v>23.703</v>
      </c>
      <c r="V412" s="6" t="s">
        <v>2977</v>
      </c>
      <c r="W412" s="6" t="s">
        <v>2978</v>
      </c>
      <c r="X412" s="6" t="s">
        <v>2979</v>
      </c>
      <c r="Y412" s="6" t="s">
        <v>86</v>
      </c>
      <c r="Z412" s="6" t="n">
        <v>1</v>
      </c>
      <c r="AA412" s="6" t="n">
        <v>0</v>
      </c>
      <c r="AB412" s="6" t="n">
        <v>0</v>
      </c>
      <c r="AC412" s="6" t="n">
        <v>0</v>
      </c>
      <c r="AD412" s="6" t="n">
        <v>0</v>
      </c>
      <c r="AE412" s="6" t="n">
        <v>0</v>
      </c>
      <c r="AF412" s="6" t="n">
        <v>0</v>
      </c>
      <c r="AG412" s="6" t="n">
        <v>0</v>
      </c>
      <c r="AH412" s="6" t="n">
        <v>0</v>
      </c>
      <c r="AI412" s="6" t="s">
        <v>58</v>
      </c>
    </row>
    <row r="413" customFormat="false" ht="15" hidden="false" customHeight="false" outlineLevel="0" collapsed="false">
      <c r="A413" s="6" t="n">
        <v>412</v>
      </c>
      <c r="B413" s="6" t="s">
        <v>2980</v>
      </c>
      <c r="C413" s="6" t="n">
        <v>9</v>
      </c>
      <c r="D413" s="6" t="s">
        <v>51</v>
      </c>
      <c r="E413" s="6" t="s">
        <v>55</v>
      </c>
      <c r="F413" s="6" t="n">
        <v>3</v>
      </c>
      <c r="G413" s="6" t="n">
        <v>268</v>
      </c>
      <c r="H413" s="6" t="s">
        <v>2981</v>
      </c>
      <c r="I413" s="22" t="n">
        <v>2282200</v>
      </c>
      <c r="J413" s="22" t="n">
        <v>6000</v>
      </c>
      <c r="K413" s="22" t="n">
        <v>171615</v>
      </c>
      <c r="L413" s="22" t="n">
        <v>2459815</v>
      </c>
      <c r="M413" s="6" t="s">
        <v>57</v>
      </c>
      <c r="N413" s="6" t="s">
        <v>58</v>
      </c>
      <c r="O413" s="6"/>
      <c r="P413" s="6" t="s">
        <v>59</v>
      </c>
      <c r="Q413" s="6" t="str">
        <f aca="false">IF(P413="pass","No","Yes")</f>
        <v>Yes</v>
      </c>
      <c r="R413" s="6" t="s">
        <v>60</v>
      </c>
      <c r="S413" s="6" t="s">
        <v>915</v>
      </c>
      <c r="T413" s="6" t="s">
        <v>2982</v>
      </c>
      <c r="U413" s="23" t="n">
        <v>90.089</v>
      </c>
      <c r="V413" s="6" t="s">
        <v>2983</v>
      </c>
      <c r="W413" s="6" t="s">
        <v>2984</v>
      </c>
      <c r="X413" s="6" t="s">
        <v>2985</v>
      </c>
      <c r="Y413" s="6" t="s">
        <v>60</v>
      </c>
      <c r="Z413" s="6" t="n">
        <v>0</v>
      </c>
      <c r="AA413" s="6" t="n">
        <v>0</v>
      </c>
      <c r="AB413" s="6" t="n">
        <v>0</v>
      </c>
      <c r="AC413" s="6" t="n">
        <v>0</v>
      </c>
      <c r="AD413" s="6" t="n">
        <v>0</v>
      </c>
      <c r="AE413" s="6" t="n">
        <v>0</v>
      </c>
      <c r="AF413" s="6" t="n">
        <v>0</v>
      </c>
      <c r="AG413" s="6" t="n">
        <v>0</v>
      </c>
      <c r="AH413" s="6" t="n">
        <v>1</v>
      </c>
      <c r="AI413" s="6" t="s">
        <v>84</v>
      </c>
    </row>
    <row r="414" customFormat="false" ht="15" hidden="false" customHeight="false" outlineLevel="0" collapsed="false">
      <c r="A414" s="6" t="n">
        <v>413</v>
      </c>
      <c r="B414" s="6" t="s">
        <v>2986</v>
      </c>
      <c r="C414" s="6" t="n">
        <v>9</v>
      </c>
      <c r="D414" s="6" t="s">
        <v>154</v>
      </c>
      <c r="E414" s="6" t="s">
        <v>123</v>
      </c>
      <c r="F414" s="6" t="n">
        <v>2</v>
      </c>
      <c r="G414" s="6" t="n">
        <v>15</v>
      </c>
      <c r="H414" s="6" t="s">
        <v>2987</v>
      </c>
      <c r="I414" s="22" t="n">
        <v>298500</v>
      </c>
      <c r="J414" s="22" t="n">
        <v>5000</v>
      </c>
      <c r="K414" s="22" t="n">
        <v>22762.5</v>
      </c>
      <c r="L414" s="22" t="n">
        <v>326262.5</v>
      </c>
      <c r="M414" s="6" t="s">
        <v>83</v>
      </c>
      <c r="N414" s="6" t="s">
        <v>84</v>
      </c>
      <c r="O414" s="6" t="s">
        <v>886</v>
      </c>
      <c r="P414" s="6" t="s">
        <v>85</v>
      </c>
      <c r="Q414" s="6" t="str">
        <f aca="false">IF(P414="pass","No","Yes")</f>
        <v>Yes</v>
      </c>
      <c r="R414" s="6" t="s">
        <v>86</v>
      </c>
      <c r="S414" s="6" t="s">
        <v>886</v>
      </c>
      <c r="T414" s="6" t="s">
        <v>268</v>
      </c>
      <c r="U414" s="23" t="n">
        <v>37.202</v>
      </c>
      <c r="V414" s="6" t="s">
        <v>2988</v>
      </c>
      <c r="W414" s="6" t="s">
        <v>2989</v>
      </c>
      <c r="X414" s="6" t="s">
        <v>2990</v>
      </c>
      <c r="Y414" s="6" t="s">
        <v>86</v>
      </c>
      <c r="Z414" s="6" t="n">
        <v>0</v>
      </c>
      <c r="AA414" s="6" t="n">
        <v>0</v>
      </c>
      <c r="AB414" s="6" t="n">
        <v>1</v>
      </c>
      <c r="AC414" s="6" t="n">
        <v>0</v>
      </c>
      <c r="AD414" s="6" t="n">
        <v>0</v>
      </c>
      <c r="AE414" s="6" t="n">
        <v>0</v>
      </c>
      <c r="AF414" s="6" t="n">
        <v>0</v>
      </c>
      <c r="AG414" s="6" t="n">
        <v>0</v>
      </c>
      <c r="AH414" s="6" t="n">
        <v>0</v>
      </c>
      <c r="AI414" s="6" t="s">
        <v>84</v>
      </c>
    </row>
    <row r="415" customFormat="false" ht="15" hidden="false" customHeight="false" outlineLevel="0" collapsed="false">
      <c r="A415" s="6" t="n">
        <v>414</v>
      </c>
      <c r="B415" s="6" t="s">
        <v>2991</v>
      </c>
      <c r="C415" s="6" t="n">
        <v>9</v>
      </c>
      <c r="D415" s="6" t="s">
        <v>177</v>
      </c>
      <c r="E415" s="6" t="s">
        <v>81</v>
      </c>
      <c r="F415" s="6" t="n">
        <v>2</v>
      </c>
      <c r="G415" s="6" t="n">
        <v>142</v>
      </c>
      <c r="H415" s="6" t="s">
        <v>2992</v>
      </c>
      <c r="I415" s="22" t="n">
        <v>1016200</v>
      </c>
      <c r="J415" s="22" t="n">
        <v>4000</v>
      </c>
      <c r="K415" s="22" t="n">
        <v>76515</v>
      </c>
      <c r="L415" s="22" t="n">
        <v>1096715</v>
      </c>
      <c r="M415" s="6" t="s">
        <v>927</v>
      </c>
      <c r="N415" s="6" t="s">
        <v>58</v>
      </c>
      <c r="O415" s="6"/>
      <c r="P415" s="6" t="s">
        <v>59</v>
      </c>
      <c r="Q415" s="6" t="str">
        <f aca="false">IF(P415="pass","No","Yes")</f>
        <v>Yes</v>
      </c>
      <c r="R415" s="6" t="s">
        <v>60</v>
      </c>
      <c r="S415" s="6" t="s">
        <v>915</v>
      </c>
      <c r="T415" s="6" t="s">
        <v>2993</v>
      </c>
      <c r="U415" s="23" t="n">
        <v>57.285</v>
      </c>
      <c r="V415" s="6" t="s">
        <v>2994</v>
      </c>
      <c r="W415" s="6" t="s">
        <v>2995</v>
      </c>
      <c r="X415" s="6" t="s">
        <v>2996</v>
      </c>
      <c r="Y415" s="6" t="s">
        <v>60</v>
      </c>
      <c r="Z415" s="6" t="n">
        <v>0</v>
      </c>
      <c r="AA415" s="6" t="n">
        <v>0</v>
      </c>
      <c r="AB415" s="6" t="n">
        <v>0</v>
      </c>
      <c r="AC415" s="6" t="n">
        <v>0</v>
      </c>
      <c r="AD415" s="6" t="n">
        <v>0</v>
      </c>
      <c r="AE415" s="6" t="n">
        <v>0</v>
      </c>
      <c r="AF415" s="6" t="n">
        <v>0</v>
      </c>
      <c r="AG415" s="6" t="n">
        <v>0</v>
      </c>
      <c r="AH415" s="6" t="n">
        <v>1</v>
      </c>
      <c r="AI415" s="6" t="s">
        <v>84</v>
      </c>
    </row>
    <row r="416" customFormat="false" ht="15" hidden="false" customHeight="false" outlineLevel="0" collapsed="false">
      <c r="A416" s="6" t="n">
        <v>415</v>
      </c>
      <c r="B416" s="6" t="s">
        <v>2997</v>
      </c>
      <c r="C416" s="6" t="n">
        <v>9</v>
      </c>
      <c r="D416" s="6" t="s">
        <v>89</v>
      </c>
      <c r="E416" s="6" t="s">
        <v>67</v>
      </c>
      <c r="F416" s="6" t="n">
        <v>3</v>
      </c>
      <c r="G416" s="6" t="n">
        <v>406</v>
      </c>
      <c r="H416" s="6" t="s">
        <v>2998</v>
      </c>
      <c r="I416" s="22" t="n">
        <v>5201000</v>
      </c>
      <c r="J416" s="22" t="n">
        <v>4500</v>
      </c>
      <c r="K416" s="22" t="n">
        <v>390412.5</v>
      </c>
      <c r="L416" s="22" t="n">
        <v>5595912.5</v>
      </c>
      <c r="M416" s="6" t="s">
        <v>171</v>
      </c>
      <c r="N416" s="6" t="s">
        <v>84</v>
      </c>
      <c r="O416" s="6" t="s">
        <v>892</v>
      </c>
      <c r="P416" s="6" t="s">
        <v>85</v>
      </c>
      <c r="Q416" s="6" t="str">
        <f aca="false">IF(P416="pass","No","Yes")</f>
        <v>Yes</v>
      </c>
      <c r="R416" s="6" t="s">
        <v>86</v>
      </c>
      <c r="S416" s="6" t="s">
        <v>892</v>
      </c>
      <c r="T416" s="6" t="s">
        <v>368</v>
      </c>
      <c r="U416" s="23" t="n">
        <v>71.642</v>
      </c>
      <c r="V416" s="6" t="s">
        <v>2999</v>
      </c>
      <c r="W416" s="6" t="s">
        <v>3000</v>
      </c>
      <c r="X416" s="6" t="s">
        <v>3001</v>
      </c>
      <c r="Y416" s="6" t="s">
        <v>86</v>
      </c>
      <c r="Z416" s="6" t="n">
        <v>0</v>
      </c>
      <c r="AA416" s="6" t="n">
        <v>0</v>
      </c>
      <c r="AB416" s="6" t="n">
        <v>0</v>
      </c>
      <c r="AC416" s="6" t="n">
        <v>1</v>
      </c>
      <c r="AD416" s="6" t="n">
        <v>0</v>
      </c>
      <c r="AE416" s="6" t="n">
        <v>0</v>
      </c>
      <c r="AF416" s="6" t="n">
        <v>0</v>
      </c>
      <c r="AG416" s="6" t="n">
        <v>0</v>
      </c>
      <c r="AH416" s="6" t="n">
        <v>0</v>
      </c>
      <c r="AI416" s="6" t="s">
        <v>84</v>
      </c>
    </row>
    <row r="417" customFormat="false" ht="15" hidden="false" customHeight="false" outlineLevel="0" collapsed="false">
      <c r="A417" s="6" t="n">
        <v>416</v>
      </c>
      <c r="B417" s="6" t="s">
        <v>3002</v>
      </c>
      <c r="C417" s="6" t="n">
        <v>9</v>
      </c>
      <c r="D417" s="6" t="s">
        <v>70</v>
      </c>
      <c r="E417" s="6" t="s">
        <v>74</v>
      </c>
      <c r="F417" s="6" t="n">
        <v>1</v>
      </c>
      <c r="G417" s="6" t="n">
        <v>48</v>
      </c>
      <c r="H417" s="6" t="s">
        <v>3003</v>
      </c>
      <c r="I417" s="22" t="n">
        <v>412800</v>
      </c>
      <c r="J417" s="22" t="n">
        <v>9000</v>
      </c>
      <c r="K417" s="22" t="n">
        <v>31635</v>
      </c>
      <c r="L417" s="22" t="n">
        <v>453435</v>
      </c>
      <c r="M417" s="6" t="s">
        <v>57</v>
      </c>
      <c r="N417" s="6" t="s">
        <v>58</v>
      </c>
      <c r="O417" s="6"/>
      <c r="P417" s="6" t="s">
        <v>69</v>
      </c>
      <c r="Q417" s="6" t="str">
        <f aca="false">IF(P417="pass","No","Yes")</f>
        <v>No</v>
      </c>
      <c r="R417" s="6" t="s">
        <v>60</v>
      </c>
      <c r="S417" s="6"/>
      <c r="T417" s="6"/>
      <c r="U417" s="23" t="n">
        <v>26.493</v>
      </c>
      <c r="V417" s="6" t="s">
        <v>3004</v>
      </c>
      <c r="W417" s="6" t="s">
        <v>3005</v>
      </c>
      <c r="X417" s="6" t="s">
        <v>3006</v>
      </c>
      <c r="Y417" s="6" t="s">
        <v>60</v>
      </c>
      <c r="Z417" s="6" t="n">
        <v>0</v>
      </c>
      <c r="AA417" s="6" t="n">
        <v>0</v>
      </c>
      <c r="AB417" s="6" t="n">
        <v>0</v>
      </c>
      <c r="AC417" s="6" t="n">
        <v>0</v>
      </c>
      <c r="AD417" s="6" t="n">
        <v>0</v>
      </c>
      <c r="AE417" s="6" t="n">
        <v>0</v>
      </c>
      <c r="AF417" s="6" t="n">
        <v>0</v>
      </c>
      <c r="AG417" s="6" t="n">
        <v>0</v>
      </c>
      <c r="AH417" s="6" t="n">
        <v>0</v>
      </c>
      <c r="AI417" s="6" t="s">
        <v>84</v>
      </c>
    </row>
    <row r="418" customFormat="false" ht="15" hidden="false" customHeight="false" outlineLevel="0" collapsed="false">
      <c r="A418" s="6" t="n">
        <v>417</v>
      </c>
      <c r="B418" s="6" t="s">
        <v>3007</v>
      </c>
      <c r="C418" s="6" t="n">
        <v>9</v>
      </c>
      <c r="D418" s="6" t="s">
        <v>70</v>
      </c>
      <c r="E418" s="6" t="s">
        <v>74</v>
      </c>
      <c r="F418" s="6" t="n">
        <v>2</v>
      </c>
      <c r="G418" s="6" t="n">
        <v>63</v>
      </c>
      <c r="H418" s="6" t="s">
        <v>3008</v>
      </c>
      <c r="I418" s="22" t="n">
        <v>525000</v>
      </c>
      <c r="J418" s="22" t="n">
        <v>9000</v>
      </c>
      <c r="K418" s="22" t="n">
        <v>40050</v>
      </c>
      <c r="L418" s="22" t="n">
        <v>574050</v>
      </c>
      <c r="M418" s="6" t="s">
        <v>960</v>
      </c>
      <c r="N418" s="6" t="s">
        <v>84</v>
      </c>
      <c r="O418" s="6" t="s">
        <v>961</v>
      </c>
      <c r="P418" s="6" t="s">
        <v>85</v>
      </c>
      <c r="Q418" s="6" t="str">
        <f aca="false">IF(P418="pass","No","Yes")</f>
        <v>Yes</v>
      </c>
      <c r="R418" s="6" t="s">
        <v>86</v>
      </c>
      <c r="S418" s="6" t="s">
        <v>1306</v>
      </c>
      <c r="T418" s="6" t="s">
        <v>3009</v>
      </c>
      <c r="U418" s="23" t="n">
        <v>57.232</v>
      </c>
      <c r="V418" s="6" t="s">
        <v>3010</v>
      </c>
      <c r="W418" s="6" t="s">
        <v>3011</v>
      </c>
      <c r="X418" s="6" t="s">
        <v>3012</v>
      </c>
      <c r="Y418" s="6" t="s">
        <v>86</v>
      </c>
      <c r="Z418" s="6" t="n">
        <v>0</v>
      </c>
      <c r="AA418" s="6" t="n">
        <v>0</v>
      </c>
      <c r="AB418" s="6" t="n">
        <v>0</v>
      </c>
      <c r="AC418" s="6" t="n">
        <v>0</v>
      </c>
      <c r="AD418" s="6" t="n">
        <v>1</v>
      </c>
      <c r="AE418" s="6" t="n">
        <v>0</v>
      </c>
      <c r="AF418" s="6" t="n">
        <v>0</v>
      </c>
      <c r="AG418" s="6" t="n">
        <v>0</v>
      </c>
      <c r="AH418" s="6" t="n">
        <v>1</v>
      </c>
      <c r="AI418" s="6" t="s">
        <v>84</v>
      </c>
    </row>
    <row r="419" customFormat="false" ht="15" hidden="false" customHeight="false" outlineLevel="0" collapsed="false">
      <c r="A419" s="6" t="n">
        <v>418</v>
      </c>
      <c r="B419" s="6" t="s">
        <v>3013</v>
      </c>
      <c r="C419" s="6" t="n">
        <v>9</v>
      </c>
      <c r="D419" s="6" t="s">
        <v>198</v>
      </c>
      <c r="E419" s="6" t="s">
        <v>81</v>
      </c>
      <c r="F419" s="6" t="n">
        <v>3</v>
      </c>
      <c r="G419" s="6" t="n">
        <v>20</v>
      </c>
      <c r="H419" s="6" t="s">
        <v>3014</v>
      </c>
      <c r="I419" s="22" t="n">
        <v>393800</v>
      </c>
      <c r="J419" s="22" t="n">
        <v>4000</v>
      </c>
      <c r="K419" s="22" t="n">
        <v>29835</v>
      </c>
      <c r="L419" s="22" t="n">
        <v>427635</v>
      </c>
      <c r="M419" s="6" t="s">
        <v>132</v>
      </c>
      <c r="N419" s="6" t="s">
        <v>84</v>
      </c>
      <c r="O419" s="6" t="s">
        <v>879</v>
      </c>
      <c r="P419" s="6" t="s">
        <v>85</v>
      </c>
      <c r="Q419" s="6" t="str">
        <f aca="false">IF(P419="pass","No","Yes")</f>
        <v>Yes</v>
      </c>
      <c r="R419" s="6" t="s">
        <v>86</v>
      </c>
      <c r="S419" s="6" t="s">
        <v>880</v>
      </c>
      <c r="T419" s="6" t="s">
        <v>134</v>
      </c>
      <c r="U419" s="23" t="n">
        <v>47.038</v>
      </c>
      <c r="V419" s="6" t="s">
        <v>3015</v>
      </c>
      <c r="W419" s="6" t="s">
        <v>3016</v>
      </c>
      <c r="X419" s="6" t="s">
        <v>3017</v>
      </c>
      <c r="Y419" s="6" t="s">
        <v>86</v>
      </c>
      <c r="Z419" s="6" t="n">
        <v>0</v>
      </c>
      <c r="AA419" s="6" t="n">
        <v>1</v>
      </c>
      <c r="AB419" s="6" t="n">
        <v>0</v>
      </c>
      <c r="AC419" s="6" t="n">
        <v>1</v>
      </c>
      <c r="AD419" s="6" t="n">
        <v>0</v>
      </c>
      <c r="AE419" s="6" t="n">
        <v>0</v>
      </c>
      <c r="AF419" s="6" t="n">
        <v>0</v>
      </c>
      <c r="AG419" s="6" t="n">
        <v>0</v>
      </c>
      <c r="AH419" s="6" t="n">
        <v>0</v>
      </c>
      <c r="AI419" s="6" t="s">
        <v>84</v>
      </c>
    </row>
    <row r="420" customFormat="false" ht="15" hidden="false" customHeight="false" outlineLevel="0" collapsed="false">
      <c r="A420" s="6" t="n">
        <v>419</v>
      </c>
      <c r="B420" s="6" t="s">
        <v>3018</v>
      </c>
      <c r="C420" s="6" t="n">
        <v>9</v>
      </c>
      <c r="D420" s="6" t="s">
        <v>112</v>
      </c>
      <c r="E420" s="6" t="s">
        <v>116</v>
      </c>
      <c r="F420" s="6" t="n">
        <v>2</v>
      </c>
      <c r="G420" s="6" t="n">
        <v>180</v>
      </c>
      <c r="H420" s="6" t="s">
        <v>3019</v>
      </c>
      <c r="I420" s="22" t="n">
        <v>1466200</v>
      </c>
      <c r="J420" s="22" t="n">
        <v>15000</v>
      </c>
      <c r="K420" s="22" t="n">
        <v>111090</v>
      </c>
      <c r="L420" s="22" t="n">
        <v>1592290</v>
      </c>
      <c r="M420" s="6" t="s">
        <v>57</v>
      </c>
      <c r="N420" s="6" t="s">
        <v>58</v>
      </c>
      <c r="O420" s="6"/>
      <c r="P420" s="6" t="s">
        <v>59</v>
      </c>
      <c r="Q420" s="6" t="str">
        <f aca="false">IF(P420="pass","No","Yes")</f>
        <v>Yes</v>
      </c>
      <c r="R420" s="6" t="s">
        <v>60</v>
      </c>
      <c r="S420" s="6" t="s">
        <v>915</v>
      </c>
      <c r="T420" s="6" t="s">
        <v>3020</v>
      </c>
      <c r="U420" s="23" t="n">
        <v>58.761</v>
      </c>
      <c r="V420" s="6" t="s">
        <v>3021</v>
      </c>
      <c r="W420" s="6" t="s">
        <v>3022</v>
      </c>
      <c r="X420" s="6" t="s">
        <v>3023</v>
      </c>
      <c r="Y420" s="6" t="s">
        <v>60</v>
      </c>
      <c r="Z420" s="6" t="n">
        <v>0</v>
      </c>
      <c r="AA420" s="6" t="n">
        <v>0</v>
      </c>
      <c r="AB420" s="6" t="n">
        <v>0</v>
      </c>
      <c r="AC420" s="6" t="n">
        <v>0</v>
      </c>
      <c r="AD420" s="6" t="n">
        <v>0</v>
      </c>
      <c r="AE420" s="6" t="n">
        <v>0</v>
      </c>
      <c r="AF420" s="6" t="n">
        <v>0</v>
      </c>
      <c r="AG420" s="6" t="n">
        <v>0</v>
      </c>
      <c r="AH420" s="6" t="n">
        <v>1</v>
      </c>
      <c r="AI420" s="6" t="s">
        <v>84</v>
      </c>
    </row>
    <row r="421" customFormat="false" ht="15" hidden="false" customHeight="false" outlineLevel="0" collapsed="false">
      <c r="A421" s="6" t="n">
        <v>420</v>
      </c>
      <c r="B421" s="6" t="s">
        <v>3024</v>
      </c>
      <c r="C421" s="6" t="n">
        <v>9</v>
      </c>
      <c r="D421" s="6" t="s">
        <v>213</v>
      </c>
      <c r="E421" s="6" t="s">
        <v>67</v>
      </c>
      <c r="F421" s="6" t="n">
        <v>4</v>
      </c>
      <c r="G421" s="6" t="n">
        <v>53</v>
      </c>
      <c r="H421" s="6" t="s">
        <v>3025</v>
      </c>
      <c r="I421" s="22" t="n">
        <v>1683600</v>
      </c>
      <c r="J421" s="22" t="n">
        <v>4500</v>
      </c>
      <c r="K421" s="22" t="n">
        <v>126607.5</v>
      </c>
      <c r="L421" s="22" t="n">
        <v>1814707.5</v>
      </c>
      <c r="M421" s="6" t="s">
        <v>132</v>
      </c>
      <c r="N421" s="6" t="s">
        <v>84</v>
      </c>
      <c r="O421" s="6" t="s">
        <v>879</v>
      </c>
      <c r="P421" s="6" t="s">
        <v>85</v>
      </c>
      <c r="Q421" s="6" t="str">
        <f aca="false">IF(P421="pass","No","Yes")</f>
        <v>Yes</v>
      </c>
      <c r="R421" s="6" t="s">
        <v>86</v>
      </c>
      <c r="S421" s="6" t="s">
        <v>880</v>
      </c>
      <c r="T421" s="6" t="s">
        <v>134</v>
      </c>
      <c r="U421" s="23" t="n">
        <v>75.513</v>
      </c>
      <c r="V421" s="6" t="s">
        <v>3026</v>
      </c>
      <c r="W421" s="6" t="s">
        <v>3027</v>
      </c>
      <c r="X421" s="6" t="s">
        <v>3028</v>
      </c>
      <c r="Y421" s="6" t="s">
        <v>86</v>
      </c>
      <c r="Z421" s="6" t="n">
        <v>0</v>
      </c>
      <c r="AA421" s="6" t="n">
        <v>1</v>
      </c>
      <c r="AB421" s="6" t="n">
        <v>0</v>
      </c>
      <c r="AC421" s="6" t="n">
        <v>1</v>
      </c>
      <c r="AD421" s="6" t="n">
        <v>0</v>
      </c>
      <c r="AE421" s="6" t="n">
        <v>0</v>
      </c>
      <c r="AF421" s="6" t="n">
        <v>0</v>
      </c>
      <c r="AG421" s="6" t="n">
        <v>0</v>
      </c>
      <c r="AH421" s="6" t="n">
        <v>0</v>
      </c>
      <c r="AI421" s="6" t="s">
        <v>84</v>
      </c>
    </row>
    <row r="422" customFormat="false" ht="15" hidden="false" customHeight="false" outlineLevel="0" collapsed="false">
      <c r="A422" s="6" t="n">
        <v>421</v>
      </c>
      <c r="B422" s="6" t="s">
        <v>3029</v>
      </c>
      <c r="C422" s="6" t="n">
        <v>9</v>
      </c>
      <c r="D422" s="6" t="s">
        <v>77</v>
      </c>
      <c r="E422" s="6" t="s">
        <v>81</v>
      </c>
      <c r="F422" s="6" t="n">
        <v>2</v>
      </c>
      <c r="G422" s="6" t="n">
        <v>2014</v>
      </c>
      <c r="H422" s="6" t="s">
        <v>3030</v>
      </c>
      <c r="I422" s="22" t="n">
        <v>19275500</v>
      </c>
      <c r="J422" s="22" t="n">
        <v>4000</v>
      </c>
      <c r="K422" s="22" t="n">
        <v>1445962.5</v>
      </c>
      <c r="L422" s="22" t="n">
        <v>20725462.5</v>
      </c>
      <c r="M422" s="6" t="s">
        <v>159</v>
      </c>
      <c r="N422" s="6" t="s">
        <v>84</v>
      </c>
      <c r="O422" s="6" t="s">
        <v>886</v>
      </c>
      <c r="P422" s="6" t="s">
        <v>85</v>
      </c>
      <c r="Q422" s="6" t="str">
        <f aca="false">IF(P422="pass","No","Yes")</f>
        <v>Yes</v>
      </c>
      <c r="R422" s="6" t="s">
        <v>86</v>
      </c>
      <c r="S422" s="6" t="s">
        <v>992</v>
      </c>
      <c r="T422" s="6" t="s">
        <v>3031</v>
      </c>
      <c r="U422" s="23" t="n">
        <v>59.264</v>
      </c>
      <c r="V422" s="6" t="s">
        <v>3032</v>
      </c>
      <c r="W422" s="6" t="s">
        <v>3033</v>
      </c>
      <c r="X422" s="6" t="s">
        <v>3034</v>
      </c>
      <c r="Y422" s="6" t="s">
        <v>86</v>
      </c>
      <c r="Z422" s="6" t="n">
        <v>0</v>
      </c>
      <c r="AA422" s="6" t="n">
        <v>0</v>
      </c>
      <c r="AB422" s="6" t="n">
        <v>1</v>
      </c>
      <c r="AC422" s="6" t="n">
        <v>1</v>
      </c>
      <c r="AD422" s="6" t="n">
        <v>0</v>
      </c>
      <c r="AE422" s="6" t="n">
        <v>0</v>
      </c>
      <c r="AF422" s="6" t="n">
        <v>0</v>
      </c>
      <c r="AG422" s="6" t="n">
        <v>0</v>
      </c>
      <c r="AH422" s="6" t="n">
        <v>1</v>
      </c>
      <c r="AI422" s="6" t="s">
        <v>84</v>
      </c>
    </row>
    <row r="423" customFormat="false" ht="15" hidden="false" customHeight="false" outlineLevel="0" collapsed="false">
      <c r="A423" s="6" t="n">
        <v>422</v>
      </c>
      <c r="B423" s="6" t="s">
        <v>3035</v>
      </c>
      <c r="C423" s="6" t="n">
        <v>9</v>
      </c>
      <c r="D423" s="6" t="s">
        <v>166</v>
      </c>
      <c r="E423" s="6" t="s">
        <v>74</v>
      </c>
      <c r="F423" s="6" t="n">
        <v>1</v>
      </c>
      <c r="G423" s="6" t="n">
        <v>10</v>
      </c>
      <c r="H423" s="6" t="s">
        <v>1036</v>
      </c>
      <c r="I423" s="22" t="n">
        <v>310000</v>
      </c>
      <c r="J423" s="22" t="n">
        <v>9000</v>
      </c>
      <c r="K423" s="22" t="n">
        <v>23925</v>
      </c>
      <c r="L423" s="22" t="n">
        <v>342925</v>
      </c>
      <c r="M423" s="6" t="s">
        <v>1042</v>
      </c>
      <c r="N423" s="6" t="s">
        <v>58</v>
      </c>
      <c r="O423" s="6"/>
      <c r="P423" s="6" t="s">
        <v>59</v>
      </c>
      <c r="Q423" s="6" t="str">
        <f aca="false">IF(P423="pass","No","Yes")</f>
        <v>Yes</v>
      </c>
      <c r="R423" s="6" t="s">
        <v>98</v>
      </c>
      <c r="S423" s="6" t="s">
        <v>1185</v>
      </c>
      <c r="T423" s="6" t="s">
        <v>1827</v>
      </c>
      <c r="U423" s="23" t="n">
        <v>21.822</v>
      </c>
      <c r="V423" s="6" t="s">
        <v>3036</v>
      </c>
      <c r="W423" s="6"/>
      <c r="X423" s="6" t="s">
        <v>3036</v>
      </c>
      <c r="Y423" s="6" t="s">
        <v>98</v>
      </c>
      <c r="Z423" s="6" t="n">
        <v>0</v>
      </c>
      <c r="AA423" s="6" t="n">
        <v>0</v>
      </c>
      <c r="AB423" s="6" t="n">
        <v>0</v>
      </c>
      <c r="AC423" s="6" t="n">
        <v>0</v>
      </c>
      <c r="AD423" s="6" t="n">
        <v>0</v>
      </c>
      <c r="AE423" s="6" t="n">
        <v>0</v>
      </c>
      <c r="AF423" s="6" t="n">
        <v>0</v>
      </c>
      <c r="AG423" s="6" t="n">
        <v>1</v>
      </c>
      <c r="AH423" s="6" t="n">
        <v>0</v>
      </c>
      <c r="AI423" s="6" t="s">
        <v>84</v>
      </c>
    </row>
    <row r="424" customFormat="false" ht="15" hidden="false" customHeight="false" outlineLevel="0" collapsed="false">
      <c r="A424" s="6" t="n">
        <v>423</v>
      </c>
      <c r="B424" s="6" t="s">
        <v>3037</v>
      </c>
      <c r="C424" s="6" t="n">
        <v>9</v>
      </c>
      <c r="D424" s="6" t="s">
        <v>191</v>
      </c>
      <c r="E424" s="6" t="s">
        <v>116</v>
      </c>
      <c r="F424" s="6" t="n">
        <v>3</v>
      </c>
      <c r="G424" s="6" t="n">
        <v>261</v>
      </c>
      <c r="H424" s="6" t="s">
        <v>3038</v>
      </c>
      <c r="I424" s="22" t="n">
        <v>2590400</v>
      </c>
      <c r="J424" s="22" t="n">
        <v>15000</v>
      </c>
      <c r="K424" s="22" t="n">
        <v>195405</v>
      </c>
      <c r="L424" s="22" t="n">
        <v>2800805</v>
      </c>
      <c r="M424" s="6" t="s">
        <v>927</v>
      </c>
      <c r="N424" s="6" t="s">
        <v>58</v>
      </c>
      <c r="O424" s="6"/>
      <c r="P424" s="6" t="s">
        <v>59</v>
      </c>
      <c r="Q424" s="6" t="str">
        <f aca="false">IF(P424="pass","No","Yes")</f>
        <v>Yes</v>
      </c>
      <c r="R424" s="6" t="s">
        <v>60</v>
      </c>
      <c r="S424" s="6" t="s">
        <v>915</v>
      </c>
      <c r="T424" s="6" t="s">
        <v>3039</v>
      </c>
      <c r="U424" s="23" t="n">
        <v>78.446</v>
      </c>
      <c r="V424" s="6" t="s">
        <v>3040</v>
      </c>
      <c r="W424" s="6" t="s">
        <v>3041</v>
      </c>
      <c r="X424" s="6" t="s">
        <v>3042</v>
      </c>
      <c r="Y424" s="6" t="s">
        <v>60</v>
      </c>
      <c r="Z424" s="6" t="n">
        <v>0</v>
      </c>
      <c r="AA424" s="6" t="n">
        <v>0</v>
      </c>
      <c r="AB424" s="6" t="n">
        <v>0</v>
      </c>
      <c r="AC424" s="6" t="n">
        <v>0</v>
      </c>
      <c r="AD424" s="6" t="n">
        <v>0</v>
      </c>
      <c r="AE424" s="6" t="n">
        <v>0</v>
      </c>
      <c r="AF424" s="6" t="n">
        <v>0</v>
      </c>
      <c r="AG424" s="6" t="n">
        <v>0</v>
      </c>
      <c r="AH424" s="6" t="n">
        <v>1</v>
      </c>
      <c r="AI424" s="6" t="s">
        <v>84</v>
      </c>
    </row>
    <row r="425" customFormat="false" ht="15" hidden="false" customHeight="false" outlineLevel="0" collapsed="false">
      <c r="A425" s="6" t="n">
        <v>424</v>
      </c>
      <c r="B425" s="6" t="s">
        <v>3043</v>
      </c>
      <c r="C425" s="6" t="n">
        <v>9</v>
      </c>
      <c r="D425" s="6" t="s">
        <v>112</v>
      </c>
      <c r="E425" s="6" t="s">
        <v>116</v>
      </c>
      <c r="F425" s="6" t="n">
        <v>3</v>
      </c>
      <c r="G425" s="6" t="n">
        <v>974</v>
      </c>
      <c r="H425" s="6" t="s">
        <v>3044</v>
      </c>
      <c r="I425" s="22" t="n">
        <v>13182800</v>
      </c>
      <c r="J425" s="22" t="n">
        <v>15000</v>
      </c>
      <c r="K425" s="22" t="n">
        <v>989835</v>
      </c>
      <c r="L425" s="22" t="n">
        <v>14187635</v>
      </c>
      <c r="M425" s="6" t="s">
        <v>159</v>
      </c>
      <c r="N425" s="6" t="s">
        <v>84</v>
      </c>
      <c r="O425" s="6" t="s">
        <v>886</v>
      </c>
      <c r="P425" s="6" t="s">
        <v>85</v>
      </c>
      <c r="Q425" s="6" t="str">
        <f aca="false">IF(P425="pass","No","Yes")</f>
        <v>Yes</v>
      </c>
      <c r="R425" s="6" t="s">
        <v>86</v>
      </c>
      <c r="S425" s="6" t="s">
        <v>992</v>
      </c>
      <c r="T425" s="6" t="s">
        <v>3045</v>
      </c>
      <c r="U425" s="23" t="n">
        <v>74.323</v>
      </c>
      <c r="V425" s="6" t="s">
        <v>3046</v>
      </c>
      <c r="W425" s="6" t="s">
        <v>3047</v>
      </c>
      <c r="X425" s="6" t="s">
        <v>3048</v>
      </c>
      <c r="Y425" s="6" t="s">
        <v>86</v>
      </c>
      <c r="Z425" s="6" t="n">
        <v>0</v>
      </c>
      <c r="AA425" s="6" t="n">
        <v>0</v>
      </c>
      <c r="AB425" s="6" t="n">
        <v>1</v>
      </c>
      <c r="AC425" s="6" t="n">
        <v>1</v>
      </c>
      <c r="AD425" s="6" t="n">
        <v>0</v>
      </c>
      <c r="AE425" s="6" t="n">
        <v>0</v>
      </c>
      <c r="AF425" s="6" t="n">
        <v>0</v>
      </c>
      <c r="AG425" s="6" t="n">
        <v>0</v>
      </c>
      <c r="AH425" s="6" t="n">
        <v>1</v>
      </c>
      <c r="AI425" s="6" t="s">
        <v>84</v>
      </c>
    </row>
    <row r="426" customFormat="false" ht="15" hidden="false" customHeight="false" outlineLevel="0" collapsed="false">
      <c r="A426" s="6" t="n">
        <v>425</v>
      </c>
      <c r="B426" s="6" t="s">
        <v>3049</v>
      </c>
      <c r="C426" s="6" t="n">
        <v>9</v>
      </c>
      <c r="D426" s="6" t="s">
        <v>213</v>
      </c>
      <c r="E426" s="6" t="s">
        <v>67</v>
      </c>
      <c r="F426" s="6" t="n">
        <v>3</v>
      </c>
      <c r="G426" s="6" t="n">
        <v>69</v>
      </c>
      <c r="H426" s="6" t="s">
        <v>3050</v>
      </c>
      <c r="I426" s="22" t="n">
        <v>1033800</v>
      </c>
      <c r="J426" s="22" t="n">
        <v>4500</v>
      </c>
      <c r="K426" s="22" t="n">
        <v>77872.5</v>
      </c>
      <c r="L426" s="22" t="n">
        <v>1116172.5</v>
      </c>
      <c r="M426" s="6" t="s">
        <v>57</v>
      </c>
      <c r="N426" s="6" t="s">
        <v>58</v>
      </c>
      <c r="O426" s="6"/>
      <c r="P426" s="6" t="s">
        <v>69</v>
      </c>
      <c r="Q426" s="6" t="str">
        <f aca="false">IF(P426="pass","No","Yes")</f>
        <v>No</v>
      </c>
      <c r="R426" s="6" t="s">
        <v>60</v>
      </c>
      <c r="S426" s="6"/>
      <c r="T426" s="6"/>
      <c r="U426" s="23" t="n">
        <v>61.686</v>
      </c>
      <c r="V426" s="6" t="s">
        <v>3051</v>
      </c>
      <c r="W426" s="6" t="s">
        <v>3052</v>
      </c>
      <c r="X426" s="6" t="s">
        <v>3053</v>
      </c>
      <c r="Y426" s="6" t="s">
        <v>60</v>
      </c>
      <c r="Z426" s="6" t="n">
        <v>0</v>
      </c>
      <c r="AA426" s="6" t="n">
        <v>0</v>
      </c>
      <c r="AB426" s="6" t="n">
        <v>0</v>
      </c>
      <c r="AC426" s="6" t="n">
        <v>0</v>
      </c>
      <c r="AD426" s="6" t="n">
        <v>0</v>
      </c>
      <c r="AE426" s="6" t="n">
        <v>0</v>
      </c>
      <c r="AF426" s="6" t="n">
        <v>0</v>
      </c>
      <c r="AG426" s="6" t="n">
        <v>0</v>
      </c>
      <c r="AH426" s="6" t="n">
        <v>0</v>
      </c>
      <c r="AI426" s="6" t="s">
        <v>84</v>
      </c>
    </row>
    <row r="427" customFormat="false" ht="15" hidden="false" customHeight="false" outlineLevel="0" collapsed="false">
      <c r="A427" s="6" t="n">
        <v>426</v>
      </c>
      <c r="B427" s="6" t="s">
        <v>3054</v>
      </c>
      <c r="C427" s="6" t="n">
        <v>9</v>
      </c>
      <c r="D427" s="6" t="s">
        <v>186</v>
      </c>
      <c r="E427" s="6" t="s">
        <v>123</v>
      </c>
      <c r="F427" s="6" t="n">
        <v>2</v>
      </c>
      <c r="G427" s="6" t="n">
        <v>37</v>
      </c>
      <c r="H427" s="6" t="s">
        <v>3055</v>
      </c>
      <c r="I427" s="22" t="n">
        <v>515700</v>
      </c>
      <c r="J427" s="22" t="n">
        <v>5000</v>
      </c>
      <c r="K427" s="22" t="n">
        <v>39052.5</v>
      </c>
      <c r="L427" s="22" t="n">
        <v>559752.5</v>
      </c>
      <c r="M427" s="6" t="s">
        <v>94</v>
      </c>
      <c r="N427" s="6" t="s">
        <v>84</v>
      </c>
      <c r="O427" s="6" t="s">
        <v>909</v>
      </c>
      <c r="P427" s="6" t="s">
        <v>85</v>
      </c>
      <c r="Q427" s="6" t="str">
        <f aca="false">IF(P427="pass","No","Yes")</f>
        <v>Yes</v>
      </c>
      <c r="R427" s="6" t="s">
        <v>86</v>
      </c>
      <c r="S427" s="6" t="s">
        <v>909</v>
      </c>
      <c r="T427" s="6" t="s">
        <v>254</v>
      </c>
      <c r="U427" s="23" t="n">
        <v>43.673</v>
      </c>
      <c r="V427" s="6" t="s">
        <v>3056</v>
      </c>
      <c r="W427" s="6" t="s">
        <v>3057</v>
      </c>
      <c r="X427" s="6" t="s">
        <v>3058</v>
      </c>
      <c r="Y427" s="6" t="s">
        <v>86</v>
      </c>
      <c r="Z427" s="6" t="n">
        <v>0</v>
      </c>
      <c r="AA427" s="6" t="n">
        <v>0</v>
      </c>
      <c r="AB427" s="6" t="n">
        <v>0</v>
      </c>
      <c r="AC427" s="6" t="n">
        <v>0</v>
      </c>
      <c r="AD427" s="6" t="n">
        <v>0</v>
      </c>
      <c r="AE427" s="6" t="n">
        <v>0</v>
      </c>
      <c r="AF427" s="6" t="n">
        <v>1</v>
      </c>
      <c r="AG427" s="6" t="n">
        <v>0</v>
      </c>
      <c r="AH427" s="6" t="n">
        <v>0</v>
      </c>
      <c r="AI427" s="6" t="s">
        <v>84</v>
      </c>
    </row>
    <row r="428" customFormat="false" ht="15" hidden="false" customHeight="false" outlineLevel="0" collapsed="false">
      <c r="A428" s="6" t="n">
        <v>427</v>
      </c>
      <c r="B428" s="6" t="s">
        <v>3059</v>
      </c>
      <c r="C428" s="6" t="n">
        <v>9</v>
      </c>
      <c r="D428" s="6" t="s">
        <v>177</v>
      </c>
      <c r="E428" s="6" t="s">
        <v>81</v>
      </c>
      <c r="F428" s="6" t="n">
        <v>3</v>
      </c>
      <c r="G428" s="6" t="n">
        <v>38</v>
      </c>
      <c r="H428" s="6" t="s">
        <v>3060</v>
      </c>
      <c r="I428" s="22" t="n">
        <v>1488200</v>
      </c>
      <c r="J428" s="22" t="n">
        <v>4000</v>
      </c>
      <c r="K428" s="22" t="n">
        <v>111915</v>
      </c>
      <c r="L428" s="22" t="n">
        <v>1604115</v>
      </c>
      <c r="M428" s="6" t="s">
        <v>960</v>
      </c>
      <c r="N428" s="6" t="s">
        <v>84</v>
      </c>
      <c r="O428" s="6" t="s">
        <v>961</v>
      </c>
      <c r="P428" s="6" t="s">
        <v>85</v>
      </c>
      <c r="Q428" s="6" t="str">
        <f aca="false">IF(P428="pass","No","Yes")</f>
        <v>Yes</v>
      </c>
      <c r="R428" s="6" t="s">
        <v>86</v>
      </c>
      <c r="S428" s="6" t="s">
        <v>961</v>
      </c>
      <c r="T428" s="6" t="s">
        <v>962</v>
      </c>
      <c r="U428" s="23" t="n">
        <v>59.248</v>
      </c>
      <c r="V428" s="6" t="s">
        <v>3061</v>
      </c>
      <c r="W428" s="6" t="s">
        <v>3062</v>
      </c>
      <c r="X428" s="6" t="s">
        <v>3063</v>
      </c>
      <c r="Y428" s="6" t="s">
        <v>86</v>
      </c>
      <c r="Z428" s="6" t="n">
        <v>0</v>
      </c>
      <c r="AA428" s="6" t="n">
        <v>0</v>
      </c>
      <c r="AB428" s="6" t="n">
        <v>0</v>
      </c>
      <c r="AC428" s="6" t="n">
        <v>0</v>
      </c>
      <c r="AD428" s="6" t="n">
        <v>1</v>
      </c>
      <c r="AE428" s="6" t="n">
        <v>0</v>
      </c>
      <c r="AF428" s="6" t="n">
        <v>0</v>
      </c>
      <c r="AG428" s="6" t="n">
        <v>0</v>
      </c>
      <c r="AH428" s="6" t="n">
        <v>0</v>
      </c>
      <c r="AI428" s="6" t="s">
        <v>84</v>
      </c>
    </row>
    <row r="429" customFormat="false" ht="15" hidden="false" customHeight="false" outlineLevel="0" collapsed="false">
      <c r="A429" s="6" t="n">
        <v>428</v>
      </c>
      <c r="B429" s="6" t="s">
        <v>3064</v>
      </c>
      <c r="C429" s="6" t="n">
        <v>9</v>
      </c>
      <c r="D429" s="6" t="s">
        <v>198</v>
      </c>
      <c r="E429" s="6" t="s">
        <v>81</v>
      </c>
      <c r="F429" s="6" t="n">
        <v>2</v>
      </c>
      <c r="G429" s="6" t="n">
        <v>1</v>
      </c>
      <c r="H429" s="6" t="s">
        <v>3065</v>
      </c>
      <c r="I429" s="22" t="n">
        <v>38000</v>
      </c>
      <c r="J429" s="22" t="n">
        <v>4000</v>
      </c>
      <c r="K429" s="22" t="n">
        <v>3150</v>
      </c>
      <c r="L429" s="22" t="n">
        <v>45150</v>
      </c>
      <c r="M429" s="6" t="s">
        <v>152</v>
      </c>
      <c r="N429" s="6" t="s">
        <v>84</v>
      </c>
      <c r="O429" s="6" t="s">
        <v>886</v>
      </c>
      <c r="P429" s="6" t="s">
        <v>85</v>
      </c>
      <c r="Q429" s="6" t="str">
        <f aca="false">IF(P429="pass","No","Yes")</f>
        <v>Yes</v>
      </c>
      <c r="R429" s="6" t="s">
        <v>86</v>
      </c>
      <c r="S429" s="6" t="s">
        <v>886</v>
      </c>
      <c r="T429" s="6" t="s">
        <v>264</v>
      </c>
      <c r="U429" s="23" t="n">
        <v>25.485</v>
      </c>
      <c r="V429" s="6" t="s">
        <v>3066</v>
      </c>
      <c r="W429" s="6" t="s">
        <v>3067</v>
      </c>
      <c r="X429" s="6" t="s">
        <v>3068</v>
      </c>
      <c r="Y429" s="6" t="s">
        <v>86</v>
      </c>
      <c r="Z429" s="6" t="n">
        <v>0</v>
      </c>
      <c r="AA429" s="6" t="n">
        <v>0</v>
      </c>
      <c r="AB429" s="6" t="n">
        <v>1</v>
      </c>
      <c r="AC429" s="6" t="n">
        <v>0</v>
      </c>
      <c r="AD429" s="6" t="n">
        <v>0</v>
      </c>
      <c r="AE429" s="6" t="n">
        <v>0</v>
      </c>
      <c r="AF429" s="6" t="n">
        <v>0</v>
      </c>
      <c r="AG429" s="6" t="n">
        <v>0</v>
      </c>
      <c r="AH429" s="6" t="n">
        <v>0</v>
      </c>
      <c r="AI429" s="6" t="s">
        <v>84</v>
      </c>
    </row>
    <row r="430" customFormat="false" ht="15" hidden="false" customHeight="false" outlineLevel="0" collapsed="false">
      <c r="A430" s="6" t="n">
        <v>429</v>
      </c>
      <c r="B430" s="6" t="s">
        <v>3069</v>
      </c>
      <c r="C430" s="6" t="n">
        <v>9</v>
      </c>
      <c r="D430" s="6" t="s">
        <v>166</v>
      </c>
      <c r="E430" s="6" t="s">
        <v>74</v>
      </c>
      <c r="F430" s="6" t="n">
        <v>3</v>
      </c>
      <c r="G430" s="6" t="n">
        <v>56</v>
      </c>
      <c r="H430" s="6" t="s">
        <v>3070</v>
      </c>
      <c r="I430" s="22" t="n">
        <v>797700</v>
      </c>
      <c r="J430" s="22" t="n">
        <v>9000</v>
      </c>
      <c r="K430" s="22" t="n">
        <v>60502.5</v>
      </c>
      <c r="L430" s="22" t="n">
        <v>867202.5</v>
      </c>
      <c r="M430" s="6" t="s">
        <v>57</v>
      </c>
      <c r="N430" s="6" t="s">
        <v>58</v>
      </c>
      <c r="O430" s="6"/>
      <c r="P430" s="6" t="s">
        <v>69</v>
      </c>
      <c r="Q430" s="6" t="str">
        <f aca="false">IF(P430="pass","No","Yes")</f>
        <v>No</v>
      </c>
      <c r="R430" s="6" t="s">
        <v>60</v>
      </c>
      <c r="S430" s="6"/>
      <c r="T430" s="6"/>
      <c r="U430" s="23" t="n">
        <v>78.568</v>
      </c>
      <c r="V430" s="6" t="s">
        <v>3071</v>
      </c>
      <c r="W430" s="6" t="s">
        <v>3072</v>
      </c>
      <c r="X430" s="6" t="s">
        <v>3073</v>
      </c>
      <c r="Y430" s="6" t="s">
        <v>60</v>
      </c>
      <c r="Z430" s="6" t="n">
        <v>0</v>
      </c>
      <c r="AA430" s="6" t="n">
        <v>0</v>
      </c>
      <c r="AB430" s="6" t="n">
        <v>0</v>
      </c>
      <c r="AC430" s="6" t="n">
        <v>0</v>
      </c>
      <c r="AD430" s="6" t="n">
        <v>0</v>
      </c>
      <c r="AE430" s="6" t="n">
        <v>0</v>
      </c>
      <c r="AF430" s="6" t="n">
        <v>0</v>
      </c>
      <c r="AG430" s="6" t="n">
        <v>0</v>
      </c>
      <c r="AH430" s="6" t="n">
        <v>0</v>
      </c>
      <c r="AI430" s="6" t="s">
        <v>84</v>
      </c>
    </row>
    <row r="431" customFormat="false" ht="15" hidden="false" customHeight="false" outlineLevel="0" collapsed="false">
      <c r="A431" s="6" t="n">
        <v>430</v>
      </c>
      <c r="B431" s="6" t="s">
        <v>3074</v>
      </c>
      <c r="C431" s="6" t="n">
        <v>9</v>
      </c>
      <c r="D431" s="6" t="s">
        <v>105</v>
      </c>
      <c r="E431" s="6" t="s">
        <v>81</v>
      </c>
      <c r="F431" s="6" t="n">
        <v>3</v>
      </c>
      <c r="G431" s="6" t="n">
        <v>97</v>
      </c>
      <c r="H431" s="6" t="s">
        <v>3075</v>
      </c>
      <c r="I431" s="22" t="n">
        <v>1069700</v>
      </c>
      <c r="J431" s="22" t="n">
        <v>4000</v>
      </c>
      <c r="K431" s="22" t="n">
        <v>80527.5</v>
      </c>
      <c r="L431" s="22" t="n">
        <v>1154227.5</v>
      </c>
      <c r="M431" s="6" t="s">
        <v>1042</v>
      </c>
      <c r="N431" s="6" t="s">
        <v>58</v>
      </c>
      <c r="O431" s="6"/>
      <c r="P431" s="6" t="s">
        <v>69</v>
      </c>
      <c r="Q431" s="6" t="str">
        <f aca="false">IF(P431="pass","No","Yes")</f>
        <v>No</v>
      </c>
      <c r="R431" s="6" t="s">
        <v>60</v>
      </c>
      <c r="S431" s="6"/>
      <c r="T431" s="6"/>
      <c r="U431" s="23" t="n">
        <v>78.403</v>
      </c>
      <c r="V431" s="6" t="s">
        <v>3076</v>
      </c>
      <c r="W431" s="6" t="s">
        <v>3077</v>
      </c>
      <c r="X431" s="6" t="s">
        <v>3078</v>
      </c>
      <c r="Y431" s="6" t="s">
        <v>60</v>
      </c>
      <c r="Z431" s="6" t="n">
        <v>0</v>
      </c>
      <c r="AA431" s="6" t="n">
        <v>0</v>
      </c>
      <c r="AB431" s="6" t="n">
        <v>0</v>
      </c>
      <c r="AC431" s="6" t="n">
        <v>0</v>
      </c>
      <c r="AD431" s="6" t="n">
        <v>0</v>
      </c>
      <c r="AE431" s="6" t="n">
        <v>0</v>
      </c>
      <c r="AF431" s="6" t="n">
        <v>0</v>
      </c>
      <c r="AG431" s="6" t="n">
        <v>0</v>
      </c>
      <c r="AH431" s="6" t="n">
        <v>0</v>
      </c>
      <c r="AI431" s="6" t="s">
        <v>84</v>
      </c>
    </row>
    <row r="432" customFormat="false" ht="15" hidden="false" customHeight="false" outlineLevel="0" collapsed="false">
      <c r="A432" s="6" t="n">
        <v>431</v>
      </c>
      <c r="B432" s="6" t="s">
        <v>3079</v>
      </c>
      <c r="C432" s="6" t="n">
        <v>9</v>
      </c>
      <c r="D432" s="6" t="s">
        <v>237</v>
      </c>
      <c r="E432" s="6" t="s">
        <v>116</v>
      </c>
      <c r="F432" s="6" t="n">
        <v>2</v>
      </c>
      <c r="G432" s="6" t="n">
        <v>15</v>
      </c>
      <c r="H432" s="6" t="s">
        <v>3080</v>
      </c>
      <c r="I432" s="22" t="n">
        <v>570000</v>
      </c>
      <c r="J432" s="22" t="n">
        <v>15000</v>
      </c>
      <c r="K432" s="22" t="n">
        <v>43875</v>
      </c>
      <c r="L432" s="22" t="n">
        <v>628875</v>
      </c>
      <c r="M432" s="6" t="s">
        <v>57</v>
      </c>
      <c r="N432" s="6" t="s">
        <v>58</v>
      </c>
      <c r="O432" s="6"/>
      <c r="P432" s="6" t="s">
        <v>69</v>
      </c>
      <c r="Q432" s="6" t="str">
        <f aca="false">IF(P432="pass","No","Yes")</f>
        <v>No</v>
      </c>
      <c r="R432" s="6" t="s">
        <v>60</v>
      </c>
      <c r="S432" s="6"/>
      <c r="T432" s="6"/>
      <c r="U432" s="23" t="n">
        <v>42.707</v>
      </c>
      <c r="V432" s="6" t="s">
        <v>3081</v>
      </c>
      <c r="W432" s="6" t="s">
        <v>3082</v>
      </c>
      <c r="X432" s="6" t="s">
        <v>3083</v>
      </c>
      <c r="Y432" s="6" t="s">
        <v>60</v>
      </c>
      <c r="Z432" s="6" t="n">
        <v>0</v>
      </c>
      <c r="AA432" s="6" t="n">
        <v>0</v>
      </c>
      <c r="AB432" s="6" t="n">
        <v>0</v>
      </c>
      <c r="AC432" s="6" t="n">
        <v>0</v>
      </c>
      <c r="AD432" s="6" t="n">
        <v>0</v>
      </c>
      <c r="AE432" s="6" t="n">
        <v>0</v>
      </c>
      <c r="AF432" s="6" t="n">
        <v>0</v>
      </c>
      <c r="AG432" s="6" t="n">
        <v>0</v>
      </c>
      <c r="AH432" s="6" t="n">
        <v>0</v>
      </c>
      <c r="AI432" s="6" t="s">
        <v>84</v>
      </c>
    </row>
    <row r="433" customFormat="false" ht="15" hidden="false" customHeight="false" outlineLevel="0" collapsed="false">
      <c r="A433" s="6" t="n">
        <v>432</v>
      </c>
      <c r="B433" s="6" t="s">
        <v>3084</v>
      </c>
      <c r="C433" s="6" t="n">
        <v>9</v>
      </c>
      <c r="D433" s="6" t="s">
        <v>213</v>
      </c>
      <c r="E433" s="6" t="s">
        <v>67</v>
      </c>
      <c r="F433" s="6" t="n">
        <v>2</v>
      </c>
      <c r="G433" s="6" t="n">
        <v>31</v>
      </c>
      <c r="H433" s="6" t="s">
        <v>3085</v>
      </c>
      <c r="I433" s="22" t="n">
        <v>1220000</v>
      </c>
      <c r="J433" s="22" t="n">
        <v>4500</v>
      </c>
      <c r="K433" s="22" t="n">
        <v>91837.5</v>
      </c>
      <c r="L433" s="22" t="n">
        <v>1316337.5</v>
      </c>
      <c r="M433" s="6" t="s">
        <v>57</v>
      </c>
      <c r="N433" s="6" t="s">
        <v>58</v>
      </c>
      <c r="O433" s="6"/>
      <c r="P433" s="6" t="s">
        <v>69</v>
      </c>
      <c r="Q433" s="6" t="str">
        <f aca="false">IF(P433="pass","No","Yes")</f>
        <v>No</v>
      </c>
      <c r="R433" s="6" t="s">
        <v>60</v>
      </c>
      <c r="S433" s="6"/>
      <c r="T433" s="6"/>
      <c r="U433" s="23" t="n">
        <v>41.853</v>
      </c>
      <c r="V433" s="6" t="s">
        <v>3086</v>
      </c>
      <c r="W433" s="6" t="s">
        <v>3087</v>
      </c>
      <c r="X433" s="6" t="s">
        <v>3088</v>
      </c>
      <c r="Y433" s="6" t="s">
        <v>60</v>
      </c>
      <c r="Z433" s="6" t="n">
        <v>0</v>
      </c>
      <c r="AA433" s="6" t="n">
        <v>0</v>
      </c>
      <c r="AB433" s="6" t="n">
        <v>0</v>
      </c>
      <c r="AC433" s="6" t="n">
        <v>0</v>
      </c>
      <c r="AD433" s="6" t="n">
        <v>0</v>
      </c>
      <c r="AE433" s="6" t="n">
        <v>0</v>
      </c>
      <c r="AF433" s="6" t="n">
        <v>0</v>
      </c>
      <c r="AG433" s="6" t="n">
        <v>0</v>
      </c>
      <c r="AH433" s="6" t="n">
        <v>0</v>
      </c>
      <c r="AI433" s="6" t="s">
        <v>84</v>
      </c>
    </row>
    <row r="434" customFormat="false" ht="15" hidden="false" customHeight="false" outlineLevel="0" collapsed="false">
      <c r="A434" s="6" t="n">
        <v>433</v>
      </c>
      <c r="B434" s="6" t="s">
        <v>3089</v>
      </c>
      <c r="C434" s="6" t="n">
        <v>9</v>
      </c>
      <c r="D434" s="6" t="s">
        <v>186</v>
      </c>
      <c r="E434" s="6" t="s">
        <v>123</v>
      </c>
      <c r="F434" s="6" t="n">
        <v>1</v>
      </c>
      <c r="G434" s="6" t="n">
        <v>7</v>
      </c>
      <c r="H434" s="6" t="s">
        <v>3090</v>
      </c>
      <c r="I434" s="22" t="n">
        <v>266000</v>
      </c>
      <c r="J434" s="22" t="n">
        <v>5000</v>
      </c>
      <c r="K434" s="22" t="n">
        <v>20325</v>
      </c>
      <c r="L434" s="22" t="n">
        <v>291325</v>
      </c>
      <c r="M434" s="6" t="s">
        <v>57</v>
      </c>
      <c r="N434" s="6" t="s">
        <v>58</v>
      </c>
      <c r="O434" s="6"/>
      <c r="P434" s="6" t="s">
        <v>69</v>
      </c>
      <c r="Q434" s="6" t="str">
        <f aca="false">IF(P434="pass","No","Yes")</f>
        <v>No</v>
      </c>
      <c r="R434" s="6" t="s">
        <v>60</v>
      </c>
      <c r="S434" s="6"/>
      <c r="T434" s="6"/>
      <c r="U434" s="23" t="n">
        <v>24.602</v>
      </c>
      <c r="V434" s="6" t="s">
        <v>3091</v>
      </c>
      <c r="W434" s="6" t="s">
        <v>3092</v>
      </c>
      <c r="X434" s="6" t="s">
        <v>3093</v>
      </c>
      <c r="Y434" s="6" t="s">
        <v>60</v>
      </c>
      <c r="Z434" s="6" t="n">
        <v>0</v>
      </c>
      <c r="AA434" s="6" t="n">
        <v>0</v>
      </c>
      <c r="AB434" s="6" t="n">
        <v>0</v>
      </c>
      <c r="AC434" s="6" t="n">
        <v>0</v>
      </c>
      <c r="AD434" s="6" t="n">
        <v>0</v>
      </c>
      <c r="AE434" s="6" t="n">
        <v>0</v>
      </c>
      <c r="AF434" s="6" t="n">
        <v>0</v>
      </c>
      <c r="AG434" s="6" t="n">
        <v>0</v>
      </c>
      <c r="AH434" s="6" t="n">
        <v>0</v>
      </c>
      <c r="AI434" s="6" t="s">
        <v>84</v>
      </c>
    </row>
    <row r="435" customFormat="false" ht="15" hidden="false" customHeight="false" outlineLevel="0" collapsed="false">
      <c r="A435" s="6" t="n">
        <v>434</v>
      </c>
      <c r="B435" s="6" t="s">
        <v>3094</v>
      </c>
      <c r="C435" s="6" t="n">
        <v>9</v>
      </c>
      <c r="D435" s="6" t="s">
        <v>70</v>
      </c>
      <c r="E435" s="6" t="s">
        <v>74</v>
      </c>
      <c r="F435" s="6" t="n">
        <v>1</v>
      </c>
      <c r="G435" s="6" t="n">
        <v>151</v>
      </c>
      <c r="H435" s="6" t="s">
        <v>3095</v>
      </c>
      <c r="I435" s="22" t="n">
        <v>1434500</v>
      </c>
      <c r="J435" s="22" t="n">
        <v>9000</v>
      </c>
      <c r="K435" s="22" t="n">
        <v>108262.5</v>
      </c>
      <c r="L435" s="22" t="n">
        <v>1551762.5</v>
      </c>
      <c r="M435" s="6" t="s">
        <v>1042</v>
      </c>
      <c r="N435" s="6" t="s">
        <v>58</v>
      </c>
      <c r="O435" s="6"/>
      <c r="P435" s="6" t="s">
        <v>69</v>
      </c>
      <c r="Q435" s="6" t="str">
        <f aca="false">IF(P435="pass","No","Yes")</f>
        <v>No</v>
      </c>
      <c r="R435" s="6" t="s">
        <v>60</v>
      </c>
      <c r="S435" s="6"/>
      <c r="T435" s="6"/>
      <c r="U435" s="23" t="n">
        <v>44.445</v>
      </c>
      <c r="V435" s="6" t="s">
        <v>3096</v>
      </c>
      <c r="W435" s="6" t="s">
        <v>3097</v>
      </c>
      <c r="X435" s="6" t="s">
        <v>3098</v>
      </c>
      <c r="Y435" s="6" t="s">
        <v>60</v>
      </c>
      <c r="Z435" s="6" t="n">
        <v>0</v>
      </c>
      <c r="AA435" s="6" t="n">
        <v>0</v>
      </c>
      <c r="AB435" s="6" t="n">
        <v>0</v>
      </c>
      <c r="AC435" s="6" t="n">
        <v>0</v>
      </c>
      <c r="AD435" s="6" t="n">
        <v>0</v>
      </c>
      <c r="AE435" s="6" t="n">
        <v>0</v>
      </c>
      <c r="AF435" s="6" t="n">
        <v>0</v>
      </c>
      <c r="AG435" s="6" t="n">
        <v>0</v>
      </c>
      <c r="AH435" s="6" t="n">
        <v>0</v>
      </c>
      <c r="AI435" s="6" t="s">
        <v>84</v>
      </c>
    </row>
    <row r="436" customFormat="false" ht="15" hidden="false" customHeight="false" outlineLevel="0" collapsed="false">
      <c r="A436" s="6" t="n">
        <v>435</v>
      </c>
      <c r="B436" s="6" t="s">
        <v>3099</v>
      </c>
      <c r="C436" s="6" t="n">
        <v>9</v>
      </c>
      <c r="D436" s="6" t="s">
        <v>137</v>
      </c>
      <c r="E436" s="6" t="s">
        <v>55</v>
      </c>
      <c r="F436" s="6" t="n">
        <v>3</v>
      </c>
      <c r="G436" s="6" t="n">
        <v>138</v>
      </c>
      <c r="H436" s="6" t="s">
        <v>3100</v>
      </c>
      <c r="I436" s="22" t="n">
        <v>1072200</v>
      </c>
      <c r="J436" s="22" t="n">
        <v>6000</v>
      </c>
      <c r="K436" s="22" t="n">
        <v>80865</v>
      </c>
      <c r="L436" s="22" t="n">
        <v>1159065</v>
      </c>
      <c r="M436" s="6" t="s">
        <v>57</v>
      </c>
      <c r="N436" s="6" t="s">
        <v>58</v>
      </c>
      <c r="O436" s="6"/>
      <c r="P436" s="6" t="s">
        <v>69</v>
      </c>
      <c r="Q436" s="6" t="str">
        <f aca="false">IF(P436="pass","No","Yes")</f>
        <v>No</v>
      </c>
      <c r="R436" s="6" t="s">
        <v>60</v>
      </c>
      <c r="S436" s="6"/>
      <c r="T436" s="6"/>
      <c r="U436" s="23" t="n">
        <v>77.985</v>
      </c>
      <c r="V436" s="6" t="s">
        <v>3101</v>
      </c>
      <c r="W436" s="6" t="s">
        <v>3102</v>
      </c>
      <c r="X436" s="6" t="s">
        <v>3103</v>
      </c>
      <c r="Y436" s="6" t="s">
        <v>60</v>
      </c>
      <c r="Z436" s="6" t="n">
        <v>0</v>
      </c>
      <c r="AA436" s="6" t="n">
        <v>0</v>
      </c>
      <c r="AB436" s="6" t="n">
        <v>0</v>
      </c>
      <c r="AC436" s="6" t="n">
        <v>0</v>
      </c>
      <c r="AD436" s="6" t="n">
        <v>0</v>
      </c>
      <c r="AE436" s="6" t="n">
        <v>0</v>
      </c>
      <c r="AF436" s="6" t="n">
        <v>0</v>
      </c>
      <c r="AG436" s="6" t="n">
        <v>0</v>
      </c>
      <c r="AH436" s="6" t="n">
        <v>0</v>
      </c>
      <c r="AI436" s="6" t="s">
        <v>84</v>
      </c>
    </row>
    <row r="437" customFormat="false" ht="15" hidden="false" customHeight="false" outlineLevel="0" collapsed="false">
      <c r="A437" s="6" t="n">
        <v>436</v>
      </c>
      <c r="B437" s="6" t="s">
        <v>3104</v>
      </c>
      <c r="C437" s="6" t="n">
        <v>9</v>
      </c>
      <c r="D437" s="6" t="s">
        <v>100</v>
      </c>
      <c r="E437" s="6" t="s">
        <v>67</v>
      </c>
      <c r="F437" s="6" t="n">
        <v>1</v>
      </c>
      <c r="G437" s="6" t="n">
        <v>106</v>
      </c>
      <c r="H437" s="6" t="s">
        <v>3105</v>
      </c>
      <c r="I437" s="22" t="n">
        <v>1007000</v>
      </c>
      <c r="J437" s="22" t="n">
        <v>4500</v>
      </c>
      <c r="K437" s="22" t="n">
        <v>75862.5</v>
      </c>
      <c r="L437" s="22" t="n">
        <v>1087362.5</v>
      </c>
      <c r="M437" s="6" t="s">
        <v>57</v>
      </c>
      <c r="N437" s="6" t="s">
        <v>58</v>
      </c>
      <c r="O437" s="6"/>
      <c r="P437" s="6" t="s">
        <v>69</v>
      </c>
      <c r="Q437" s="6" t="str">
        <f aca="false">IF(P437="pass","No","Yes")</f>
        <v>No</v>
      </c>
      <c r="R437" s="6" t="s">
        <v>60</v>
      </c>
      <c r="S437" s="6"/>
      <c r="T437" s="6"/>
      <c r="U437" s="23" t="n">
        <v>43.983</v>
      </c>
      <c r="V437" s="6" t="s">
        <v>3106</v>
      </c>
      <c r="W437" s="6" t="s">
        <v>3107</v>
      </c>
      <c r="X437" s="6" t="s">
        <v>3108</v>
      </c>
      <c r="Y437" s="6" t="s">
        <v>60</v>
      </c>
      <c r="Z437" s="6" t="n">
        <v>0</v>
      </c>
      <c r="AA437" s="6" t="n">
        <v>0</v>
      </c>
      <c r="AB437" s="6" t="n">
        <v>0</v>
      </c>
      <c r="AC437" s="6" t="n">
        <v>0</v>
      </c>
      <c r="AD437" s="6" t="n">
        <v>0</v>
      </c>
      <c r="AE437" s="6" t="n">
        <v>0</v>
      </c>
      <c r="AF437" s="6" t="n">
        <v>0</v>
      </c>
      <c r="AG437" s="6" t="n">
        <v>0</v>
      </c>
      <c r="AH437" s="6" t="n">
        <v>0</v>
      </c>
      <c r="AI437" s="6" t="s">
        <v>84</v>
      </c>
    </row>
    <row r="438" customFormat="false" ht="15" hidden="false" customHeight="false" outlineLevel="0" collapsed="false">
      <c r="A438" s="6" t="n">
        <v>437</v>
      </c>
      <c r="B438" s="6" t="s">
        <v>3109</v>
      </c>
      <c r="C438" s="6" t="n">
        <v>9</v>
      </c>
      <c r="D438" s="6" t="s">
        <v>70</v>
      </c>
      <c r="E438" s="6" t="s">
        <v>74</v>
      </c>
      <c r="F438" s="6" t="n">
        <v>2</v>
      </c>
      <c r="G438" s="6" t="n">
        <v>173</v>
      </c>
      <c r="H438" s="6" t="s">
        <v>3110</v>
      </c>
      <c r="I438" s="22" t="n">
        <v>1639800</v>
      </c>
      <c r="J438" s="22" t="n">
        <v>9000</v>
      </c>
      <c r="K438" s="22" t="n">
        <v>123660</v>
      </c>
      <c r="L438" s="22" t="n">
        <v>1772460</v>
      </c>
      <c r="M438" s="6" t="s">
        <v>57</v>
      </c>
      <c r="N438" s="6" t="s">
        <v>58</v>
      </c>
      <c r="O438" s="6"/>
      <c r="P438" s="6" t="s">
        <v>59</v>
      </c>
      <c r="Q438" s="6" t="str">
        <f aca="false">IF(P438="pass","No","Yes")</f>
        <v>Yes</v>
      </c>
      <c r="R438" s="6" t="s">
        <v>60</v>
      </c>
      <c r="S438" s="6" t="s">
        <v>915</v>
      </c>
      <c r="T438" s="6" t="s">
        <v>3111</v>
      </c>
      <c r="U438" s="23" t="n">
        <v>66.734</v>
      </c>
      <c r="V438" s="6" t="s">
        <v>3112</v>
      </c>
      <c r="W438" s="6" t="s">
        <v>3113</v>
      </c>
      <c r="X438" s="6" t="s">
        <v>3114</v>
      </c>
      <c r="Y438" s="6" t="s">
        <v>60</v>
      </c>
      <c r="Z438" s="6" t="n">
        <v>0</v>
      </c>
      <c r="AA438" s="6" t="n">
        <v>0</v>
      </c>
      <c r="AB438" s="6" t="n">
        <v>0</v>
      </c>
      <c r="AC438" s="6" t="n">
        <v>0</v>
      </c>
      <c r="AD438" s="6" t="n">
        <v>0</v>
      </c>
      <c r="AE438" s="6" t="n">
        <v>0</v>
      </c>
      <c r="AF438" s="6" t="n">
        <v>0</v>
      </c>
      <c r="AG438" s="6" t="n">
        <v>0</v>
      </c>
      <c r="AH438" s="6" t="n">
        <v>1</v>
      </c>
      <c r="AI438" s="6" t="s">
        <v>84</v>
      </c>
    </row>
    <row r="439" customFormat="false" ht="15" hidden="false" customHeight="false" outlineLevel="0" collapsed="false">
      <c r="A439" s="6" t="n">
        <v>438</v>
      </c>
      <c r="B439" s="6" t="s">
        <v>3115</v>
      </c>
      <c r="C439" s="6" t="n">
        <v>9</v>
      </c>
      <c r="D439" s="6" t="s">
        <v>100</v>
      </c>
      <c r="E439" s="6" t="s">
        <v>67</v>
      </c>
      <c r="F439" s="6" t="n">
        <v>1</v>
      </c>
      <c r="G439" s="6" t="n">
        <v>7</v>
      </c>
      <c r="H439" s="6" t="s">
        <v>3116</v>
      </c>
      <c r="I439" s="22" t="n">
        <v>364000</v>
      </c>
      <c r="J439" s="22" t="n">
        <v>4500</v>
      </c>
      <c r="K439" s="22" t="n">
        <v>27637.5</v>
      </c>
      <c r="L439" s="22" t="n">
        <v>396137.5</v>
      </c>
      <c r="M439" s="6" t="s">
        <v>57</v>
      </c>
      <c r="N439" s="6" t="s">
        <v>58</v>
      </c>
      <c r="O439" s="6"/>
      <c r="P439" s="6" t="s">
        <v>69</v>
      </c>
      <c r="Q439" s="6" t="str">
        <f aca="false">IF(P439="pass","No","Yes")</f>
        <v>No</v>
      </c>
      <c r="R439" s="6" t="s">
        <v>60</v>
      </c>
      <c r="S439" s="6"/>
      <c r="T439" s="6"/>
      <c r="U439" s="23" t="n">
        <v>25.739</v>
      </c>
      <c r="V439" s="6" t="s">
        <v>3117</v>
      </c>
      <c r="W439" s="6" t="s">
        <v>3118</v>
      </c>
      <c r="X439" s="6" t="s">
        <v>3119</v>
      </c>
      <c r="Y439" s="6" t="s">
        <v>60</v>
      </c>
      <c r="Z439" s="6" t="n">
        <v>0</v>
      </c>
      <c r="AA439" s="6" t="n">
        <v>0</v>
      </c>
      <c r="AB439" s="6" t="n">
        <v>0</v>
      </c>
      <c r="AC439" s="6" t="n">
        <v>0</v>
      </c>
      <c r="AD439" s="6" t="n">
        <v>0</v>
      </c>
      <c r="AE439" s="6" t="n">
        <v>0</v>
      </c>
      <c r="AF439" s="6" t="n">
        <v>0</v>
      </c>
      <c r="AG439" s="6" t="n">
        <v>0</v>
      </c>
      <c r="AH439" s="6" t="n">
        <v>0</v>
      </c>
      <c r="AI439" s="6" t="s">
        <v>84</v>
      </c>
    </row>
    <row r="440" customFormat="false" ht="15" hidden="false" customHeight="false" outlineLevel="0" collapsed="false">
      <c r="A440" s="6" t="n">
        <v>439</v>
      </c>
      <c r="B440" s="6" t="s">
        <v>3120</v>
      </c>
      <c r="C440" s="6" t="n">
        <v>9</v>
      </c>
      <c r="D440" s="6" t="s">
        <v>142</v>
      </c>
      <c r="E440" s="6" t="s">
        <v>74</v>
      </c>
      <c r="F440" s="6" t="n">
        <v>1</v>
      </c>
      <c r="G440" s="6" t="n">
        <v>24</v>
      </c>
      <c r="H440" s="6" t="s">
        <v>3121</v>
      </c>
      <c r="I440" s="22" t="n">
        <v>206400</v>
      </c>
      <c r="J440" s="22" t="n">
        <v>9000</v>
      </c>
      <c r="K440" s="22" t="n">
        <v>16155</v>
      </c>
      <c r="L440" s="22" t="n">
        <v>231555</v>
      </c>
      <c r="M440" s="6" t="s">
        <v>1042</v>
      </c>
      <c r="N440" s="6" t="s">
        <v>58</v>
      </c>
      <c r="O440" s="6"/>
      <c r="P440" s="6" t="s">
        <v>69</v>
      </c>
      <c r="Q440" s="6" t="str">
        <f aca="false">IF(P440="pass","No","Yes")</f>
        <v>No</v>
      </c>
      <c r="R440" s="6" t="s">
        <v>60</v>
      </c>
      <c r="S440" s="6"/>
      <c r="T440" s="6"/>
      <c r="U440" s="23" t="n">
        <v>27.189</v>
      </c>
      <c r="V440" s="6" t="s">
        <v>3122</v>
      </c>
      <c r="W440" s="6" t="s">
        <v>3123</v>
      </c>
      <c r="X440" s="6" t="s">
        <v>3124</v>
      </c>
      <c r="Y440" s="6" t="s">
        <v>60</v>
      </c>
      <c r="Z440" s="6" t="n">
        <v>0</v>
      </c>
      <c r="AA440" s="6" t="n">
        <v>0</v>
      </c>
      <c r="AB440" s="6" t="n">
        <v>0</v>
      </c>
      <c r="AC440" s="6" t="n">
        <v>0</v>
      </c>
      <c r="AD440" s="6" t="n">
        <v>0</v>
      </c>
      <c r="AE440" s="6" t="n">
        <v>0</v>
      </c>
      <c r="AF440" s="6" t="n">
        <v>0</v>
      </c>
      <c r="AG440" s="6" t="n">
        <v>0</v>
      </c>
      <c r="AH440" s="6" t="n">
        <v>0</v>
      </c>
      <c r="AI440" s="6" t="s">
        <v>84</v>
      </c>
    </row>
    <row r="441" customFormat="false" ht="15" hidden="false" customHeight="false" outlineLevel="0" collapsed="false">
      <c r="A441" s="6" t="n">
        <v>440</v>
      </c>
      <c r="B441" s="6" t="s">
        <v>3125</v>
      </c>
      <c r="C441" s="6" t="n">
        <v>9</v>
      </c>
      <c r="D441" s="6" t="s">
        <v>100</v>
      </c>
      <c r="E441" s="6" t="s">
        <v>67</v>
      </c>
      <c r="F441" s="6" t="n">
        <v>3</v>
      </c>
      <c r="G441" s="6" t="n">
        <v>17</v>
      </c>
      <c r="H441" s="6" t="s">
        <v>3126</v>
      </c>
      <c r="I441" s="22" t="n">
        <v>473400</v>
      </c>
      <c r="J441" s="22" t="n">
        <v>4500</v>
      </c>
      <c r="K441" s="22" t="n">
        <v>35842.5</v>
      </c>
      <c r="L441" s="22" t="n">
        <v>513742.5</v>
      </c>
      <c r="M441" s="6" t="s">
        <v>83</v>
      </c>
      <c r="N441" s="6" t="s">
        <v>84</v>
      </c>
      <c r="O441" s="6" t="s">
        <v>886</v>
      </c>
      <c r="P441" s="6" t="s">
        <v>85</v>
      </c>
      <c r="Q441" s="6" t="str">
        <f aca="false">IF(P441="pass","No","Yes")</f>
        <v>Yes</v>
      </c>
      <c r="R441" s="6" t="s">
        <v>86</v>
      </c>
      <c r="S441" s="6" t="s">
        <v>886</v>
      </c>
      <c r="T441" s="6" t="s">
        <v>290</v>
      </c>
      <c r="U441" s="23" t="n">
        <v>63.281</v>
      </c>
      <c r="V441" s="6" t="s">
        <v>3127</v>
      </c>
      <c r="W441" s="6" t="s">
        <v>3128</v>
      </c>
      <c r="X441" s="6" t="s">
        <v>3129</v>
      </c>
      <c r="Y441" s="6" t="s">
        <v>86</v>
      </c>
      <c r="Z441" s="6" t="n">
        <v>0</v>
      </c>
      <c r="AA441" s="6" t="n">
        <v>0</v>
      </c>
      <c r="AB441" s="6" t="n">
        <v>1</v>
      </c>
      <c r="AC441" s="6" t="n">
        <v>0</v>
      </c>
      <c r="AD441" s="6" t="n">
        <v>0</v>
      </c>
      <c r="AE441" s="6" t="n">
        <v>0</v>
      </c>
      <c r="AF441" s="6" t="n">
        <v>0</v>
      </c>
      <c r="AG441" s="6" t="n">
        <v>0</v>
      </c>
      <c r="AH441" s="6" t="n">
        <v>0</v>
      </c>
      <c r="AI441" s="6" t="s">
        <v>84</v>
      </c>
    </row>
    <row r="442" customFormat="false" ht="15" hidden="false" customHeight="false" outlineLevel="0" collapsed="false">
      <c r="A442" s="6" t="n">
        <v>441</v>
      </c>
      <c r="B442" s="6" t="s">
        <v>3130</v>
      </c>
      <c r="C442" s="6" t="n">
        <v>9</v>
      </c>
      <c r="D442" s="6" t="s">
        <v>137</v>
      </c>
      <c r="E442" s="6" t="s">
        <v>55</v>
      </c>
      <c r="F442" s="6" t="n">
        <v>2</v>
      </c>
      <c r="G442" s="6" t="n">
        <v>14</v>
      </c>
      <c r="H442" s="6" t="s">
        <v>3131</v>
      </c>
      <c r="I442" s="22" t="n">
        <v>679000</v>
      </c>
      <c r="J442" s="22" t="n">
        <v>6000</v>
      </c>
      <c r="K442" s="22" t="n">
        <v>51375</v>
      </c>
      <c r="L442" s="22" t="n">
        <v>736375</v>
      </c>
      <c r="M442" s="6" t="s">
        <v>132</v>
      </c>
      <c r="N442" s="6" t="s">
        <v>84</v>
      </c>
      <c r="O442" s="6" t="s">
        <v>879</v>
      </c>
      <c r="P442" s="6" t="s">
        <v>85</v>
      </c>
      <c r="Q442" s="6" t="str">
        <f aca="false">IF(P442="pass","No","Yes")</f>
        <v>Yes</v>
      </c>
      <c r="R442" s="6" t="s">
        <v>86</v>
      </c>
      <c r="S442" s="6" t="s">
        <v>880</v>
      </c>
      <c r="T442" s="6" t="s">
        <v>134</v>
      </c>
      <c r="U442" s="23" t="n">
        <v>28.613</v>
      </c>
      <c r="V442" s="6" t="s">
        <v>3132</v>
      </c>
      <c r="W442" s="6" t="s">
        <v>3133</v>
      </c>
      <c r="X442" s="6" t="s">
        <v>3134</v>
      </c>
      <c r="Y442" s="6" t="s">
        <v>86</v>
      </c>
      <c r="Z442" s="6" t="n">
        <v>0</v>
      </c>
      <c r="AA442" s="6" t="n">
        <v>1</v>
      </c>
      <c r="AB442" s="6" t="n">
        <v>0</v>
      </c>
      <c r="AC442" s="6" t="n">
        <v>1</v>
      </c>
      <c r="AD442" s="6" t="n">
        <v>0</v>
      </c>
      <c r="AE442" s="6" t="n">
        <v>0</v>
      </c>
      <c r="AF442" s="6" t="n">
        <v>0</v>
      </c>
      <c r="AG442" s="6" t="n">
        <v>0</v>
      </c>
      <c r="AH442" s="6" t="n">
        <v>0</v>
      </c>
      <c r="AI442" s="6" t="s">
        <v>84</v>
      </c>
    </row>
    <row r="443" customFormat="false" ht="15" hidden="false" customHeight="false" outlineLevel="0" collapsed="false">
      <c r="A443" s="6" t="n">
        <v>442</v>
      </c>
      <c r="B443" s="6" t="s">
        <v>3135</v>
      </c>
      <c r="C443" s="6" t="n">
        <v>9</v>
      </c>
      <c r="D443" s="6" t="s">
        <v>119</v>
      </c>
      <c r="E443" s="6" t="s">
        <v>123</v>
      </c>
      <c r="F443" s="6" t="n">
        <v>3</v>
      </c>
      <c r="G443" s="6" t="n">
        <v>42</v>
      </c>
      <c r="H443" s="6" t="s">
        <v>3136</v>
      </c>
      <c r="I443" s="22" t="n">
        <v>625800</v>
      </c>
      <c r="J443" s="22" t="n">
        <v>5000</v>
      </c>
      <c r="K443" s="22" t="n">
        <v>47310</v>
      </c>
      <c r="L443" s="22" t="n">
        <v>678110</v>
      </c>
      <c r="M443" s="6" t="s">
        <v>272</v>
      </c>
      <c r="N443" s="6" t="s">
        <v>84</v>
      </c>
      <c r="O443" s="6" t="s">
        <v>879</v>
      </c>
      <c r="P443" s="6" t="s">
        <v>85</v>
      </c>
      <c r="Q443" s="6" t="str">
        <f aca="false">IF(P443="pass","No","Yes")</f>
        <v>Yes</v>
      </c>
      <c r="R443" s="6" t="s">
        <v>86</v>
      </c>
      <c r="S443" s="6" t="s">
        <v>879</v>
      </c>
      <c r="T443" s="6" t="s">
        <v>3137</v>
      </c>
      <c r="U443" s="23" t="n">
        <v>43.591</v>
      </c>
      <c r="V443" s="6" t="s">
        <v>3138</v>
      </c>
      <c r="W443" s="6" t="s">
        <v>3139</v>
      </c>
      <c r="X443" s="6" t="s">
        <v>3140</v>
      </c>
      <c r="Y443" s="6" t="s">
        <v>86</v>
      </c>
      <c r="Z443" s="6" t="n">
        <v>0</v>
      </c>
      <c r="AA443" s="6" t="n">
        <v>1</v>
      </c>
      <c r="AB443" s="6" t="n">
        <v>0</v>
      </c>
      <c r="AC443" s="6" t="n">
        <v>0</v>
      </c>
      <c r="AD443" s="6" t="n">
        <v>0</v>
      </c>
      <c r="AE443" s="6" t="n">
        <v>0</v>
      </c>
      <c r="AF443" s="6" t="n">
        <v>0</v>
      </c>
      <c r="AG443" s="6" t="n">
        <v>0</v>
      </c>
      <c r="AH443" s="6" t="n">
        <v>0</v>
      </c>
      <c r="AI443" s="6" t="s">
        <v>84</v>
      </c>
    </row>
    <row r="444" customFormat="false" ht="15" hidden="false" customHeight="false" outlineLevel="0" collapsed="false">
      <c r="A444" s="6" t="n">
        <v>443</v>
      </c>
      <c r="B444" s="6" t="s">
        <v>3141</v>
      </c>
      <c r="C444" s="6" t="n">
        <v>9</v>
      </c>
      <c r="D444" s="6" t="s">
        <v>127</v>
      </c>
      <c r="E444" s="6" t="s">
        <v>55</v>
      </c>
      <c r="F444" s="6" t="n">
        <v>2</v>
      </c>
      <c r="G444" s="6" t="n">
        <v>57</v>
      </c>
      <c r="H444" s="6" t="s">
        <v>3142</v>
      </c>
      <c r="I444" s="22" t="n">
        <v>1343500</v>
      </c>
      <c r="J444" s="22" t="n">
        <v>6000</v>
      </c>
      <c r="K444" s="22" t="n">
        <v>101212.5</v>
      </c>
      <c r="L444" s="22" t="n">
        <v>1450712.5</v>
      </c>
      <c r="M444" s="6" t="s">
        <v>57</v>
      </c>
      <c r="N444" s="6" t="s">
        <v>58</v>
      </c>
      <c r="O444" s="6"/>
      <c r="P444" s="6" t="s">
        <v>69</v>
      </c>
      <c r="Q444" s="6" t="str">
        <f aca="false">IF(P444="pass","No","Yes")</f>
        <v>No</v>
      </c>
      <c r="R444" s="6" t="s">
        <v>60</v>
      </c>
      <c r="S444" s="6"/>
      <c r="T444" s="6"/>
      <c r="U444" s="23" t="n">
        <v>45.44</v>
      </c>
      <c r="V444" s="6" t="s">
        <v>3143</v>
      </c>
      <c r="W444" s="6" t="s">
        <v>3144</v>
      </c>
      <c r="X444" s="6" t="s">
        <v>3145</v>
      </c>
      <c r="Y444" s="6" t="s">
        <v>60</v>
      </c>
      <c r="Z444" s="6" t="n">
        <v>0</v>
      </c>
      <c r="AA444" s="6" t="n">
        <v>0</v>
      </c>
      <c r="AB444" s="6" t="n">
        <v>0</v>
      </c>
      <c r="AC444" s="6" t="n">
        <v>0</v>
      </c>
      <c r="AD444" s="6" t="n">
        <v>0</v>
      </c>
      <c r="AE444" s="6" t="n">
        <v>0</v>
      </c>
      <c r="AF444" s="6" t="n">
        <v>0</v>
      </c>
      <c r="AG444" s="6" t="n">
        <v>0</v>
      </c>
      <c r="AH444" s="6" t="n">
        <v>0</v>
      </c>
      <c r="AI444" s="6" t="s">
        <v>84</v>
      </c>
    </row>
    <row r="445" customFormat="false" ht="15" hidden="false" customHeight="false" outlineLevel="0" collapsed="false">
      <c r="A445" s="6" t="n">
        <v>444</v>
      </c>
      <c r="B445" s="6" t="s">
        <v>3146</v>
      </c>
      <c r="C445" s="6" t="n">
        <v>9</v>
      </c>
      <c r="D445" s="6" t="s">
        <v>51</v>
      </c>
      <c r="E445" s="6" t="s">
        <v>55</v>
      </c>
      <c r="F445" s="6" t="n">
        <v>1</v>
      </c>
      <c r="G445" s="6" t="n">
        <v>12</v>
      </c>
      <c r="H445" s="6" t="s">
        <v>3147</v>
      </c>
      <c r="I445" s="22" t="n">
        <v>372000</v>
      </c>
      <c r="J445" s="22" t="n">
        <v>6000</v>
      </c>
      <c r="K445" s="22" t="n">
        <v>28350</v>
      </c>
      <c r="L445" s="22" t="n">
        <v>406350</v>
      </c>
      <c r="M445" s="6" t="s">
        <v>57</v>
      </c>
      <c r="N445" s="6" t="s">
        <v>58</v>
      </c>
      <c r="O445" s="6"/>
      <c r="P445" s="6" t="s">
        <v>69</v>
      </c>
      <c r="Q445" s="6" t="str">
        <f aca="false">IF(P445="pass","No","Yes")</f>
        <v>No</v>
      </c>
      <c r="R445" s="6" t="s">
        <v>60</v>
      </c>
      <c r="S445" s="6"/>
      <c r="T445" s="6"/>
      <c r="U445" s="23" t="n">
        <v>25.67</v>
      </c>
      <c r="V445" s="6" t="s">
        <v>3148</v>
      </c>
      <c r="W445" s="6" t="s">
        <v>3149</v>
      </c>
      <c r="X445" s="6" t="s">
        <v>3150</v>
      </c>
      <c r="Y445" s="6" t="s">
        <v>60</v>
      </c>
      <c r="Z445" s="6" t="n">
        <v>0</v>
      </c>
      <c r="AA445" s="6" t="n">
        <v>0</v>
      </c>
      <c r="AB445" s="6" t="n">
        <v>0</v>
      </c>
      <c r="AC445" s="6" t="n">
        <v>0</v>
      </c>
      <c r="AD445" s="6" t="n">
        <v>0</v>
      </c>
      <c r="AE445" s="6" t="n">
        <v>0</v>
      </c>
      <c r="AF445" s="6" t="n">
        <v>0</v>
      </c>
      <c r="AG445" s="6" t="n">
        <v>0</v>
      </c>
      <c r="AH445" s="6" t="n">
        <v>0</v>
      </c>
      <c r="AI445" s="6" t="s">
        <v>84</v>
      </c>
    </row>
    <row r="446" customFormat="false" ht="15" hidden="false" customHeight="false" outlineLevel="0" collapsed="false">
      <c r="A446" s="6" t="n">
        <v>445</v>
      </c>
      <c r="B446" s="6" t="s">
        <v>3151</v>
      </c>
      <c r="C446" s="6" t="n">
        <v>9</v>
      </c>
      <c r="D446" s="6" t="s">
        <v>198</v>
      </c>
      <c r="E446" s="6" t="s">
        <v>81</v>
      </c>
      <c r="F446" s="6" t="n">
        <v>1</v>
      </c>
      <c r="G446" s="6" t="n">
        <v>2</v>
      </c>
      <c r="H446" s="6" t="s">
        <v>959</v>
      </c>
      <c r="I446" s="22" t="n">
        <v>8200</v>
      </c>
      <c r="J446" s="22" t="n">
        <v>4000</v>
      </c>
      <c r="K446" s="22" t="n">
        <v>915</v>
      </c>
      <c r="L446" s="22" t="n">
        <v>13115</v>
      </c>
      <c r="M446" s="6" t="s">
        <v>57</v>
      </c>
      <c r="N446" s="6" t="s">
        <v>58</v>
      </c>
      <c r="O446" s="6"/>
      <c r="P446" s="6" t="s">
        <v>69</v>
      </c>
      <c r="Q446" s="6" t="str">
        <f aca="false">IF(P446="pass","No","Yes")</f>
        <v>No</v>
      </c>
      <c r="R446" s="6" t="s">
        <v>60</v>
      </c>
      <c r="S446" s="6"/>
      <c r="T446" s="6"/>
      <c r="U446" s="23" t="n">
        <v>28.634</v>
      </c>
      <c r="V446" s="6" t="s">
        <v>3152</v>
      </c>
      <c r="W446" s="6" t="s">
        <v>3153</v>
      </c>
      <c r="X446" s="6" t="s">
        <v>3154</v>
      </c>
      <c r="Y446" s="6" t="s">
        <v>60</v>
      </c>
      <c r="Z446" s="6" t="n">
        <v>0</v>
      </c>
      <c r="AA446" s="6" t="n">
        <v>0</v>
      </c>
      <c r="AB446" s="6" t="n">
        <v>0</v>
      </c>
      <c r="AC446" s="6" t="n">
        <v>0</v>
      </c>
      <c r="AD446" s="6" t="n">
        <v>0</v>
      </c>
      <c r="AE446" s="6" t="n">
        <v>0</v>
      </c>
      <c r="AF446" s="6" t="n">
        <v>0</v>
      </c>
      <c r="AG446" s="6" t="n">
        <v>0</v>
      </c>
      <c r="AH446" s="6" t="n">
        <v>0</v>
      </c>
      <c r="AI446" s="6" t="s">
        <v>84</v>
      </c>
    </row>
    <row r="447" customFormat="false" ht="15" hidden="false" customHeight="false" outlineLevel="0" collapsed="false">
      <c r="A447" s="6" t="n">
        <v>446</v>
      </c>
      <c r="B447" s="6" t="s">
        <v>3155</v>
      </c>
      <c r="C447" s="6" t="n">
        <v>9</v>
      </c>
      <c r="D447" s="6" t="s">
        <v>70</v>
      </c>
      <c r="E447" s="6" t="s">
        <v>74</v>
      </c>
      <c r="F447" s="6" t="n">
        <v>2</v>
      </c>
      <c r="G447" s="6" t="n">
        <v>10</v>
      </c>
      <c r="H447" s="6" t="s">
        <v>1912</v>
      </c>
      <c r="I447" s="22" t="n">
        <v>312200</v>
      </c>
      <c r="J447" s="22" t="n">
        <v>9000</v>
      </c>
      <c r="K447" s="22" t="n">
        <v>24090</v>
      </c>
      <c r="L447" s="22" t="n">
        <v>345290</v>
      </c>
      <c r="M447" s="6" t="s">
        <v>57</v>
      </c>
      <c r="N447" s="6" t="s">
        <v>58</v>
      </c>
      <c r="O447" s="6"/>
      <c r="P447" s="6" t="s">
        <v>69</v>
      </c>
      <c r="Q447" s="6" t="str">
        <f aca="false">IF(P447="pass","No","Yes")</f>
        <v>No</v>
      </c>
      <c r="R447" s="6" t="s">
        <v>60</v>
      </c>
      <c r="S447" s="6"/>
      <c r="T447" s="6"/>
      <c r="U447" s="23" t="n">
        <v>48.257</v>
      </c>
      <c r="V447" s="6" t="s">
        <v>3156</v>
      </c>
      <c r="W447" s="6" t="s">
        <v>3157</v>
      </c>
      <c r="X447" s="6" t="s">
        <v>3158</v>
      </c>
      <c r="Y447" s="6" t="s">
        <v>60</v>
      </c>
      <c r="Z447" s="6" t="n">
        <v>0</v>
      </c>
      <c r="AA447" s="6" t="n">
        <v>0</v>
      </c>
      <c r="AB447" s="6" t="n">
        <v>0</v>
      </c>
      <c r="AC447" s="6" t="n">
        <v>0</v>
      </c>
      <c r="AD447" s="6" t="n">
        <v>0</v>
      </c>
      <c r="AE447" s="6" t="n">
        <v>0</v>
      </c>
      <c r="AF447" s="6" t="n">
        <v>0</v>
      </c>
      <c r="AG447" s="6" t="n">
        <v>0</v>
      </c>
      <c r="AH447" s="6" t="n">
        <v>0</v>
      </c>
      <c r="AI447" s="6" t="s">
        <v>84</v>
      </c>
    </row>
    <row r="448" customFormat="false" ht="15" hidden="false" customHeight="false" outlineLevel="0" collapsed="false">
      <c r="A448" s="6" t="n">
        <v>447</v>
      </c>
      <c r="B448" s="6" t="s">
        <v>3159</v>
      </c>
      <c r="C448" s="6" t="n">
        <v>9</v>
      </c>
      <c r="D448" s="6" t="s">
        <v>51</v>
      </c>
      <c r="E448" s="6" t="s">
        <v>55</v>
      </c>
      <c r="F448" s="6" t="n">
        <v>2</v>
      </c>
      <c r="G448" s="6" t="n">
        <v>79</v>
      </c>
      <c r="H448" s="6" t="s">
        <v>3160</v>
      </c>
      <c r="I448" s="22" t="n">
        <v>946200</v>
      </c>
      <c r="J448" s="22" t="n">
        <v>6000</v>
      </c>
      <c r="K448" s="22" t="n">
        <v>71415</v>
      </c>
      <c r="L448" s="22" t="n">
        <v>1023615</v>
      </c>
      <c r="M448" s="6" t="s">
        <v>57</v>
      </c>
      <c r="N448" s="6" t="s">
        <v>58</v>
      </c>
      <c r="O448" s="6"/>
      <c r="P448" s="6" t="s">
        <v>69</v>
      </c>
      <c r="Q448" s="6" t="str">
        <f aca="false">IF(P448="pass","No","Yes")</f>
        <v>No</v>
      </c>
      <c r="R448" s="6" t="s">
        <v>60</v>
      </c>
      <c r="S448" s="6"/>
      <c r="T448" s="6"/>
      <c r="U448" s="23" t="n">
        <v>44.404</v>
      </c>
      <c r="V448" s="6" t="s">
        <v>3161</v>
      </c>
      <c r="W448" s="6" t="s">
        <v>3162</v>
      </c>
      <c r="X448" s="6" t="s">
        <v>3163</v>
      </c>
      <c r="Y448" s="6" t="s">
        <v>60</v>
      </c>
      <c r="Z448" s="6" t="n">
        <v>0</v>
      </c>
      <c r="AA448" s="6" t="n">
        <v>0</v>
      </c>
      <c r="AB448" s="6" t="n">
        <v>0</v>
      </c>
      <c r="AC448" s="6" t="n">
        <v>0</v>
      </c>
      <c r="AD448" s="6" t="n">
        <v>0</v>
      </c>
      <c r="AE448" s="6" t="n">
        <v>0</v>
      </c>
      <c r="AF448" s="6" t="n">
        <v>0</v>
      </c>
      <c r="AG448" s="6" t="n">
        <v>0</v>
      </c>
      <c r="AH448" s="6" t="n">
        <v>0</v>
      </c>
      <c r="AI448" s="6" t="s">
        <v>84</v>
      </c>
    </row>
    <row r="449" customFormat="false" ht="15" hidden="false" customHeight="false" outlineLevel="0" collapsed="false">
      <c r="A449" s="6" t="n">
        <v>448</v>
      </c>
      <c r="B449" s="6" t="s">
        <v>3164</v>
      </c>
      <c r="C449" s="6" t="n">
        <v>9</v>
      </c>
      <c r="D449" s="6" t="s">
        <v>89</v>
      </c>
      <c r="E449" s="6" t="s">
        <v>67</v>
      </c>
      <c r="F449" s="6" t="n">
        <v>3</v>
      </c>
      <c r="G449" s="6" t="n">
        <v>125</v>
      </c>
      <c r="H449" s="6" t="s">
        <v>3165</v>
      </c>
      <c r="I449" s="22" t="n">
        <v>1688800</v>
      </c>
      <c r="J449" s="22" t="n">
        <v>4500</v>
      </c>
      <c r="K449" s="22" t="n">
        <v>126997.5</v>
      </c>
      <c r="L449" s="22" t="n">
        <v>1820297.5</v>
      </c>
      <c r="M449" s="6" t="s">
        <v>57</v>
      </c>
      <c r="N449" s="6" t="s">
        <v>58</v>
      </c>
      <c r="O449" s="6"/>
      <c r="P449" s="6" t="s">
        <v>59</v>
      </c>
      <c r="Q449" s="6" t="str">
        <f aca="false">IF(P449="pass","No","Yes")</f>
        <v>Yes</v>
      </c>
      <c r="R449" s="6" t="s">
        <v>60</v>
      </c>
      <c r="S449" s="6" t="s">
        <v>915</v>
      </c>
      <c r="T449" s="6" t="s">
        <v>3166</v>
      </c>
      <c r="U449" s="23" t="n">
        <v>82.891</v>
      </c>
      <c r="V449" s="6" t="s">
        <v>3167</v>
      </c>
      <c r="W449" s="6" t="s">
        <v>3168</v>
      </c>
      <c r="X449" s="6" t="s">
        <v>3169</v>
      </c>
      <c r="Y449" s="6" t="s">
        <v>60</v>
      </c>
      <c r="Z449" s="6" t="n">
        <v>0</v>
      </c>
      <c r="AA449" s="6" t="n">
        <v>0</v>
      </c>
      <c r="AB449" s="6" t="n">
        <v>0</v>
      </c>
      <c r="AC449" s="6" t="n">
        <v>0</v>
      </c>
      <c r="AD449" s="6" t="n">
        <v>0</v>
      </c>
      <c r="AE449" s="6" t="n">
        <v>0</v>
      </c>
      <c r="AF449" s="6" t="n">
        <v>0</v>
      </c>
      <c r="AG449" s="6" t="n">
        <v>0</v>
      </c>
      <c r="AH449" s="6" t="n">
        <v>1</v>
      </c>
      <c r="AI449" s="6" t="s">
        <v>84</v>
      </c>
    </row>
    <row r="450" customFormat="false" ht="15" hidden="false" customHeight="false" outlineLevel="0" collapsed="false">
      <c r="A450" s="6" t="n">
        <v>449</v>
      </c>
      <c r="B450" s="6" t="s">
        <v>3170</v>
      </c>
      <c r="C450" s="6" t="n">
        <v>9</v>
      </c>
      <c r="D450" s="6" t="s">
        <v>154</v>
      </c>
      <c r="E450" s="6" t="s">
        <v>123</v>
      </c>
      <c r="F450" s="6" t="n">
        <v>2</v>
      </c>
      <c r="G450" s="6" t="n">
        <v>169</v>
      </c>
      <c r="H450" s="6" t="s">
        <v>3171</v>
      </c>
      <c r="I450" s="22" t="n">
        <v>1761500</v>
      </c>
      <c r="J450" s="22" t="n">
        <v>5000</v>
      </c>
      <c r="K450" s="22" t="n">
        <v>132487.5</v>
      </c>
      <c r="L450" s="22" t="n">
        <v>1898987.5</v>
      </c>
      <c r="M450" s="6" t="s">
        <v>57</v>
      </c>
      <c r="N450" s="6" t="s">
        <v>58</v>
      </c>
      <c r="O450" s="6"/>
      <c r="P450" s="6" t="s">
        <v>59</v>
      </c>
      <c r="Q450" s="6" t="str">
        <f aca="false">IF(P450="pass","No","Yes")</f>
        <v>Yes</v>
      </c>
      <c r="R450" s="6" t="s">
        <v>60</v>
      </c>
      <c r="S450" s="6" t="s">
        <v>915</v>
      </c>
      <c r="T450" s="6" t="s">
        <v>3172</v>
      </c>
      <c r="U450" s="23" t="n">
        <v>61.635</v>
      </c>
      <c r="V450" s="6" t="s">
        <v>3173</v>
      </c>
      <c r="W450" s="6" t="s">
        <v>3174</v>
      </c>
      <c r="X450" s="6" t="s">
        <v>3175</v>
      </c>
      <c r="Y450" s="6" t="s">
        <v>60</v>
      </c>
      <c r="Z450" s="6" t="n">
        <v>0</v>
      </c>
      <c r="AA450" s="6" t="n">
        <v>0</v>
      </c>
      <c r="AB450" s="6" t="n">
        <v>0</v>
      </c>
      <c r="AC450" s="6" t="n">
        <v>0</v>
      </c>
      <c r="AD450" s="6" t="n">
        <v>0</v>
      </c>
      <c r="AE450" s="6" t="n">
        <v>0</v>
      </c>
      <c r="AF450" s="6" t="n">
        <v>0</v>
      </c>
      <c r="AG450" s="6" t="n">
        <v>0</v>
      </c>
      <c r="AH450" s="6" t="n">
        <v>1</v>
      </c>
      <c r="AI450" s="6" t="s">
        <v>84</v>
      </c>
    </row>
    <row r="451" customFormat="false" ht="15" hidden="false" customHeight="false" outlineLevel="0" collapsed="false">
      <c r="A451" s="6" t="n">
        <v>450</v>
      </c>
      <c r="B451" s="6" t="s">
        <v>3176</v>
      </c>
      <c r="C451" s="6" t="n">
        <v>9</v>
      </c>
      <c r="D451" s="6" t="s">
        <v>127</v>
      </c>
      <c r="E451" s="6" t="s">
        <v>55</v>
      </c>
      <c r="F451" s="6" t="n">
        <v>3</v>
      </c>
      <c r="G451" s="6" t="n">
        <v>16</v>
      </c>
      <c r="H451" s="6" t="s">
        <v>3177</v>
      </c>
      <c r="I451" s="22" t="n">
        <v>458200</v>
      </c>
      <c r="J451" s="22" t="n">
        <v>6000</v>
      </c>
      <c r="K451" s="22" t="n">
        <v>34815</v>
      </c>
      <c r="L451" s="22" t="n">
        <v>499015</v>
      </c>
      <c r="M451" s="6" t="s">
        <v>57</v>
      </c>
      <c r="N451" s="6" t="s">
        <v>58</v>
      </c>
      <c r="O451" s="6"/>
      <c r="P451" s="6" t="s">
        <v>69</v>
      </c>
      <c r="Q451" s="6" t="str">
        <f aca="false">IF(P451="pass","No","Yes")</f>
        <v>No</v>
      </c>
      <c r="R451" s="6" t="s">
        <v>60</v>
      </c>
      <c r="S451" s="6"/>
      <c r="T451" s="6"/>
      <c r="U451" s="23" t="n">
        <v>65.045</v>
      </c>
      <c r="V451" s="6" t="s">
        <v>3178</v>
      </c>
      <c r="W451" s="6" t="s">
        <v>3179</v>
      </c>
      <c r="X451" s="6" t="s">
        <v>3180</v>
      </c>
      <c r="Y451" s="6" t="s">
        <v>60</v>
      </c>
      <c r="Z451" s="6" t="n">
        <v>0</v>
      </c>
      <c r="AA451" s="6" t="n">
        <v>0</v>
      </c>
      <c r="AB451" s="6" t="n">
        <v>0</v>
      </c>
      <c r="AC451" s="6" t="n">
        <v>0</v>
      </c>
      <c r="AD451" s="6" t="n">
        <v>0</v>
      </c>
      <c r="AE451" s="6" t="n">
        <v>0</v>
      </c>
      <c r="AF451" s="6" t="n">
        <v>0</v>
      </c>
      <c r="AG451" s="6" t="n">
        <v>0</v>
      </c>
      <c r="AH451" s="6" t="n">
        <v>0</v>
      </c>
      <c r="AI451" s="6" t="s">
        <v>84</v>
      </c>
    </row>
    <row r="452" customFormat="false" ht="15" hidden="false" customHeight="false" outlineLevel="0" collapsed="false">
      <c r="A452" s="6" t="n">
        <v>451</v>
      </c>
      <c r="B452" s="6" t="s">
        <v>3181</v>
      </c>
      <c r="C452" s="6" t="n">
        <v>10</v>
      </c>
      <c r="D452" s="6" t="s">
        <v>237</v>
      </c>
      <c r="E452" s="6" t="s">
        <v>116</v>
      </c>
      <c r="F452" s="6" t="n">
        <v>2</v>
      </c>
      <c r="G452" s="6" t="n">
        <v>12</v>
      </c>
      <c r="H452" s="6" t="s">
        <v>2770</v>
      </c>
      <c r="I452" s="22" t="n">
        <v>388200</v>
      </c>
      <c r="J452" s="22" t="n">
        <v>15000</v>
      </c>
      <c r="K452" s="22" t="n">
        <v>30240</v>
      </c>
      <c r="L452" s="22" t="n">
        <v>433440</v>
      </c>
      <c r="M452" s="6" t="s">
        <v>57</v>
      </c>
      <c r="N452" s="6" t="s">
        <v>58</v>
      </c>
      <c r="O452" s="6"/>
      <c r="P452" s="6" t="s">
        <v>69</v>
      </c>
      <c r="Q452" s="6" t="str">
        <f aca="false">IF(P452="pass","No","Yes")</f>
        <v>No</v>
      </c>
      <c r="R452" s="6" t="s">
        <v>60</v>
      </c>
      <c r="S452" s="6"/>
      <c r="T452" s="6"/>
      <c r="U452" s="23" t="n">
        <v>48.553</v>
      </c>
      <c r="V452" s="6" t="s">
        <v>3182</v>
      </c>
      <c r="W452" s="6" t="s">
        <v>3183</v>
      </c>
      <c r="X452" s="6" t="s">
        <v>3184</v>
      </c>
      <c r="Y452" s="6" t="s">
        <v>60</v>
      </c>
      <c r="Z452" s="6" t="n">
        <v>0</v>
      </c>
      <c r="AA452" s="6" t="n">
        <v>0</v>
      </c>
      <c r="AB452" s="6" t="n">
        <v>0</v>
      </c>
      <c r="AC452" s="6" t="n">
        <v>0</v>
      </c>
      <c r="AD452" s="6" t="n">
        <v>0</v>
      </c>
      <c r="AE452" s="6" t="n">
        <v>0</v>
      </c>
      <c r="AF452" s="6" t="n">
        <v>0</v>
      </c>
      <c r="AG452" s="6" t="n">
        <v>0</v>
      </c>
      <c r="AH452" s="6" t="n">
        <v>0</v>
      </c>
      <c r="AI452" s="6" t="s">
        <v>84</v>
      </c>
    </row>
    <row r="453" customFormat="false" ht="15" hidden="false" customHeight="false" outlineLevel="0" collapsed="false">
      <c r="A453" s="6" t="n">
        <v>452</v>
      </c>
      <c r="B453" s="6" t="s">
        <v>3185</v>
      </c>
      <c r="C453" s="6" t="n">
        <v>10</v>
      </c>
      <c r="D453" s="6" t="s">
        <v>63</v>
      </c>
      <c r="E453" s="6" t="s">
        <v>67</v>
      </c>
      <c r="F453" s="6" t="n">
        <v>1</v>
      </c>
      <c r="G453" s="6" t="n">
        <v>128</v>
      </c>
      <c r="H453" s="6" t="s">
        <v>3186</v>
      </c>
      <c r="I453" s="22" t="n">
        <v>921600</v>
      </c>
      <c r="J453" s="22" t="n">
        <v>4500</v>
      </c>
      <c r="K453" s="22" t="n">
        <v>69457.5</v>
      </c>
      <c r="L453" s="22" t="n">
        <v>995557.5</v>
      </c>
      <c r="M453" s="6" t="s">
        <v>224</v>
      </c>
      <c r="N453" s="6" t="s">
        <v>84</v>
      </c>
      <c r="O453" s="6" t="s">
        <v>866</v>
      </c>
      <c r="P453" s="6" t="s">
        <v>85</v>
      </c>
      <c r="Q453" s="6" t="str">
        <f aca="false">IF(P453="pass","No","Yes")</f>
        <v>Yes</v>
      </c>
      <c r="R453" s="6" t="s">
        <v>86</v>
      </c>
      <c r="S453" s="6" t="s">
        <v>866</v>
      </c>
      <c r="T453" s="6" t="s">
        <v>225</v>
      </c>
      <c r="U453" s="23" t="n">
        <v>43.739</v>
      </c>
      <c r="V453" s="6" t="s">
        <v>3187</v>
      </c>
      <c r="W453" s="6" t="s">
        <v>3188</v>
      </c>
      <c r="X453" s="6" t="s">
        <v>3189</v>
      </c>
      <c r="Y453" s="6" t="s">
        <v>86</v>
      </c>
      <c r="Z453" s="6" t="n">
        <v>1</v>
      </c>
      <c r="AA453" s="6" t="n">
        <v>0</v>
      </c>
      <c r="AB453" s="6" t="n">
        <v>0</v>
      </c>
      <c r="AC453" s="6" t="n">
        <v>0</v>
      </c>
      <c r="AD453" s="6" t="n">
        <v>0</v>
      </c>
      <c r="AE453" s="6" t="n">
        <v>0</v>
      </c>
      <c r="AF453" s="6" t="n">
        <v>0</v>
      </c>
      <c r="AG453" s="6" t="n">
        <v>0</v>
      </c>
      <c r="AH453" s="6" t="n">
        <v>0</v>
      </c>
      <c r="AI453" s="6" t="s">
        <v>58</v>
      </c>
    </row>
    <row r="454" customFormat="false" ht="15" hidden="false" customHeight="false" outlineLevel="0" collapsed="false">
      <c r="A454" s="6" t="n">
        <v>453</v>
      </c>
      <c r="B454" s="6" t="s">
        <v>3190</v>
      </c>
      <c r="C454" s="6" t="n">
        <v>10</v>
      </c>
      <c r="D454" s="6" t="s">
        <v>213</v>
      </c>
      <c r="E454" s="6" t="s">
        <v>67</v>
      </c>
      <c r="F454" s="6" t="n">
        <v>3</v>
      </c>
      <c r="G454" s="6" t="n">
        <v>149</v>
      </c>
      <c r="H454" s="6" t="s">
        <v>3191</v>
      </c>
      <c r="I454" s="22" t="n">
        <v>1978600</v>
      </c>
      <c r="J454" s="22" t="n">
        <v>4500</v>
      </c>
      <c r="K454" s="22" t="n">
        <v>148732.5</v>
      </c>
      <c r="L454" s="22" t="n">
        <v>2131832.5</v>
      </c>
      <c r="M454" s="6" t="s">
        <v>1042</v>
      </c>
      <c r="N454" s="6" t="s">
        <v>58</v>
      </c>
      <c r="O454" s="6"/>
      <c r="P454" s="6" t="s">
        <v>59</v>
      </c>
      <c r="Q454" s="6" t="str">
        <f aca="false">IF(P454="pass","No","Yes")</f>
        <v>Yes</v>
      </c>
      <c r="R454" s="6" t="s">
        <v>60</v>
      </c>
      <c r="S454" s="6" t="s">
        <v>915</v>
      </c>
      <c r="T454" s="6" t="s">
        <v>3192</v>
      </c>
      <c r="U454" s="23" t="n">
        <v>82.326</v>
      </c>
      <c r="V454" s="6" t="s">
        <v>3193</v>
      </c>
      <c r="W454" s="6" t="s">
        <v>3194</v>
      </c>
      <c r="X454" s="6" t="s">
        <v>3195</v>
      </c>
      <c r="Y454" s="6" t="s">
        <v>60</v>
      </c>
      <c r="Z454" s="6" t="n">
        <v>0</v>
      </c>
      <c r="AA454" s="6" t="n">
        <v>0</v>
      </c>
      <c r="AB454" s="6" t="n">
        <v>0</v>
      </c>
      <c r="AC454" s="6" t="n">
        <v>0</v>
      </c>
      <c r="AD454" s="6" t="n">
        <v>0</v>
      </c>
      <c r="AE454" s="6" t="n">
        <v>0</v>
      </c>
      <c r="AF454" s="6" t="n">
        <v>0</v>
      </c>
      <c r="AG454" s="6" t="n">
        <v>0</v>
      </c>
      <c r="AH454" s="6" t="n">
        <v>1</v>
      </c>
      <c r="AI454" s="6" t="s">
        <v>84</v>
      </c>
    </row>
    <row r="455" customFormat="false" ht="15" hidden="false" customHeight="false" outlineLevel="0" collapsed="false">
      <c r="A455" s="6" t="n">
        <v>454</v>
      </c>
      <c r="B455" s="6" t="s">
        <v>3196</v>
      </c>
      <c r="C455" s="6" t="n">
        <v>10</v>
      </c>
      <c r="D455" s="6" t="s">
        <v>77</v>
      </c>
      <c r="E455" s="6" t="s">
        <v>146</v>
      </c>
      <c r="F455" s="6" t="n">
        <v>2</v>
      </c>
      <c r="G455" s="6" t="n">
        <v>168</v>
      </c>
      <c r="H455" s="6" t="s">
        <v>3197</v>
      </c>
      <c r="I455" s="22" t="n">
        <v>1716000</v>
      </c>
      <c r="J455" s="22" t="n">
        <v>0</v>
      </c>
      <c r="K455" s="22" t="n">
        <v>128700</v>
      </c>
      <c r="L455" s="22" t="n">
        <v>1844700</v>
      </c>
      <c r="M455" s="6" t="s">
        <v>148</v>
      </c>
      <c r="N455" s="6" t="s">
        <v>84</v>
      </c>
      <c r="O455" s="6" t="s">
        <v>866</v>
      </c>
      <c r="P455" s="6" t="s">
        <v>85</v>
      </c>
      <c r="Q455" s="6" t="str">
        <f aca="false">IF(P455="pass","No","Yes")</f>
        <v>Yes</v>
      </c>
      <c r="R455" s="6" t="s">
        <v>86</v>
      </c>
      <c r="S455" s="6" t="s">
        <v>872</v>
      </c>
      <c r="T455" s="6" t="s">
        <v>3198</v>
      </c>
      <c r="U455" s="23" t="n">
        <v>62.697</v>
      </c>
      <c r="V455" s="6" t="s">
        <v>3199</v>
      </c>
      <c r="W455" s="6" t="s">
        <v>3200</v>
      </c>
      <c r="X455" s="6" t="s">
        <v>3201</v>
      </c>
      <c r="Y455" s="6" t="s">
        <v>86</v>
      </c>
      <c r="Z455" s="6" t="n">
        <v>1</v>
      </c>
      <c r="AA455" s="6" t="n">
        <v>0</v>
      </c>
      <c r="AB455" s="6" t="n">
        <v>0</v>
      </c>
      <c r="AC455" s="6" t="n">
        <v>0</v>
      </c>
      <c r="AD455" s="6" t="n">
        <v>0</v>
      </c>
      <c r="AE455" s="6" t="n">
        <v>0</v>
      </c>
      <c r="AF455" s="6" t="n">
        <v>0</v>
      </c>
      <c r="AG455" s="6" t="n">
        <v>0</v>
      </c>
      <c r="AH455" s="6" t="n">
        <v>1</v>
      </c>
      <c r="AI455" s="6" t="s">
        <v>84</v>
      </c>
    </row>
    <row r="456" customFormat="false" ht="15" hidden="false" customHeight="false" outlineLevel="0" collapsed="false">
      <c r="A456" s="6" t="n">
        <v>455</v>
      </c>
      <c r="B456" s="6" t="s">
        <v>3202</v>
      </c>
      <c r="C456" s="6" t="n">
        <v>10</v>
      </c>
      <c r="D456" s="6" t="s">
        <v>127</v>
      </c>
      <c r="E456" s="6" t="s">
        <v>55</v>
      </c>
      <c r="F456" s="6" t="n">
        <v>2</v>
      </c>
      <c r="G456" s="6" t="n">
        <v>8</v>
      </c>
      <c r="H456" s="6" t="s">
        <v>2920</v>
      </c>
      <c r="I456" s="22" t="n">
        <v>320200</v>
      </c>
      <c r="J456" s="22" t="n">
        <v>6000</v>
      </c>
      <c r="K456" s="22" t="n">
        <v>24465</v>
      </c>
      <c r="L456" s="22" t="n">
        <v>350665</v>
      </c>
      <c r="M456" s="6" t="s">
        <v>57</v>
      </c>
      <c r="N456" s="6" t="s">
        <v>58</v>
      </c>
      <c r="O456" s="6"/>
      <c r="P456" s="6" t="s">
        <v>69</v>
      </c>
      <c r="Q456" s="6" t="str">
        <f aca="false">IF(P456="pass","No","Yes")</f>
        <v>No</v>
      </c>
      <c r="R456" s="6" t="s">
        <v>60</v>
      </c>
      <c r="S456" s="6"/>
      <c r="T456" s="6"/>
      <c r="U456" s="23" t="n">
        <v>48.848</v>
      </c>
      <c r="V456" s="6" t="s">
        <v>3203</v>
      </c>
      <c r="W456" s="6" t="s">
        <v>3204</v>
      </c>
      <c r="X456" s="6" t="s">
        <v>3205</v>
      </c>
      <c r="Y456" s="6" t="s">
        <v>60</v>
      </c>
      <c r="Z456" s="6" t="n">
        <v>0</v>
      </c>
      <c r="AA456" s="6" t="n">
        <v>0</v>
      </c>
      <c r="AB456" s="6" t="n">
        <v>0</v>
      </c>
      <c r="AC456" s="6" t="n">
        <v>0</v>
      </c>
      <c r="AD456" s="6" t="n">
        <v>0</v>
      </c>
      <c r="AE456" s="6" t="n">
        <v>0</v>
      </c>
      <c r="AF456" s="6" t="n">
        <v>0</v>
      </c>
      <c r="AG456" s="6" t="n">
        <v>0</v>
      </c>
      <c r="AH456" s="6" t="n">
        <v>0</v>
      </c>
      <c r="AI456" s="6" t="s">
        <v>84</v>
      </c>
    </row>
    <row r="457" customFormat="false" ht="15" hidden="false" customHeight="false" outlineLevel="0" collapsed="false">
      <c r="A457" s="6" t="n">
        <v>456</v>
      </c>
      <c r="B457" s="6" t="s">
        <v>3206</v>
      </c>
      <c r="C457" s="6" t="n">
        <v>10</v>
      </c>
      <c r="D457" s="6" t="s">
        <v>154</v>
      </c>
      <c r="E457" s="6" t="s">
        <v>123</v>
      </c>
      <c r="F457" s="6" t="n">
        <v>2</v>
      </c>
      <c r="G457" s="6" t="n">
        <v>55</v>
      </c>
      <c r="H457" s="6" t="s">
        <v>3207</v>
      </c>
      <c r="I457" s="22" t="n">
        <v>1161500</v>
      </c>
      <c r="J457" s="22" t="n">
        <v>5000</v>
      </c>
      <c r="K457" s="22" t="n">
        <v>87487.5</v>
      </c>
      <c r="L457" s="22" t="n">
        <v>1253987.5</v>
      </c>
      <c r="M457" s="6" t="s">
        <v>57</v>
      </c>
      <c r="N457" s="6" t="s">
        <v>58</v>
      </c>
      <c r="O457" s="6"/>
      <c r="P457" s="6" t="s">
        <v>69</v>
      </c>
      <c r="Q457" s="6" t="str">
        <f aca="false">IF(P457="pass","No","Yes")</f>
        <v>No</v>
      </c>
      <c r="R457" s="6" t="s">
        <v>60</v>
      </c>
      <c r="S457" s="6"/>
      <c r="T457" s="6"/>
      <c r="U457" s="23" t="n">
        <v>44.798</v>
      </c>
      <c r="V457" s="6" t="s">
        <v>3208</v>
      </c>
      <c r="W457" s="6" t="s">
        <v>3209</v>
      </c>
      <c r="X457" s="6" t="s">
        <v>3210</v>
      </c>
      <c r="Y457" s="6" t="s">
        <v>60</v>
      </c>
      <c r="Z457" s="6" t="n">
        <v>0</v>
      </c>
      <c r="AA457" s="6" t="n">
        <v>0</v>
      </c>
      <c r="AB457" s="6" t="n">
        <v>0</v>
      </c>
      <c r="AC457" s="6" t="n">
        <v>0</v>
      </c>
      <c r="AD457" s="6" t="n">
        <v>0</v>
      </c>
      <c r="AE457" s="6" t="n">
        <v>0</v>
      </c>
      <c r="AF457" s="6" t="n">
        <v>0</v>
      </c>
      <c r="AG457" s="6" t="n">
        <v>0</v>
      </c>
      <c r="AH457" s="6" t="n">
        <v>0</v>
      </c>
      <c r="AI457" s="6" t="s">
        <v>84</v>
      </c>
    </row>
    <row r="458" customFormat="false" ht="15" hidden="false" customHeight="false" outlineLevel="0" collapsed="false">
      <c r="A458" s="6" t="n">
        <v>457</v>
      </c>
      <c r="B458" s="6" t="s">
        <v>3211</v>
      </c>
      <c r="C458" s="6" t="n">
        <v>10</v>
      </c>
      <c r="D458" s="6" t="s">
        <v>119</v>
      </c>
      <c r="E458" s="6" t="s">
        <v>123</v>
      </c>
      <c r="F458" s="6" t="n">
        <v>2</v>
      </c>
      <c r="G458" s="6" t="n">
        <v>255</v>
      </c>
      <c r="H458" s="6" t="s">
        <v>3212</v>
      </c>
      <c r="I458" s="22" t="n">
        <v>2366600</v>
      </c>
      <c r="J458" s="22" t="n">
        <v>5000</v>
      </c>
      <c r="K458" s="22" t="n">
        <v>177870</v>
      </c>
      <c r="L458" s="22" t="n">
        <v>2549470</v>
      </c>
      <c r="M458" s="6" t="s">
        <v>171</v>
      </c>
      <c r="N458" s="6" t="s">
        <v>84</v>
      </c>
      <c r="O458" s="6" t="s">
        <v>892</v>
      </c>
      <c r="P458" s="6" t="s">
        <v>85</v>
      </c>
      <c r="Q458" s="6" t="str">
        <f aca="false">IF(P458="pass","No","Yes")</f>
        <v>Yes</v>
      </c>
      <c r="R458" s="6" t="s">
        <v>86</v>
      </c>
      <c r="S458" s="6" t="s">
        <v>892</v>
      </c>
      <c r="T458" s="6" t="s">
        <v>210</v>
      </c>
      <c r="U458" s="23" t="n">
        <v>47.036</v>
      </c>
      <c r="V458" s="6" t="s">
        <v>3213</v>
      </c>
      <c r="W458" s="6" t="s">
        <v>3214</v>
      </c>
      <c r="X458" s="6" t="s">
        <v>3215</v>
      </c>
      <c r="Y458" s="6" t="s">
        <v>86</v>
      </c>
      <c r="Z458" s="6" t="n">
        <v>0</v>
      </c>
      <c r="AA458" s="6" t="n">
        <v>0</v>
      </c>
      <c r="AB458" s="6" t="n">
        <v>0</v>
      </c>
      <c r="AC458" s="6" t="n">
        <v>1</v>
      </c>
      <c r="AD458" s="6" t="n">
        <v>0</v>
      </c>
      <c r="AE458" s="6" t="n">
        <v>0</v>
      </c>
      <c r="AF458" s="6" t="n">
        <v>0</v>
      </c>
      <c r="AG458" s="6" t="n">
        <v>0</v>
      </c>
      <c r="AH458" s="6" t="n">
        <v>0</v>
      </c>
      <c r="AI458" s="6" t="s">
        <v>84</v>
      </c>
    </row>
    <row r="459" customFormat="false" ht="15" hidden="false" customHeight="false" outlineLevel="0" collapsed="false">
      <c r="A459" s="6" t="n">
        <v>458</v>
      </c>
      <c r="B459" s="6" t="s">
        <v>3216</v>
      </c>
      <c r="C459" s="6" t="n">
        <v>10</v>
      </c>
      <c r="D459" s="6" t="s">
        <v>177</v>
      </c>
      <c r="E459" s="6" t="s">
        <v>81</v>
      </c>
      <c r="F459" s="6" t="n">
        <v>1</v>
      </c>
      <c r="G459" s="6" t="n">
        <v>124</v>
      </c>
      <c r="H459" s="6" t="s">
        <v>3217</v>
      </c>
      <c r="I459" s="22" t="n">
        <v>1178000</v>
      </c>
      <c r="J459" s="22" t="n">
        <v>4000</v>
      </c>
      <c r="K459" s="22" t="n">
        <v>88650</v>
      </c>
      <c r="L459" s="22" t="n">
        <v>1270650</v>
      </c>
      <c r="M459" s="6" t="s">
        <v>57</v>
      </c>
      <c r="N459" s="6" t="s">
        <v>58</v>
      </c>
      <c r="O459" s="6"/>
      <c r="P459" s="6" t="s">
        <v>69</v>
      </c>
      <c r="Q459" s="6" t="str">
        <f aca="false">IF(P459="pass","No","Yes")</f>
        <v>No</v>
      </c>
      <c r="R459" s="6" t="s">
        <v>60</v>
      </c>
      <c r="S459" s="6"/>
      <c r="T459" s="6"/>
      <c r="U459" s="23" t="n">
        <v>46.3</v>
      </c>
      <c r="V459" s="6" t="s">
        <v>3218</v>
      </c>
      <c r="W459" s="6" t="s">
        <v>3219</v>
      </c>
      <c r="X459" s="6" t="s">
        <v>3220</v>
      </c>
      <c r="Y459" s="6" t="s">
        <v>60</v>
      </c>
      <c r="Z459" s="6" t="n">
        <v>0</v>
      </c>
      <c r="AA459" s="6" t="n">
        <v>0</v>
      </c>
      <c r="AB459" s="6" t="n">
        <v>0</v>
      </c>
      <c r="AC459" s="6" t="n">
        <v>0</v>
      </c>
      <c r="AD459" s="6" t="n">
        <v>0</v>
      </c>
      <c r="AE459" s="6" t="n">
        <v>0</v>
      </c>
      <c r="AF459" s="6" t="n">
        <v>0</v>
      </c>
      <c r="AG459" s="6" t="n">
        <v>0</v>
      </c>
      <c r="AH459" s="6" t="n">
        <v>0</v>
      </c>
      <c r="AI459" s="6" t="s">
        <v>84</v>
      </c>
    </row>
    <row r="460" customFormat="false" ht="15" hidden="false" customHeight="false" outlineLevel="0" collapsed="false">
      <c r="A460" s="6" t="n">
        <v>459</v>
      </c>
      <c r="B460" s="6" t="s">
        <v>3221</v>
      </c>
      <c r="C460" s="6" t="n">
        <v>10</v>
      </c>
      <c r="D460" s="6" t="s">
        <v>63</v>
      </c>
      <c r="E460" s="6" t="s">
        <v>67</v>
      </c>
      <c r="F460" s="6" t="n">
        <v>3</v>
      </c>
      <c r="G460" s="6" t="n">
        <v>20</v>
      </c>
      <c r="H460" s="6" t="s">
        <v>3222</v>
      </c>
      <c r="I460" s="22" t="n">
        <v>828600</v>
      </c>
      <c r="J460" s="22" t="n">
        <v>4500</v>
      </c>
      <c r="K460" s="22" t="n">
        <v>62482.5</v>
      </c>
      <c r="L460" s="22" t="n">
        <v>895582.5</v>
      </c>
      <c r="M460" s="6" t="s">
        <v>83</v>
      </c>
      <c r="N460" s="6" t="s">
        <v>84</v>
      </c>
      <c r="O460" s="6" t="s">
        <v>886</v>
      </c>
      <c r="P460" s="6" t="s">
        <v>85</v>
      </c>
      <c r="Q460" s="6" t="str">
        <f aca="false">IF(P460="pass","No","Yes")</f>
        <v>Yes</v>
      </c>
      <c r="R460" s="6" t="s">
        <v>86</v>
      </c>
      <c r="S460" s="6" t="s">
        <v>886</v>
      </c>
      <c r="T460" s="6" t="s">
        <v>304</v>
      </c>
      <c r="U460" s="23" t="n">
        <v>67.643</v>
      </c>
      <c r="V460" s="6" t="s">
        <v>3223</v>
      </c>
      <c r="W460" s="6" t="s">
        <v>3224</v>
      </c>
      <c r="X460" s="6" t="s">
        <v>3225</v>
      </c>
      <c r="Y460" s="6" t="s">
        <v>86</v>
      </c>
      <c r="Z460" s="6" t="n">
        <v>0</v>
      </c>
      <c r="AA460" s="6" t="n">
        <v>0</v>
      </c>
      <c r="AB460" s="6" t="n">
        <v>1</v>
      </c>
      <c r="AC460" s="6" t="n">
        <v>0</v>
      </c>
      <c r="AD460" s="6" t="n">
        <v>0</v>
      </c>
      <c r="AE460" s="6" t="n">
        <v>0</v>
      </c>
      <c r="AF460" s="6" t="n">
        <v>0</v>
      </c>
      <c r="AG460" s="6" t="n">
        <v>0</v>
      </c>
      <c r="AH460" s="6" t="n">
        <v>0</v>
      </c>
      <c r="AI460" s="6" t="s">
        <v>84</v>
      </c>
    </row>
    <row r="461" customFormat="false" ht="15" hidden="false" customHeight="false" outlineLevel="0" collapsed="false">
      <c r="A461" s="6" t="n">
        <v>460</v>
      </c>
      <c r="B461" s="6" t="s">
        <v>3226</v>
      </c>
      <c r="C461" s="6" t="n">
        <v>10</v>
      </c>
      <c r="D461" s="6" t="s">
        <v>119</v>
      </c>
      <c r="E461" s="6" t="s">
        <v>123</v>
      </c>
      <c r="F461" s="6" t="n">
        <v>4</v>
      </c>
      <c r="G461" s="6" t="n">
        <v>508</v>
      </c>
      <c r="H461" s="6" t="s">
        <v>3227</v>
      </c>
      <c r="I461" s="22" t="n">
        <v>4553000</v>
      </c>
      <c r="J461" s="22" t="n">
        <v>5000</v>
      </c>
      <c r="K461" s="22" t="n">
        <v>341850</v>
      </c>
      <c r="L461" s="22" t="n">
        <v>4899850</v>
      </c>
      <c r="M461" s="6" t="s">
        <v>171</v>
      </c>
      <c r="N461" s="6" t="s">
        <v>84</v>
      </c>
      <c r="O461" s="6" t="s">
        <v>892</v>
      </c>
      <c r="P461" s="6" t="s">
        <v>85</v>
      </c>
      <c r="Q461" s="6" t="str">
        <f aca="false">IF(P461="pass","No","Yes")</f>
        <v>Yes</v>
      </c>
      <c r="R461" s="6" t="s">
        <v>86</v>
      </c>
      <c r="S461" s="6" t="s">
        <v>892</v>
      </c>
      <c r="T461" s="6" t="s">
        <v>210</v>
      </c>
      <c r="U461" s="23" t="n">
        <v>124.309</v>
      </c>
      <c r="V461" s="6" t="s">
        <v>3228</v>
      </c>
      <c r="W461" s="6" t="s">
        <v>3229</v>
      </c>
      <c r="X461" s="6" t="s">
        <v>3230</v>
      </c>
      <c r="Y461" s="6" t="s">
        <v>86</v>
      </c>
      <c r="Z461" s="6" t="n">
        <v>0</v>
      </c>
      <c r="AA461" s="6" t="n">
        <v>0</v>
      </c>
      <c r="AB461" s="6" t="n">
        <v>0</v>
      </c>
      <c r="AC461" s="6" t="n">
        <v>1</v>
      </c>
      <c r="AD461" s="6" t="n">
        <v>0</v>
      </c>
      <c r="AE461" s="6" t="n">
        <v>0</v>
      </c>
      <c r="AF461" s="6" t="n">
        <v>0</v>
      </c>
      <c r="AG461" s="6" t="n">
        <v>0</v>
      </c>
      <c r="AH461" s="6" t="n">
        <v>0</v>
      </c>
      <c r="AI461" s="6" t="s">
        <v>84</v>
      </c>
    </row>
    <row r="462" customFormat="false" ht="15" hidden="false" customHeight="false" outlineLevel="0" collapsed="false">
      <c r="A462" s="6" t="n">
        <v>461</v>
      </c>
      <c r="B462" s="6" t="s">
        <v>3231</v>
      </c>
      <c r="C462" s="6" t="n">
        <v>10</v>
      </c>
      <c r="D462" s="6" t="s">
        <v>154</v>
      </c>
      <c r="E462" s="6" t="s">
        <v>123</v>
      </c>
      <c r="F462" s="6" t="n">
        <v>1</v>
      </c>
      <c r="G462" s="6" t="n">
        <v>45</v>
      </c>
      <c r="H462" s="6" t="s">
        <v>3232</v>
      </c>
      <c r="I462" s="22" t="n">
        <v>531000</v>
      </c>
      <c r="J462" s="22" t="n">
        <v>5000</v>
      </c>
      <c r="K462" s="22" t="n">
        <v>40200</v>
      </c>
      <c r="L462" s="22" t="n">
        <v>576200</v>
      </c>
      <c r="M462" s="6" t="s">
        <v>57</v>
      </c>
      <c r="N462" s="6" t="s">
        <v>58</v>
      </c>
      <c r="O462" s="6"/>
      <c r="P462" s="6" t="s">
        <v>69</v>
      </c>
      <c r="Q462" s="6" t="str">
        <f aca="false">IF(P462="pass","No","Yes")</f>
        <v>No</v>
      </c>
      <c r="R462" s="6" t="s">
        <v>60</v>
      </c>
      <c r="S462" s="6"/>
      <c r="T462" s="6"/>
      <c r="U462" s="23" t="n">
        <v>28.112</v>
      </c>
      <c r="V462" s="6" t="s">
        <v>3233</v>
      </c>
      <c r="W462" s="6" t="s">
        <v>3234</v>
      </c>
      <c r="X462" s="6" t="s">
        <v>3235</v>
      </c>
      <c r="Y462" s="6" t="s">
        <v>60</v>
      </c>
      <c r="Z462" s="6" t="n">
        <v>0</v>
      </c>
      <c r="AA462" s="6" t="n">
        <v>0</v>
      </c>
      <c r="AB462" s="6" t="n">
        <v>0</v>
      </c>
      <c r="AC462" s="6" t="n">
        <v>0</v>
      </c>
      <c r="AD462" s="6" t="n">
        <v>0</v>
      </c>
      <c r="AE462" s="6" t="n">
        <v>0</v>
      </c>
      <c r="AF462" s="6" t="n">
        <v>0</v>
      </c>
      <c r="AG462" s="6" t="n">
        <v>0</v>
      </c>
      <c r="AH462" s="6" t="n">
        <v>0</v>
      </c>
      <c r="AI462" s="6" t="s">
        <v>84</v>
      </c>
    </row>
    <row r="463" customFormat="false" ht="15" hidden="false" customHeight="false" outlineLevel="0" collapsed="false">
      <c r="A463" s="6" t="n">
        <v>462</v>
      </c>
      <c r="B463" s="6" t="s">
        <v>3236</v>
      </c>
      <c r="C463" s="6" t="n">
        <v>10</v>
      </c>
      <c r="D463" s="6" t="s">
        <v>213</v>
      </c>
      <c r="E463" s="6" t="s">
        <v>67</v>
      </c>
      <c r="F463" s="6" t="n">
        <v>3</v>
      </c>
      <c r="G463" s="6" t="n">
        <v>176</v>
      </c>
      <c r="H463" s="6" t="s">
        <v>3237</v>
      </c>
      <c r="I463" s="22" t="n">
        <v>1770900</v>
      </c>
      <c r="J463" s="22" t="n">
        <v>4500</v>
      </c>
      <c r="K463" s="22" t="n">
        <v>133155</v>
      </c>
      <c r="L463" s="22" t="n">
        <v>1908555</v>
      </c>
      <c r="M463" s="6" t="s">
        <v>83</v>
      </c>
      <c r="N463" s="6" t="s">
        <v>84</v>
      </c>
      <c r="O463" s="6" t="s">
        <v>886</v>
      </c>
      <c r="P463" s="6" t="s">
        <v>85</v>
      </c>
      <c r="Q463" s="6" t="str">
        <f aca="false">IF(P463="pass","No","Yes")</f>
        <v>Yes</v>
      </c>
      <c r="R463" s="6" t="s">
        <v>86</v>
      </c>
      <c r="S463" s="6" t="s">
        <v>1479</v>
      </c>
      <c r="T463" s="6" t="s">
        <v>3238</v>
      </c>
      <c r="U463" s="23" t="n">
        <v>105.739</v>
      </c>
      <c r="V463" s="6" t="s">
        <v>3239</v>
      </c>
      <c r="W463" s="6" t="s">
        <v>3240</v>
      </c>
      <c r="X463" s="6" t="s">
        <v>3241</v>
      </c>
      <c r="Y463" s="6" t="s">
        <v>86</v>
      </c>
      <c r="Z463" s="6" t="n">
        <v>0</v>
      </c>
      <c r="AA463" s="6" t="n">
        <v>0</v>
      </c>
      <c r="AB463" s="6" t="n">
        <v>1</v>
      </c>
      <c r="AC463" s="6" t="n">
        <v>0</v>
      </c>
      <c r="AD463" s="6" t="n">
        <v>0</v>
      </c>
      <c r="AE463" s="6" t="n">
        <v>0</v>
      </c>
      <c r="AF463" s="6" t="n">
        <v>0</v>
      </c>
      <c r="AG463" s="6" t="n">
        <v>0</v>
      </c>
      <c r="AH463" s="6" t="n">
        <v>1</v>
      </c>
      <c r="AI463" s="6" t="s">
        <v>84</v>
      </c>
    </row>
    <row r="464" customFormat="false" ht="15" hidden="false" customHeight="false" outlineLevel="0" collapsed="false">
      <c r="A464" s="6" t="n">
        <v>463</v>
      </c>
      <c r="B464" s="6" t="s">
        <v>3242</v>
      </c>
      <c r="C464" s="6" t="n">
        <v>10</v>
      </c>
      <c r="D464" s="6" t="s">
        <v>198</v>
      </c>
      <c r="E464" s="6" t="s">
        <v>81</v>
      </c>
      <c r="F464" s="6" t="n">
        <v>3</v>
      </c>
      <c r="G464" s="6" t="n">
        <v>118</v>
      </c>
      <c r="H464" s="6" t="s">
        <v>3243</v>
      </c>
      <c r="I464" s="22" t="n">
        <v>1165400</v>
      </c>
      <c r="J464" s="22" t="n">
        <v>4000</v>
      </c>
      <c r="K464" s="22" t="n">
        <v>87705</v>
      </c>
      <c r="L464" s="22" t="n">
        <v>1257105</v>
      </c>
      <c r="M464" s="6" t="s">
        <v>984</v>
      </c>
      <c r="N464" s="6" t="s">
        <v>84</v>
      </c>
      <c r="O464" s="6" t="s">
        <v>985</v>
      </c>
      <c r="P464" s="6" t="s">
        <v>85</v>
      </c>
      <c r="Q464" s="6" t="str">
        <f aca="false">IF(P464="pass","No","Yes")</f>
        <v>Yes</v>
      </c>
      <c r="R464" s="6" t="s">
        <v>86</v>
      </c>
      <c r="S464" s="6" t="s">
        <v>985</v>
      </c>
      <c r="T464" s="6" t="s">
        <v>3244</v>
      </c>
      <c r="U464" s="23" t="n">
        <v>90.788</v>
      </c>
      <c r="V464" s="6" t="s">
        <v>3245</v>
      </c>
      <c r="W464" s="6" t="s">
        <v>3246</v>
      </c>
      <c r="X464" s="6" t="s">
        <v>3247</v>
      </c>
      <c r="Y464" s="6" t="s">
        <v>86</v>
      </c>
      <c r="Z464" s="6" t="n">
        <v>0</v>
      </c>
      <c r="AA464" s="6" t="n">
        <v>0</v>
      </c>
      <c r="AB464" s="6" t="n">
        <v>0</v>
      </c>
      <c r="AC464" s="6" t="n">
        <v>0</v>
      </c>
      <c r="AD464" s="6" t="n">
        <v>0</v>
      </c>
      <c r="AE464" s="6" t="n">
        <v>1</v>
      </c>
      <c r="AF464" s="6" t="n">
        <v>0</v>
      </c>
      <c r="AG464" s="6" t="n">
        <v>0</v>
      </c>
      <c r="AH464" s="6" t="n">
        <v>0</v>
      </c>
      <c r="AI464" s="6" t="s">
        <v>84</v>
      </c>
    </row>
    <row r="465" customFormat="false" ht="15" hidden="false" customHeight="false" outlineLevel="0" collapsed="false">
      <c r="A465" s="6" t="n">
        <v>464</v>
      </c>
      <c r="B465" s="6" t="s">
        <v>3248</v>
      </c>
      <c r="C465" s="6" t="n">
        <v>10</v>
      </c>
      <c r="D465" s="6" t="s">
        <v>186</v>
      </c>
      <c r="E465" s="6" t="s">
        <v>123</v>
      </c>
      <c r="F465" s="6" t="n">
        <v>3</v>
      </c>
      <c r="G465" s="6" t="n">
        <v>57</v>
      </c>
      <c r="H465" s="6" t="s">
        <v>3249</v>
      </c>
      <c r="I465" s="22" t="n">
        <v>813300</v>
      </c>
      <c r="J465" s="22" t="n">
        <v>5000</v>
      </c>
      <c r="K465" s="22" t="n">
        <v>61372.5</v>
      </c>
      <c r="L465" s="22" t="n">
        <v>879672.5</v>
      </c>
      <c r="M465" s="6" t="s">
        <v>224</v>
      </c>
      <c r="N465" s="6" t="s">
        <v>84</v>
      </c>
      <c r="O465" s="6" t="s">
        <v>866</v>
      </c>
      <c r="P465" s="6" t="s">
        <v>85</v>
      </c>
      <c r="Q465" s="6" t="str">
        <f aca="false">IF(P465="pass","No","Yes")</f>
        <v>Yes</v>
      </c>
      <c r="R465" s="6" t="s">
        <v>86</v>
      </c>
      <c r="S465" s="6" t="s">
        <v>866</v>
      </c>
      <c r="T465" s="6" t="s">
        <v>225</v>
      </c>
      <c r="U465" s="23" t="n">
        <v>87.822</v>
      </c>
      <c r="V465" s="6" t="s">
        <v>3250</v>
      </c>
      <c r="W465" s="6" t="s">
        <v>3251</v>
      </c>
      <c r="X465" s="6" t="s">
        <v>3252</v>
      </c>
      <c r="Y465" s="6" t="s">
        <v>86</v>
      </c>
      <c r="Z465" s="6" t="n">
        <v>1</v>
      </c>
      <c r="AA465" s="6" t="n">
        <v>0</v>
      </c>
      <c r="AB465" s="6" t="n">
        <v>0</v>
      </c>
      <c r="AC465" s="6" t="n">
        <v>0</v>
      </c>
      <c r="AD465" s="6" t="n">
        <v>0</v>
      </c>
      <c r="AE465" s="6" t="n">
        <v>0</v>
      </c>
      <c r="AF465" s="6" t="n">
        <v>0</v>
      </c>
      <c r="AG465" s="6" t="n">
        <v>0</v>
      </c>
      <c r="AH465" s="6" t="n">
        <v>0</v>
      </c>
      <c r="AI465" s="6" t="s">
        <v>58</v>
      </c>
    </row>
    <row r="466" customFormat="false" ht="15" hidden="false" customHeight="false" outlineLevel="0" collapsed="false">
      <c r="A466" s="6" t="n">
        <v>465</v>
      </c>
      <c r="B466" s="6" t="s">
        <v>3253</v>
      </c>
      <c r="C466" s="6" t="n">
        <v>10</v>
      </c>
      <c r="D466" s="6" t="s">
        <v>77</v>
      </c>
      <c r="E466" s="6" t="s">
        <v>81</v>
      </c>
      <c r="F466" s="6" t="n">
        <v>4</v>
      </c>
      <c r="G466" s="6" t="n">
        <v>522</v>
      </c>
      <c r="H466" s="6" t="s">
        <v>3254</v>
      </c>
      <c r="I466" s="22" t="n">
        <v>7580000</v>
      </c>
      <c r="J466" s="22" t="n">
        <v>4000</v>
      </c>
      <c r="K466" s="22" t="n">
        <v>568800</v>
      </c>
      <c r="L466" s="22" t="n">
        <v>8152800</v>
      </c>
      <c r="M466" s="6" t="s">
        <v>171</v>
      </c>
      <c r="N466" s="6" t="s">
        <v>84</v>
      </c>
      <c r="O466" s="6" t="s">
        <v>892</v>
      </c>
      <c r="P466" s="6" t="s">
        <v>85</v>
      </c>
      <c r="Q466" s="6" t="str">
        <f aca="false">IF(P466="pass","No","Yes")</f>
        <v>Yes</v>
      </c>
      <c r="R466" s="6" t="s">
        <v>86</v>
      </c>
      <c r="S466" s="6" t="s">
        <v>893</v>
      </c>
      <c r="T466" s="6" t="s">
        <v>3255</v>
      </c>
      <c r="U466" s="23" t="n">
        <v>109.149</v>
      </c>
      <c r="V466" s="6" t="s">
        <v>3256</v>
      </c>
      <c r="W466" s="6" t="s">
        <v>3257</v>
      </c>
      <c r="X466" s="6" t="s">
        <v>3258</v>
      </c>
      <c r="Y466" s="6" t="s">
        <v>86</v>
      </c>
      <c r="Z466" s="6" t="n">
        <v>0</v>
      </c>
      <c r="AA466" s="6" t="n">
        <v>0</v>
      </c>
      <c r="AB466" s="6" t="n">
        <v>0</v>
      </c>
      <c r="AC466" s="6" t="n">
        <v>1</v>
      </c>
      <c r="AD466" s="6" t="n">
        <v>0</v>
      </c>
      <c r="AE466" s="6" t="n">
        <v>0</v>
      </c>
      <c r="AF466" s="6" t="n">
        <v>0</v>
      </c>
      <c r="AG466" s="6" t="n">
        <v>0</v>
      </c>
      <c r="AH466" s="6" t="n">
        <v>1</v>
      </c>
      <c r="AI466" s="6" t="s">
        <v>84</v>
      </c>
    </row>
    <row r="467" customFormat="false" ht="15" hidden="false" customHeight="false" outlineLevel="0" collapsed="false">
      <c r="A467" s="6" t="n">
        <v>466</v>
      </c>
      <c r="B467" s="6" t="s">
        <v>3259</v>
      </c>
      <c r="C467" s="6" t="n">
        <v>10</v>
      </c>
      <c r="D467" s="6" t="s">
        <v>100</v>
      </c>
      <c r="E467" s="6" t="s">
        <v>67</v>
      </c>
      <c r="F467" s="6" t="n">
        <v>1</v>
      </c>
      <c r="G467" s="6" t="n">
        <v>164</v>
      </c>
      <c r="H467" s="6" t="s">
        <v>3260</v>
      </c>
      <c r="I467" s="22" t="n">
        <v>1558000</v>
      </c>
      <c r="J467" s="22" t="n">
        <v>4500</v>
      </c>
      <c r="K467" s="22" t="n">
        <v>117187.5</v>
      </c>
      <c r="L467" s="22" t="n">
        <v>1679687.5</v>
      </c>
      <c r="M467" s="6" t="s">
        <v>57</v>
      </c>
      <c r="N467" s="6" t="s">
        <v>58</v>
      </c>
      <c r="O467" s="6"/>
      <c r="P467" s="6" t="s">
        <v>69</v>
      </c>
      <c r="Q467" s="6" t="str">
        <f aca="false">IF(P467="pass","No","Yes")</f>
        <v>No</v>
      </c>
      <c r="R467" s="6" t="s">
        <v>60</v>
      </c>
      <c r="S467" s="6"/>
      <c r="T467" s="6"/>
      <c r="U467" s="23" t="n">
        <v>47.733</v>
      </c>
      <c r="V467" s="6" t="s">
        <v>3261</v>
      </c>
      <c r="W467" s="6" t="s">
        <v>3262</v>
      </c>
      <c r="X467" s="6" t="s">
        <v>3263</v>
      </c>
      <c r="Y467" s="6" t="s">
        <v>60</v>
      </c>
      <c r="Z467" s="6" t="n">
        <v>0</v>
      </c>
      <c r="AA467" s="6" t="n">
        <v>0</v>
      </c>
      <c r="AB467" s="6" t="n">
        <v>0</v>
      </c>
      <c r="AC467" s="6" t="n">
        <v>0</v>
      </c>
      <c r="AD467" s="6" t="n">
        <v>0</v>
      </c>
      <c r="AE467" s="6" t="n">
        <v>0</v>
      </c>
      <c r="AF467" s="6" t="n">
        <v>0</v>
      </c>
      <c r="AG467" s="6" t="n">
        <v>0</v>
      </c>
      <c r="AH467" s="6" t="n">
        <v>0</v>
      </c>
      <c r="AI467" s="6" t="s">
        <v>84</v>
      </c>
    </row>
    <row r="468" customFormat="false" ht="15" hidden="false" customHeight="false" outlineLevel="0" collapsed="false">
      <c r="A468" s="6" t="n">
        <v>467</v>
      </c>
      <c r="B468" s="6" t="s">
        <v>3264</v>
      </c>
      <c r="C468" s="6" t="n">
        <v>10</v>
      </c>
      <c r="D468" s="6" t="s">
        <v>237</v>
      </c>
      <c r="E468" s="6" t="s">
        <v>116</v>
      </c>
      <c r="F468" s="6" t="n">
        <v>2</v>
      </c>
      <c r="G468" s="6" t="n">
        <v>99</v>
      </c>
      <c r="H468" s="6" t="s">
        <v>3265</v>
      </c>
      <c r="I468" s="22" t="n">
        <v>919800</v>
      </c>
      <c r="J468" s="22" t="n">
        <v>15000</v>
      </c>
      <c r="K468" s="22" t="n">
        <v>70110</v>
      </c>
      <c r="L468" s="22" t="n">
        <v>1004910</v>
      </c>
      <c r="M468" s="6" t="s">
        <v>57</v>
      </c>
      <c r="N468" s="6" t="s">
        <v>58</v>
      </c>
      <c r="O468" s="6"/>
      <c r="P468" s="6" t="s">
        <v>69</v>
      </c>
      <c r="Q468" s="6" t="str">
        <f aca="false">IF(P468="pass","No","Yes")</f>
        <v>No</v>
      </c>
      <c r="R468" s="6" t="s">
        <v>60</v>
      </c>
      <c r="S468" s="6"/>
      <c r="T468" s="6"/>
      <c r="U468" s="23" t="n">
        <v>68.819</v>
      </c>
      <c r="V468" s="6" t="s">
        <v>3266</v>
      </c>
      <c r="W468" s="6" t="s">
        <v>3267</v>
      </c>
      <c r="X468" s="6" t="s">
        <v>3268</v>
      </c>
      <c r="Y468" s="6" t="s">
        <v>60</v>
      </c>
      <c r="Z468" s="6" t="n">
        <v>0</v>
      </c>
      <c r="AA468" s="6" t="n">
        <v>0</v>
      </c>
      <c r="AB468" s="6" t="n">
        <v>0</v>
      </c>
      <c r="AC468" s="6" t="n">
        <v>0</v>
      </c>
      <c r="AD468" s="6" t="n">
        <v>0</v>
      </c>
      <c r="AE468" s="6" t="n">
        <v>0</v>
      </c>
      <c r="AF468" s="6" t="n">
        <v>0</v>
      </c>
      <c r="AG468" s="6" t="n">
        <v>0</v>
      </c>
      <c r="AH468" s="6" t="n">
        <v>0</v>
      </c>
      <c r="AI468" s="6" t="s">
        <v>84</v>
      </c>
    </row>
    <row r="469" customFormat="false" ht="15" hidden="false" customHeight="false" outlineLevel="0" collapsed="false">
      <c r="A469" s="6" t="n">
        <v>468</v>
      </c>
      <c r="B469" s="6" t="s">
        <v>3269</v>
      </c>
      <c r="C469" s="6" t="n">
        <v>10</v>
      </c>
      <c r="D469" s="6" t="s">
        <v>70</v>
      </c>
      <c r="E469" s="6" t="s">
        <v>74</v>
      </c>
      <c r="F469" s="6" t="n">
        <v>4</v>
      </c>
      <c r="G469" s="6" t="n">
        <v>365</v>
      </c>
      <c r="H469" s="6" t="s">
        <v>3270</v>
      </c>
      <c r="I469" s="22" t="n">
        <v>4885800</v>
      </c>
      <c r="J469" s="22" t="n">
        <v>9000</v>
      </c>
      <c r="K469" s="22" t="n">
        <v>367110</v>
      </c>
      <c r="L469" s="22" t="n">
        <v>5261910</v>
      </c>
      <c r="M469" s="6" t="s">
        <v>171</v>
      </c>
      <c r="N469" s="6" t="s">
        <v>84</v>
      </c>
      <c r="O469" s="6" t="s">
        <v>892</v>
      </c>
      <c r="P469" s="6" t="s">
        <v>85</v>
      </c>
      <c r="Q469" s="6" t="str">
        <f aca="false">IF(P469="pass","No","Yes")</f>
        <v>Yes</v>
      </c>
      <c r="R469" s="6" t="s">
        <v>86</v>
      </c>
      <c r="S469" s="6" t="s">
        <v>893</v>
      </c>
      <c r="T469" s="6" t="s">
        <v>3271</v>
      </c>
      <c r="U469" s="23" t="n">
        <v>90.83</v>
      </c>
      <c r="V469" s="6" t="s">
        <v>3272</v>
      </c>
      <c r="W469" s="6" t="s">
        <v>3273</v>
      </c>
      <c r="X469" s="6" t="s">
        <v>3274</v>
      </c>
      <c r="Y469" s="6" t="s">
        <v>86</v>
      </c>
      <c r="Z469" s="6" t="n">
        <v>0</v>
      </c>
      <c r="AA469" s="6" t="n">
        <v>0</v>
      </c>
      <c r="AB469" s="6" t="n">
        <v>0</v>
      </c>
      <c r="AC469" s="6" t="n">
        <v>1</v>
      </c>
      <c r="AD469" s="6" t="n">
        <v>0</v>
      </c>
      <c r="AE469" s="6" t="n">
        <v>0</v>
      </c>
      <c r="AF469" s="6" t="n">
        <v>0</v>
      </c>
      <c r="AG469" s="6" t="n">
        <v>0</v>
      </c>
      <c r="AH469" s="6" t="n">
        <v>1</v>
      </c>
      <c r="AI469" s="6" t="s">
        <v>84</v>
      </c>
    </row>
    <row r="470" customFormat="false" ht="15" hidden="false" customHeight="false" outlineLevel="0" collapsed="false">
      <c r="A470" s="6" t="n">
        <v>469</v>
      </c>
      <c r="B470" s="6" t="s">
        <v>3275</v>
      </c>
      <c r="C470" s="6" t="n">
        <v>10</v>
      </c>
      <c r="D470" s="6" t="s">
        <v>70</v>
      </c>
      <c r="E470" s="6" t="s">
        <v>74</v>
      </c>
      <c r="F470" s="6" t="n">
        <v>1</v>
      </c>
      <c r="G470" s="6" t="n">
        <v>23</v>
      </c>
      <c r="H470" s="6" t="s">
        <v>3276</v>
      </c>
      <c r="I470" s="22" t="n">
        <v>271400</v>
      </c>
      <c r="J470" s="22" t="n">
        <v>9000</v>
      </c>
      <c r="K470" s="22" t="n">
        <v>21030</v>
      </c>
      <c r="L470" s="22" t="n">
        <v>301430</v>
      </c>
      <c r="M470" s="6" t="s">
        <v>960</v>
      </c>
      <c r="N470" s="6" t="s">
        <v>84</v>
      </c>
      <c r="O470" s="6" t="s">
        <v>961</v>
      </c>
      <c r="P470" s="6" t="s">
        <v>85</v>
      </c>
      <c r="Q470" s="6" t="str">
        <f aca="false">IF(P470="pass","No","Yes")</f>
        <v>Yes</v>
      </c>
      <c r="R470" s="6" t="s">
        <v>86</v>
      </c>
      <c r="S470" s="6" t="s">
        <v>961</v>
      </c>
      <c r="T470" s="6" t="s">
        <v>962</v>
      </c>
      <c r="U470" s="23" t="n">
        <v>30.153</v>
      </c>
      <c r="V470" s="6" t="s">
        <v>3277</v>
      </c>
      <c r="W470" s="6" t="s">
        <v>3278</v>
      </c>
      <c r="X470" s="6" t="s">
        <v>3279</v>
      </c>
      <c r="Y470" s="6" t="s">
        <v>86</v>
      </c>
      <c r="Z470" s="6" t="n">
        <v>0</v>
      </c>
      <c r="AA470" s="6" t="n">
        <v>0</v>
      </c>
      <c r="AB470" s="6" t="n">
        <v>0</v>
      </c>
      <c r="AC470" s="6" t="n">
        <v>0</v>
      </c>
      <c r="AD470" s="6" t="n">
        <v>1</v>
      </c>
      <c r="AE470" s="6" t="n">
        <v>0</v>
      </c>
      <c r="AF470" s="6" t="n">
        <v>0</v>
      </c>
      <c r="AG470" s="6" t="n">
        <v>0</v>
      </c>
      <c r="AH470" s="6" t="n">
        <v>0</v>
      </c>
      <c r="AI470" s="6" t="s">
        <v>84</v>
      </c>
    </row>
    <row r="471" customFormat="false" ht="15" hidden="false" customHeight="false" outlineLevel="0" collapsed="false">
      <c r="A471" s="6" t="n">
        <v>470</v>
      </c>
      <c r="B471" s="6" t="s">
        <v>3280</v>
      </c>
      <c r="C471" s="6" t="n">
        <v>10</v>
      </c>
      <c r="D471" s="6" t="s">
        <v>137</v>
      </c>
      <c r="E471" s="6" t="s">
        <v>55</v>
      </c>
      <c r="F471" s="6" t="n">
        <v>3</v>
      </c>
      <c r="G471" s="6" t="n">
        <v>77</v>
      </c>
      <c r="H471" s="6" t="s">
        <v>3281</v>
      </c>
      <c r="I471" s="22" t="n">
        <v>1417200</v>
      </c>
      <c r="J471" s="22" t="n">
        <v>6000</v>
      </c>
      <c r="K471" s="22" t="n">
        <v>106740</v>
      </c>
      <c r="L471" s="22" t="n">
        <v>1529940</v>
      </c>
      <c r="M471" s="6" t="s">
        <v>57</v>
      </c>
      <c r="N471" s="6" t="s">
        <v>58</v>
      </c>
      <c r="O471" s="6"/>
      <c r="P471" s="6" t="s">
        <v>69</v>
      </c>
      <c r="Q471" s="6" t="str">
        <f aca="false">IF(P471="pass","No","Yes")</f>
        <v>No</v>
      </c>
      <c r="R471" s="6" t="s">
        <v>60</v>
      </c>
      <c r="S471" s="6"/>
      <c r="T471" s="6"/>
      <c r="U471" s="23" t="n">
        <v>71.221</v>
      </c>
      <c r="V471" s="6" t="s">
        <v>3282</v>
      </c>
      <c r="W471" s="6" t="s">
        <v>3283</v>
      </c>
      <c r="X471" s="6" t="s">
        <v>3284</v>
      </c>
      <c r="Y471" s="6" t="s">
        <v>60</v>
      </c>
      <c r="Z471" s="6" t="n">
        <v>0</v>
      </c>
      <c r="AA471" s="6" t="n">
        <v>0</v>
      </c>
      <c r="AB471" s="6" t="n">
        <v>0</v>
      </c>
      <c r="AC471" s="6" t="n">
        <v>0</v>
      </c>
      <c r="AD471" s="6" t="n">
        <v>0</v>
      </c>
      <c r="AE471" s="6" t="n">
        <v>0</v>
      </c>
      <c r="AF471" s="6" t="n">
        <v>0</v>
      </c>
      <c r="AG471" s="6" t="n">
        <v>0</v>
      </c>
      <c r="AH471" s="6" t="n">
        <v>0</v>
      </c>
      <c r="AI471" s="6" t="s">
        <v>84</v>
      </c>
    </row>
    <row r="472" customFormat="false" ht="15" hidden="false" customHeight="false" outlineLevel="0" collapsed="false">
      <c r="A472" s="6" t="n">
        <v>471</v>
      </c>
      <c r="B472" s="6" t="s">
        <v>3285</v>
      </c>
      <c r="C472" s="6" t="n">
        <v>10</v>
      </c>
      <c r="D472" s="6" t="s">
        <v>105</v>
      </c>
      <c r="E472" s="6" t="s">
        <v>81</v>
      </c>
      <c r="F472" s="6" t="n">
        <v>3</v>
      </c>
      <c r="G472" s="6" t="n">
        <v>199</v>
      </c>
      <c r="H472" s="6" t="s">
        <v>3286</v>
      </c>
      <c r="I472" s="22" t="n">
        <v>2115800</v>
      </c>
      <c r="J472" s="22" t="n">
        <v>4000</v>
      </c>
      <c r="K472" s="22" t="n">
        <v>158985</v>
      </c>
      <c r="L472" s="22" t="n">
        <v>2278785</v>
      </c>
      <c r="M472" s="6" t="s">
        <v>57</v>
      </c>
      <c r="N472" s="6" t="s">
        <v>58</v>
      </c>
      <c r="O472" s="6"/>
      <c r="P472" s="6" t="s">
        <v>69</v>
      </c>
      <c r="Q472" s="6" t="str">
        <f aca="false">IF(P472="pass","No","Yes")</f>
        <v>No</v>
      </c>
      <c r="R472" s="6" t="s">
        <v>60</v>
      </c>
      <c r="S472" s="6"/>
      <c r="T472" s="6"/>
      <c r="U472" s="23" t="n">
        <v>90.946</v>
      </c>
      <c r="V472" s="6" t="s">
        <v>3287</v>
      </c>
      <c r="W472" s="6" t="s">
        <v>3288</v>
      </c>
      <c r="X472" s="6" t="s">
        <v>3289</v>
      </c>
      <c r="Y472" s="6" t="s">
        <v>60</v>
      </c>
      <c r="Z472" s="6" t="n">
        <v>0</v>
      </c>
      <c r="AA472" s="6" t="n">
        <v>0</v>
      </c>
      <c r="AB472" s="6" t="n">
        <v>0</v>
      </c>
      <c r="AC472" s="6" t="n">
        <v>0</v>
      </c>
      <c r="AD472" s="6" t="n">
        <v>0</v>
      </c>
      <c r="AE472" s="6" t="n">
        <v>0</v>
      </c>
      <c r="AF472" s="6" t="n">
        <v>0</v>
      </c>
      <c r="AG472" s="6" t="n">
        <v>0</v>
      </c>
      <c r="AH472" s="6" t="n">
        <v>0</v>
      </c>
      <c r="AI472" s="6" t="s">
        <v>84</v>
      </c>
    </row>
    <row r="473" customFormat="false" ht="15" hidden="false" customHeight="false" outlineLevel="0" collapsed="false">
      <c r="A473" s="6" t="n">
        <v>472</v>
      </c>
      <c r="B473" s="6" t="s">
        <v>3290</v>
      </c>
      <c r="C473" s="6" t="n">
        <v>10</v>
      </c>
      <c r="D473" s="6" t="s">
        <v>70</v>
      </c>
      <c r="E473" s="6" t="s">
        <v>74</v>
      </c>
      <c r="F473" s="6" t="n">
        <v>2</v>
      </c>
      <c r="G473" s="6" t="n">
        <v>29</v>
      </c>
      <c r="H473" s="6" t="s">
        <v>3291</v>
      </c>
      <c r="I473" s="22" t="n">
        <v>325600</v>
      </c>
      <c r="J473" s="22" t="n">
        <v>9000</v>
      </c>
      <c r="K473" s="22" t="n">
        <v>25095</v>
      </c>
      <c r="L473" s="22" t="n">
        <v>359695</v>
      </c>
      <c r="M473" s="6" t="s">
        <v>57</v>
      </c>
      <c r="N473" s="6" t="s">
        <v>58</v>
      </c>
      <c r="O473" s="6"/>
      <c r="P473" s="6" t="s">
        <v>69</v>
      </c>
      <c r="Q473" s="6" t="str">
        <f aca="false">IF(P473="pass","No","Yes")</f>
        <v>No</v>
      </c>
      <c r="R473" s="6" t="s">
        <v>60</v>
      </c>
      <c r="S473" s="6"/>
      <c r="T473" s="6"/>
      <c r="U473" s="23" t="n">
        <v>70.539</v>
      </c>
      <c r="V473" s="6" t="s">
        <v>3292</v>
      </c>
      <c r="W473" s="6" t="s">
        <v>3293</v>
      </c>
      <c r="X473" s="6" t="s">
        <v>3294</v>
      </c>
      <c r="Y473" s="6" t="s">
        <v>60</v>
      </c>
      <c r="Z473" s="6" t="n">
        <v>0</v>
      </c>
      <c r="AA473" s="6" t="n">
        <v>0</v>
      </c>
      <c r="AB473" s="6" t="n">
        <v>0</v>
      </c>
      <c r="AC473" s="6" t="n">
        <v>0</v>
      </c>
      <c r="AD473" s="6" t="n">
        <v>0</v>
      </c>
      <c r="AE473" s="6" t="n">
        <v>0</v>
      </c>
      <c r="AF473" s="6" t="n">
        <v>0</v>
      </c>
      <c r="AG473" s="6" t="n">
        <v>0</v>
      </c>
      <c r="AH473" s="6" t="n">
        <v>0</v>
      </c>
      <c r="AI473" s="6" t="s">
        <v>84</v>
      </c>
    </row>
    <row r="474" customFormat="false" ht="15" hidden="false" customHeight="false" outlineLevel="0" collapsed="false">
      <c r="A474" s="6" t="n">
        <v>473</v>
      </c>
      <c r="B474" s="6" t="s">
        <v>3295</v>
      </c>
      <c r="C474" s="6" t="n">
        <v>10</v>
      </c>
      <c r="D474" s="6" t="s">
        <v>70</v>
      </c>
      <c r="E474" s="6" t="s">
        <v>74</v>
      </c>
      <c r="F474" s="6" t="n">
        <v>2</v>
      </c>
      <c r="G474" s="6" t="n">
        <v>29</v>
      </c>
      <c r="H474" s="6" t="s">
        <v>3291</v>
      </c>
      <c r="I474" s="22" t="n">
        <v>325600</v>
      </c>
      <c r="J474" s="22" t="n">
        <v>9000</v>
      </c>
      <c r="K474" s="22" t="n">
        <v>25095</v>
      </c>
      <c r="L474" s="22" t="n">
        <v>359695</v>
      </c>
      <c r="M474" s="6" t="s">
        <v>97</v>
      </c>
      <c r="N474" s="6" t="s">
        <v>84</v>
      </c>
      <c r="O474" s="6" t="s">
        <v>1185</v>
      </c>
      <c r="P474" s="6" t="s">
        <v>59</v>
      </c>
      <c r="Q474" s="6" t="str">
        <f aca="false">IF(P474="pass","No","Yes")</f>
        <v>Yes</v>
      </c>
      <c r="R474" s="6" t="s">
        <v>98</v>
      </c>
      <c r="S474" s="6" t="s">
        <v>1185</v>
      </c>
      <c r="T474" s="6" t="s">
        <v>3296</v>
      </c>
      <c r="U474" s="23" t="n">
        <v>68.66</v>
      </c>
      <c r="V474" s="6" t="s">
        <v>3297</v>
      </c>
      <c r="W474" s="6"/>
      <c r="X474" s="6" t="s">
        <v>3297</v>
      </c>
      <c r="Y474" s="6" t="s">
        <v>98</v>
      </c>
      <c r="Z474" s="6" t="n">
        <v>0</v>
      </c>
      <c r="AA474" s="6" t="n">
        <v>0</v>
      </c>
      <c r="AB474" s="6" t="n">
        <v>0</v>
      </c>
      <c r="AC474" s="6" t="n">
        <v>0</v>
      </c>
      <c r="AD474" s="6" t="n">
        <v>0</v>
      </c>
      <c r="AE474" s="6" t="n">
        <v>0</v>
      </c>
      <c r="AF474" s="6" t="n">
        <v>0</v>
      </c>
      <c r="AG474" s="6" t="n">
        <v>1</v>
      </c>
      <c r="AH474" s="6" t="n">
        <v>0</v>
      </c>
      <c r="AI474" s="6" t="s">
        <v>84</v>
      </c>
    </row>
    <row r="475" customFormat="false" ht="15" hidden="false" customHeight="false" outlineLevel="0" collapsed="false">
      <c r="A475" s="6" t="n">
        <v>474</v>
      </c>
      <c r="B475" s="6" t="s">
        <v>3298</v>
      </c>
      <c r="C475" s="6" t="n">
        <v>10</v>
      </c>
      <c r="D475" s="6" t="s">
        <v>70</v>
      </c>
      <c r="E475" s="6" t="s">
        <v>74</v>
      </c>
      <c r="F475" s="6" t="n">
        <v>3</v>
      </c>
      <c r="G475" s="6" t="n">
        <v>344</v>
      </c>
      <c r="H475" s="6" t="s">
        <v>3299</v>
      </c>
      <c r="I475" s="22" t="n">
        <v>3157600</v>
      </c>
      <c r="J475" s="22" t="n">
        <v>9000</v>
      </c>
      <c r="K475" s="22" t="n">
        <v>237495</v>
      </c>
      <c r="L475" s="22" t="n">
        <v>3404095</v>
      </c>
      <c r="M475" s="6" t="s">
        <v>57</v>
      </c>
      <c r="N475" s="6" t="s">
        <v>58</v>
      </c>
      <c r="O475" s="6"/>
      <c r="P475" s="6" t="s">
        <v>59</v>
      </c>
      <c r="Q475" s="6" t="str">
        <f aca="false">IF(P475="pass","No","Yes")</f>
        <v>Yes</v>
      </c>
      <c r="R475" s="6" t="s">
        <v>60</v>
      </c>
      <c r="S475" s="6" t="s">
        <v>915</v>
      </c>
      <c r="T475" s="6" t="s">
        <v>3300</v>
      </c>
      <c r="U475" s="23" t="n">
        <v>114.299</v>
      </c>
      <c r="V475" s="6" t="s">
        <v>3301</v>
      </c>
      <c r="W475" s="6" t="s">
        <v>3302</v>
      </c>
      <c r="X475" s="6" t="s">
        <v>3303</v>
      </c>
      <c r="Y475" s="6" t="s">
        <v>60</v>
      </c>
      <c r="Z475" s="6" t="n">
        <v>0</v>
      </c>
      <c r="AA475" s="6" t="n">
        <v>0</v>
      </c>
      <c r="AB475" s="6" t="n">
        <v>0</v>
      </c>
      <c r="AC475" s="6" t="n">
        <v>0</v>
      </c>
      <c r="AD475" s="6" t="n">
        <v>0</v>
      </c>
      <c r="AE475" s="6" t="n">
        <v>0</v>
      </c>
      <c r="AF475" s="6" t="n">
        <v>0</v>
      </c>
      <c r="AG475" s="6" t="n">
        <v>0</v>
      </c>
      <c r="AH475" s="6" t="n">
        <v>1</v>
      </c>
      <c r="AI475" s="6" t="s">
        <v>84</v>
      </c>
    </row>
    <row r="476" customFormat="false" ht="15" hidden="false" customHeight="false" outlineLevel="0" collapsed="false">
      <c r="A476" s="6" t="n">
        <v>475</v>
      </c>
      <c r="B476" s="6" t="s">
        <v>3304</v>
      </c>
      <c r="C476" s="6" t="n">
        <v>10</v>
      </c>
      <c r="D476" s="6" t="s">
        <v>198</v>
      </c>
      <c r="E476" s="6" t="s">
        <v>81</v>
      </c>
      <c r="F476" s="6" t="n">
        <v>3</v>
      </c>
      <c r="G476" s="6" t="n">
        <v>89</v>
      </c>
      <c r="H476" s="6" t="s">
        <v>3305</v>
      </c>
      <c r="I476" s="22" t="n">
        <v>1407500</v>
      </c>
      <c r="J476" s="22" t="n">
        <v>4000</v>
      </c>
      <c r="K476" s="22" t="n">
        <v>105862.5</v>
      </c>
      <c r="L476" s="22" t="n">
        <v>1517362.5</v>
      </c>
      <c r="M476" s="6" t="s">
        <v>94</v>
      </c>
      <c r="N476" s="6" t="s">
        <v>84</v>
      </c>
      <c r="O476" s="6" t="s">
        <v>909</v>
      </c>
      <c r="P476" s="6" t="s">
        <v>85</v>
      </c>
      <c r="Q476" s="6" t="str">
        <f aca="false">IF(P476="pass","No","Yes")</f>
        <v>Yes</v>
      </c>
      <c r="R476" s="6" t="s">
        <v>86</v>
      </c>
      <c r="S476" s="6" t="s">
        <v>909</v>
      </c>
      <c r="T476" s="6" t="s">
        <v>254</v>
      </c>
      <c r="U476" s="23" t="n">
        <v>68.522</v>
      </c>
      <c r="V476" s="6" t="s">
        <v>3306</v>
      </c>
      <c r="W476" s="6" t="s">
        <v>3307</v>
      </c>
      <c r="X476" s="6" t="s">
        <v>3308</v>
      </c>
      <c r="Y476" s="6" t="s">
        <v>86</v>
      </c>
      <c r="Z476" s="6" t="n">
        <v>0</v>
      </c>
      <c r="AA476" s="6" t="n">
        <v>0</v>
      </c>
      <c r="AB476" s="6" t="n">
        <v>0</v>
      </c>
      <c r="AC476" s="6" t="n">
        <v>0</v>
      </c>
      <c r="AD476" s="6" t="n">
        <v>0</v>
      </c>
      <c r="AE476" s="6" t="n">
        <v>0</v>
      </c>
      <c r="AF476" s="6" t="n">
        <v>1</v>
      </c>
      <c r="AG476" s="6" t="n">
        <v>0</v>
      </c>
      <c r="AH476" s="6" t="n">
        <v>0</v>
      </c>
      <c r="AI476" s="6" t="s">
        <v>84</v>
      </c>
    </row>
    <row r="477" customFormat="false" ht="15" hidden="false" customHeight="false" outlineLevel="0" collapsed="false">
      <c r="A477" s="6" t="n">
        <v>476</v>
      </c>
      <c r="B477" s="6" t="s">
        <v>3309</v>
      </c>
      <c r="C477" s="6" t="n">
        <v>10</v>
      </c>
      <c r="D477" s="6" t="s">
        <v>119</v>
      </c>
      <c r="E477" s="6" t="s">
        <v>123</v>
      </c>
      <c r="F477" s="6" t="n">
        <v>3</v>
      </c>
      <c r="G477" s="6" t="n">
        <v>145</v>
      </c>
      <c r="H477" s="6" t="s">
        <v>3310</v>
      </c>
      <c r="I477" s="22" t="n">
        <v>1731600</v>
      </c>
      <c r="J477" s="22" t="n">
        <v>5000</v>
      </c>
      <c r="K477" s="22" t="n">
        <v>130245</v>
      </c>
      <c r="L477" s="22" t="n">
        <v>1866845</v>
      </c>
      <c r="M477" s="6" t="s">
        <v>57</v>
      </c>
      <c r="N477" s="6" t="s">
        <v>58</v>
      </c>
      <c r="O477" s="6"/>
      <c r="P477" s="6" t="s">
        <v>69</v>
      </c>
      <c r="Q477" s="6" t="str">
        <f aca="false">IF(P477="pass","No","Yes")</f>
        <v>No</v>
      </c>
      <c r="R477" s="6" t="s">
        <v>60</v>
      </c>
      <c r="S477" s="6"/>
      <c r="T477" s="6"/>
      <c r="U477" s="23" t="n">
        <v>87.711</v>
      </c>
      <c r="V477" s="6" t="s">
        <v>3311</v>
      </c>
      <c r="W477" s="6" t="s">
        <v>3312</v>
      </c>
      <c r="X477" s="6" t="s">
        <v>3313</v>
      </c>
      <c r="Y477" s="6" t="s">
        <v>60</v>
      </c>
      <c r="Z477" s="6" t="n">
        <v>0</v>
      </c>
      <c r="AA477" s="6" t="n">
        <v>0</v>
      </c>
      <c r="AB477" s="6" t="n">
        <v>0</v>
      </c>
      <c r="AC477" s="6" t="n">
        <v>0</v>
      </c>
      <c r="AD477" s="6" t="n">
        <v>0</v>
      </c>
      <c r="AE477" s="6" t="n">
        <v>0</v>
      </c>
      <c r="AF477" s="6" t="n">
        <v>0</v>
      </c>
      <c r="AG477" s="6" t="n">
        <v>0</v>
      </c>
      <c r="AH477" s="6" t="n">
        <v>0</v>
      </c>
      <c r="AI477" s="6" t="s">
        <v>84</v>
      </c>
    </row>
    <row r="478" customFormat="false" ht="15" hidden="false" customHeight="false" outlineLevel="0" collapsed="false">
      <c r="A478" s="6" t="n">
        <v>477</v>
      </c>
      <c r="B478" s="6" t="s">
        <v>3314</v>
      </c>
      <c r="C478" s="6" t="n">
        <v>10</v>
      </c>
      <c r="D478" s="6" t="s">
        <v>77</v>
      </c>
      <c r="E478" s="6" t="s">
        <v>81</v>
      </c>
      <c r="F478" s="6" t="n">
        <v>4</v>
      </c>
      <c r="G478" s="6" t="n">
        <v>65</v>
      </c>
      <c r="H478" s="6" t="s">
        <v>3315</v>
      </c>
      <c r="I478" s="22" t="n">
        <v>1312200</v>
      </c>
      <c r="J478" s="22" t="n">
        <v>4000</v>
      </c>
      <c r="K478" s="22" t="n">
        <v>98715</v>
      </c>
      <c r="L478" s="22" t="n">
        <v>1414915</v>
      </c>
      <c r="M478" s="6" t="s">
        <v>132</v>
      </c>
      <c r="N478" s="6" t="s">
        <v>84</v>
      </c>
      <c r="O478" s="6" t="s">
        <v>879</v>
      </c>
      <c r="P478" s="6" t="s">
        <v>85</v>
      </c>
      <c r="Q478" s="6" t="str">
        <f aca="false">IF(P478="pass","No","Yes")</f>
        <v>Yes</v>
      </c>
      <c r="R478" s="6" t="s">
        <v>86</v>
      </c>
      <c r="S478" s="6" t="s">
        <v>880</v>
      </c>
      <c r="T478" s="6" t="s">
        <v>134</v>
      </c>
      <c r="U478" s="23" t="n">
        <v>76.625</v>
      </c>
      <c r="V478" s="6" t="s">
        <v>3316</v>
      </c>
      <c r="W478" s="6" t="s">
        <v>3317</v>
      </c>
      <c r="X478" s="6" t="s">
        <v>3318</v>
      </c>
      <c r="Y478" s="6" t="s">
        <v>86</v>
      </c>
      <c r="Z478" s="6" t="n">
        <v>0</v>
      </c>
      <c r="AA478" s="6" t="n">
        <v>1</v>
      </c>
      <c r="AB478" s="6" t="n">
        <v>0</v>
      </c>
      <c r="AC478" s="6" t="n">
        <v>1</v>
      </c>
      <c r="AD478" s="6" t="n">
        <v>0</v>
      </c>
      <c r="AE478" s="6" t="n">
        <v>0</v>
      </c>
      <c r="AF478" s="6" t="n">
        <v>0</v>
      </c>
      <c r="AG478" s="6" t="n">
        <v>0</v>
      </c>
      <c r="AH478" s="6" t="n">
        <v>0</v>
      </c>
      <c r="AI478" s="6" t="s">
        <v>84</v>
      </c>
    </row>
    <row r="479" customFormat="false" ht="15" hidden="false" customHeight="false" outlineLevel="0" collapsed="false">
      <c r="A479" s="6" t="n">
        <v>478</v>
      </c>
      <c r="B479" s="6" t="s">
        <v>3319</v>
      </c>
      <c r="C479" s="6" t="n">
        <v>10</v>
      </c>
      <c r="D479" s="6" t="s">
        <v>177</v>
      </c>
      <c r="E479" s="6" t="s">
        <v>81</v>
      </c>
      <c r="F479" s="6" t="n">
        <v>1</v>
      </c>
      <c r="G479" s="6" t="n">
        <v>36</v>
      </c>
      <c r="H479" s="6" t="s">
        <v>3320</v>
      </c>
      <c r="I479" s="22" t="n">
        <v>309600</v>
      </c>
      <c r="J479" s="22" t="n">
        <v>4000</v>
      </c>
      <c r="K479" s="22" t="n">
        <v>23520</v>
      </c>
      <c r="L479" s="22" t="n">
        <v>337120</v>
      </c>
      <c r="M479" s="6" t="s">
        <v>94</v>
      </c>
      <c r="N479" s="6" t="s">
        <v>84</v>
      </c>
      <c r="O479" s="6" t="s">
        <v>909</v>
      </c>
      <c r="P479" s="6" t="s">
        <v>85</v>
      </c>
      <c r="Q479" s="6" t="str">
        <f aca="false">IF(P479="pass","No","Yes")</f>
        <v>Yes</v>
      </c>
      <c r="R479" s="6" t="s">
        <v>86</v>
      </c>
      <c r="S479" s="6" t="s">
        <v>909</v>
      </c>
      <c r="T479" s="6" t="s">
        <v>254</v>
      </c>
      <c r="U479" s="23" t="n">
        <v>29.431</v>
      </c>
      <c r="V479" s="6" t="s">
        <v>3321</v>
      </c>
      <c r="W479" s="6" t="s">
        <v>3322</v>
      </c>
      <c r="X479" s="6" t="s">
        <v>3323</v>
      </c>
      <c r="Y479" s="6" t="s">
        <v>86</v>
      </c>
      <c r="Z479" s="6" t="n">
        <v>0</v>
      </c>
      <c r="AA479" s="6" t="n">
        <v>0</v>
      </c>
      <c r="AB479" s="6" t="n">
        <v>0</v>
      </c>
      <c r="AC479" s="6" t="n">
        <v>0</v>
      </c>
      <c r="AD479" s="6" t="n">
        <v>0</v>
      </c>
      <c r="AE479" s="6" t="n">
        <v>0</v>
      </c>
      <c r="AF479" s="6" t="n">
        <v>1</v>
      </c>
      <c r="AG479" s="6" t="n">
        <v>0</v>
      </c>
      <c r="AH479" s="6" t="n">
        <v>0</v>
      </c>
      <c r="AI479" s="6" t="s">
        <v>84</v>
      </c>
    </row>
    <row r="480" customFormat="false" ht="15" hidden="false" customHeight="false" outlineLevel="0" collapsed="false">
      <c r="A480" s="6" t="n">
        <v>479</v>
      </c>
      <c r="B480" s="6" t="s">
        <v>3324</v>
      </c>
      <c r="C480" s="6" t="n">
        <v>10</v>
      </c>
      <c r="D480" s="6" t="s">
        <v>186</v>
      </c>
      <c r="E480" s="6" t="s">
        <v>123</v>
      </c>
      <c r="F480" s="6" t="n">
        <v>1</v>
      </c>
      <c r="G480" s="6" t="n">
        <v>18</v>
      </c>
      <c r="H480" s="6" t="s">
        <v>3325</v>
      </c>
      <c r="I480" s="22" t="n">
        <v>154800</v>
      </c>
      <c r="J480" s="22" t="n">
        <v>5000</v>
      </c>
      <c r="K480" s="22" t="n">
        <v>11985</v>
      </c>
      <c r="L480" s="22" t="n">
        <v>171785</v>
      </c>
      <c r="M480" s="6" t="s">
        <v>57</v>
      </c>
      <c r="N480" s="6" t="s">
        <v>58</v>
      </c>
      <c r="O480" s="6"/>
      <c r="P480" s="6" t="s">
        <v>69</v>
      </c>
      <c r="Q480" s="6" t="str">
        <f aca="false">IF(P480="pass","No","Yes")</f>
        <v>No</v>
      </c>
      <c r="R480" s="6" t="s">
        <v>60</v>
      </c>
      <c r="S480" s="6"/>
      <c r="T480" s="6"/>
      <c r="U480" s="23" t="n">
        <v>30.135</v>
      </c>
      <c r="V480" s="6" t="s">
        <v>3326</v>
      </c>
      <c r="W480" s="6" t="s">
        <v>3327</v>
      </c>
      <c r="X480" s="6" t="s">
        <v>3328</v>
      </c>
      <c r="Y480" s="6" t="s">
        <v>60</v>
      </c>
      <c r="Z480" s="6" t="n">
        <v>0</v>
      </c>
      <c r="AA480" s="6" t="n">
        <v>0</v>
      </c>
      <c r="AB480" s="6" t="n">
        <v>0</v>
      </c>
      <c r="AC480" s="6" t="n">
        <v>0</v>
      </c>
      <c r="AD480" s="6" t="n">
        <v>0</v>
      </c>
      <c r="AE480" s="6" t="n">
        <v>0</v>
      </c>
      <c r="AF480" s="6" t="n">
        <v>0</v>
      </c>
      <c r="AG480" s="6" t="n">
        <v>0</v>
      </c>
      <c r="AH480" s="6" t="n">
        <v>0</v>
      </c>
      <c r="AI480" s="6" t="s">
        <v>84</v>
      </c>
    </row>
    <row r="481" customFormat="false" ht="15" hidden="false" customHeight="false" outlineLevel="0" collapsed="false">
      <c r="A481" s="6" t="n">
        <v>480</v>
      </c>
      <c r="B481" s="6" t="s">
        <v>3329</v>
      </c>
      <c r="C481" s="6" t="n">
        <v>10</v>
      </c>
      <c r="D481" s="6" t="s">
        <v>51</v>
      </c>
      <c r="E481" s="6" t="s">
        <v>55</v>
      </c>
      <c r="F481" s="6" t="n">
        <v>2</v>
      </c>
      <c r="G481" s="6" t="n">
        <v>5</v>
      </c>
      <c r="H481" s="6" t="s">
        <v>3330</v>
      </c>
      <c r="I481" s="22" t="n">
        <v>232000</v>
      </c>
      <c r="J481" s="22" t="n">
        <v>6000</v>
      </c>
      <c r="K481" s="22" t="n">
        <v>17850</v>
      </c>
      <c r="L481" s="22" t="n">
        <v>255850</v>
      </c>
      <c r="M481" s="6" t="s">
        <v>984</v>
      </c>
      <c r="N481" s="6" t="s">
        <v>84</v>
      </c>
      <c r="O481" s="6" t="s">
        <v>985</v>
      </c>
      <c r="P481" s="6" t="s">
        <v>85</v>
      </c>
      <c r="Q481" s="6" t="str">
        <f aca="false">IF(P481="pass","No","Yes")</f>
        <v>Yes</v>
      </c>
      <c r="R481" s="6" t="s">
        <v>86</v>
      </c>
      <c r="S481" s="6" t="s">
        <v>985</v>
      </c>
      <c r="T481" s="6" t="s">
        <v>1743</v>
      </c>
      <c r="U481" s="23" t="n">
        <v>51.646</v>
      </c>
      <c r="V481" s="6" t="s">
        <v>3331</v>
      </c>
      <c r="W481" s="6" t="s">
        <v>3332</v>
      </c>
      <c r="X481" s="6" t="s">
        <v>3333</v>
      </c>
      <c r="Y481" s="6" t="s">
        <v>86</v>
      </c>
      <c r="Z481" s="6" t="n">
        <v>0</v>
      </c>
      <c r="AA481" s="6" t="n">
        <v>0</v>
      </c>
      <c r="AB481" s="6" t="n">
        <v>0</v>
      </c>
      <c r="AC481" s="6" t="n">
        <v>0</v>
      </c>
      <c r="AD481" s="6" t="n">
        <v>0</v>
      </c>
      <c r="AE481" s="6" t="n">
        <v>1</v>
      </c>
      <c r="AF481" s="6" t="n">
        <v>0</v>
      </c>
      <c r="AG481" s="6" t="n">
        <v>0</v>
      </c>
      <c r="AH481" s="6" t="n">
        <v>0</v>
      </c>
      <c r="AI481" s="6" t="s">
        <v>84</v>
      </c>
    </row>
    <row r="482" customFormat="false" ht="15" hidden="false" customHeight="false" outlineLevel="0" collapsed="false">
      <c r="A482" s="6" t="n">
        <v>481</v>
      </c>
      <c r="B482" s="6" t="s">
        <v>3334</v>
      </c>
      <c r="C482" s="6" t="n">
        <v>10</v>
      </c>
      <c r="D482" s="6" t="s">
        <v>70</v>
      </c>
      <c r="E482" s="6" t="s">
        <v>74</v>
      </c>
      <c r="F482" s="6" t="n">
        <v>3</v>
      </c>
      <c r="G482" s="6" t="n">
        <v>176</v>
      </c>
      <c r="H482" s="6" t="s">
        <v>3335</v>
      </c>
      <c r="I482" s="22" t="n">
        <v>1842500</v>
      </c>
      <c r="J482" s="22" t="n">
        <v>9000</v>
      </c>
      <c r="K482" s="22" t="n">
        <v>138862.5</v>
      </c>
      <c r="L482" s="22" t="n">
        <v>1990362.5</v>
      </c>
      <c r="M482" s="6" t="s">
        <v>132</v>
      </c>
      <c r="N482" s="6" t="s">
        <v>84</v>
      </c>
      <c r="O482" s="6" t="s">
        <v>879</v>
      </c>
      <c r="P482" s="6" t="s">
        <v>85</v>
      </c>
      <c r="Q482" s="6" t="str">
        <f aca="false">IF(P482="pass","No","Yes")</f>
        <v>Yes</v>
      </c>
      <c r="R482" s="6" t="s">
        <v>86</v>
      </c>
      <c r="S482" s="6" t="s">
        <v>880</v>
      </c>
      <c r="T482" s="6" t="s">
        <v>134</v>
      </c>
      <c r="U482" s="23" t="n">
        <v>74.884</v>
      </c>
      <c r="V482" s="6" t="s">
        <v>3336</v>
      </c>
      <c r="W482" s="6" t="s">
        <v>3337</v>
      </c>
      <c r="X482" s="6" t="s">
        <v>3338</v>
      </c>
      <c r="Y482" s="6" t="s">
        <v>86</v>
      </c>
      <c r="Z482" s="6" t="n">
        <v>0</v>
      </c>
      <c r="AA482" s="6" t="n">
        <v>1</v>
      </c>
      <c r="AB482" s="6" t="n">
        <v>0</v>
      </c>
      <c r="AC482" s="6" t="n">
        <v>1</v>
      </c>
      <c r="AD482" s="6" t="n">
        <v>0</v>
      </c>
      <c r="AE482" s="6" t="n">
        <v>0</v>
      </c>
      <c r="AF482" s="6" t="n">
        <v>0</v>
      </c>
      <c r="AG482" s="6" t="n">
        <v>0</v>
      </c>
      <c r="AH482" s="6" t="n">
        <v>0</v>
      </c>
      <c r="AI482" s="6" t="s">
        <v>84</v>
      </c>
    </row>
    <row r="483" customFormat="false" ht="15" hidden="false" customHeight="false" outlineLevel="0" collapsed="false">
      <c r="A483" s="6" t="n">
        <v>482</v>
      </c>
      <c r="B483" s="6" t="s">
        <v>3339</v>
      </c>
      <c r="C483" s="6" t="n">
        <v>10</v>
      </c>
      <c r="D483" s="6" t="s">
        <v>119</v>
      </c>
      <c r="E483" s="6" t="s">
        <v>123</v>
      </c>
      <c r="F483" s="6" t="n">
        <v>2</v>
      </c>
      <c r="G483" s="6" t="n">
        <v>52</v>
      </c>
      <c r="H483" s="6" t="s">
        <v>3340</v>
      </c>
      <c r="I483" s="22" t="n">
        <v>690400</v>
      </c>
      <c r="J483" s="22" t="n">
        <v>5000</v>
      </c>
      <c r="K483" s="22" t="n">
        <v>52155</v>
      </c>
      <c r="L483" s="22" t="n">
        <v>747555</v>
      </c>
      <c r="M483" s="6" t="s">
        <v>57</v>
      </c>
      <c r="N483" s="6" t="s">
        <v>58</v>
      </c>
      <c r="O483" s="6"/>
      <c r="P483" s="6" t="s">
        <v>69</v>
      </c>
      <c r="Q483" s="6" t="str">
        <f aca="false">IF(P483="pass","No","Yes")</f>
        <v>No</v>
      </c>
      <c r="R483" s="6" t="s">
        <v>60</v>
      </c>
      <c r="S483" s="6"/>
      <c r="T483" s="6"/>
      <c r="U483" s="23" t="n">
        <v>51.286</v>
      </c>
      <c r="V483" s="6" t="s">
        <v>3341</v>
      </c>
      <c r="W483" s="6" t="s">
        <v>3342</v>
      </c>
      <c r="X483" s="6" t="s">
        <v>3343</v>
      </c>
      <c r="Y483" s="6" t="s">
        <v>60</v>
      </c>
      <c r="Z483" s="6" t="n">
        <v>0</v>
      </c>
      <c r="AA483" s="6" t="n">
        <v>0</v>
      </c>
      <c r="AB483" s="6" t="n">
        <v>0</v>
      </c>
      <c r="AC483" s="6" t="n">
        <v>0</v>
      </c>
      <c r="AD483" s="6" t="n">
        <v>0</v>
      </c>
      <c r="AE483" s="6" t="n">
        <v>0</v>
      </c>
      <c r="AF483" s="6" t="n">
        <v>0</v>
      </c>
      <c r="AG483" s="6" t="n">
        <v>0</v>
      </c>
      <c r="AH483" s="6" t="n">
        <v>0</v>
      </c>
      <c r="AI483" s="6" t="s">
        <v>84</v>
      </c>
    </row>
    <row r="484" customFormat="false" ht="15" hidden="false" customHeight="false" outlineLevel="0" collapsed="false">
      <c r="A484" s="6" t="n">
        <v>483</v>
      </c>
      <c r="B484" s="6" t="s">
        <v>3344</v>
      </c>
      <c r="C484" s="6" t="n">
        <v>10</v>
      </c>
      <c r="D484" s="6" t="s">
        <v>119</v>
      </c>
      <c r="E484" s="6" t="s">
        <v>123</v>
      </c>
      <c r="F484" s="6" t="n">
        <v>2</v>
      </c>
      <c r="G484" s="6" t="n">
        <v>52</v>
      </c>
      <c r="H484" s="6" t="s">
        <v>3340</v>
      </c>
      <c r="I484" s="22" t="n">
        <v>690400</v>
      </c>
      <c r="J484" s="22" t="n">
        <v>5000</v>
      </c>
      <c r="K484" s="22" t="n">
        <v>52155</v>
      </c>
      <c r="L484" s="22" t="n">
        <v>747555</v>
      </c>
      <c r="M484" s="6" t="s">
        <v>97</v>
      </c>
      <c r="N484" s="6" t="s">
        <v>84</v>
      </c>
      <c r="O484" s="6" t="s">
        <v>1185</v>
      </c>
      <c r="P484" s="6" t="s">
        <v>59</v>
      </c>
      <c r="Q484" s="6" t="str">
        <f aca="false">IF(P484="pass","No","Yes")</f>
        <v>Yes</v>
      </c>
      <c r="R484" s="6" t="s">
        <v>98</v>
      </c>
      <c r="S484" s="6" t="s">
        <v>1185</v>
      </c>
      <c r="T484" s="6" t="s">
        <v>3345</v>
      </c>
      <c r="U484" s="23" t="n">
        <v>49.199</v>
      </c>
      <c r="V484" s="6" t="s">
        <v>3346</v>
      </c>
      <c r="W484" s="6"/>
      <c r="X484" s="6" t="s">
        <v>3346</v>
      </c>
      <c r="Y484" s="6" t="s">
        <v>98</v>
      </c>
      <c r="Z484" s="6" t="n">
        <v>0</v>
      </c>
      <c r="AA484" s="6" t="n">
        <v>0</v>
      </c>
      <c r="AB484" s="6" t="n">
        <v>0</v>
      </c>
      <c r="AC484" s="6" t="n">
        <v>0</v>
      </c>
      <c r="AD484" s="6" t="n">
        <v>0</v>
      </c>
      <c r="AE484" s="6" t="n">
        <v>0</v>
      </c>
      <c r="AF484" s="6" t="n">
        <v>0</v>
      </c>
      <c r="AG484" s="6" t="n">
        <v>1</v>
      </c>
      <c r="AH484" s="6" t="n">
        <v>0</v>
      </c>
      <c r="AI484" s="6" t="s">
        <v>84</v>
      </c>
    </row>
    <row r="485" customFormat="false" ht="15" hidden="false" customHeight="false" outlineLevel="0" collapsed="false">
      <c r="A485" s="6" t="n">
        <v>484</v>
      </c>
      <c r="B485" s="6" t="s">
        <v>3347</v>
      </c>
      <c r="C485" s="6" t="n">
        <v>10</v>
      </c>
      <c r="D485" s="6" t="s">
        <v>166</v>
      </c>
      <c r="E485" s="6" t="s">
        <v>74</v>
      </c>
      <c r="F485" s="6" t="n">
        <v>2</v>
      </c>
      <c r="G485" s="6" t="n">
        <v>174</v>
      </c>
      <c r="H485" s="6" t="s">
        <v>3348</v>
      </c>
      <c r="I485" s="22" t="n">
        <v>1767000</v>
      </c>
      <c r="J485" s="22" t="n">
        <v>9000</v>
      </c>
      <c r="K485" s="22" t="n">
        <v>133200</v>
      </c>
      <c r="L485" s="22" t="n">
        <v>1909200</v>
      </c>
      <c r="M485" s="6" t="s">
        <v>927</v>
      </c>
      <c r="N485" s="6" t="s">
        <v>58</v>
      </c>
      <c r="O485" s="6"/>
      <c r="P485" s="6" t="s">
        <v>69</v>
      </c>
      <c r="Q485" s="6" t="str">
        <f aca="false">IF(P485="pass","No","Yes")</f>
        <v>No</v>
      </c>
      <c r="R485" s="6" t="s">
        <v>60</v>
      </c>
      <c r="S485" s="6"/>
      <c r="T485" s="6"/>
      <c r="U485" s="23" t="n">
        <v>71.787</v>
      </c>
      <c r="V485" s="6" t="s">
        <v>3349</v>
      </c>
      <c r="W485" s="6" t="s">
        <v>3350</v>
      </c>
      <c r="X485" s="6" t="s">
        <v>3351</v>
      </c>
      <c r="Y485" s="6" t="s">
        <v>60</v>
      </c>
      <c r="Z485" s="6" t="n">
        <v>0</v>
      </c>
      <c r="AA485" s="6" t="n">
        <v>0</v>
      </c>
      <c r="AB485" s="6" t="n">
        <v>0</v>
      </c>
      <c r="AC485" s="6" t="n">
        <v>0</v>
      </c>
      <c r="AD485" s="6" t="n">
        <v>0</v>
      </c>
      <c r="AE485" s="6" t="n">
        <v>0</v>
      </c>
      <c r="AF485" s="6" t="n">
        <v>0</v>
      </c>
      <c r="AG485" s="6" t="n">
        <v>0</v>
      </c>
      <c r="AH485" s="6" t="n">
        <v>0</v>
      </c>
      <c r="AI485" s="6" t="s">
        <v>84</v>
      </c>
    </row>
    <row r="486" customFormat="false" ht="15" hidden="false" customHeight="false" outlineLevel="0" collapsed="false">
      <c r="A486" s="6" t="n">
        <v>485</v>
      </c>
      <c r="B486" s="6" t="s">
        <v>3352</v>
      </c>
      <c r="C486" s="6" t="n">
        <v>10</v>
      </c>
      <c r="D486" s="6" t="s">
        <v>137</v>
      </c>
      <c r="E486" s="6" t="s">
        <v>55</v>
      </c>
      <c r="F486" s="6" t="n">
        <v>3</v>
      </c>
      <c r="G486" s="6" t="n">
        <v>50</v>
      </c>
      <c r="H486" s="6" t="s">
        <v>3353</v>
      </c>
      <c r="I486" s="22" t="n">
        <v>989500</v>
      </c>
      <c r="J486" s="22" t="n">
        <v>6000</v>
      </c>
      <c r="K486" s="22" t="n">
        <v>74662.5</v>
      </c>
      <c r="L486" s="22" t="n">
        <v>1070162.5</v>
      </c>
      <c r="M486" s="6" t="s">
        <v>57</v>
      </c>
      <c r="N486" s="6" t="s">
        <v>58</v>
      </c>
      <c r="O486" s="6"/>
      <c r="P486" s="6" t="s">
        <v>69</v>
      </c>
      <c r="Q486" s="6" t="str">
        <f aca="false">IF(P486="pass","No","Yes")</f>
        <v>No</v>
      </c>
      <c r="R486" s="6" t="s">
        <v>60</v>
      </c>
      <c r="S486" s="6"/>
      <c r="T486" s="6"/>
      <c r="U486" s="23" t="n">
        <v>72.288</v>
      </c>
      <c r="V486" s="6" t="s">
        <v>3354</v>
      </c>
      <c r="W486" s="6" t="s">
        <v>3355</v>
      </c>
      <c r="X486" s="6" t="s">
        <v>3356</v>
      </c>
      <c r="Y486" s="6" t="s">
        <v>60</v>
      </c>
      <c r="Z486" s="6" t="n">
        <v>0</v>
      </c>
      <c r="AA486" s="6" t="n">
        <v>0</v>
      </c>
      <c r="AB486" s="6" t="n">
        <v>0</v>
      </c>
      <c r="AC486" s="6" t="n">
        <v>0</v>
      </c>
      <c r="AD486" s="6" t="n">
        <v>0</v>
      </c>
      <c r="AE486" s="6" t="n">
        <v>0</v>
      </c>
      <c r="AF486" s="6" t="n">
        <v>0</v>
      </c>
      <c r="AG486" s="6" t="n">
        <v>0</v>
      </c>
      <c r="AH486" s="6" t="n">
        <v>0</v>
      </c>
      <c r="AI486" s="6" t="s">
        <v>84</v>
      </c>
    </row>
    <row r="487" customFormat="false" ht="15" hidden="false" customHeight="false" outlineLevel="0" collapsed="false">
      <c r="A487" s="6" t="n">
        <v>486</v>
      </c>
      <c r="B487" s="6" t="s">
        <v>3357</v>
      </c>
      <c r="C487" s="6" t="n">
        <v>10</v>
      </c>
      <c r="D487" s="6" t="s">
        <v>127</v>
      </c>
      <c r="E487" s="6" t="s">
        <v>55</v>
      </c>
      <c r="F487" s="6" t="n">
        <v>2</v>
      </c>
      <c r="G487" s="6" t="n">
        <v>115</v>
      </c>
      <c r="H487" s="6" t="s">
        <v>3358</v>
      </c>
      <c r="I487" s="22" t="n">
        <v>1081700</v>
      </c>
      <c r="J487" s="22" t="n">
        <v>6000</v>
      </c>
      <c r="K487" s="22" t="n">
        <v>81577.5</v>
      </c>
      <c r="L487" s="22" t="n">
        <v>1169277.5</v>
      </c>
      <c r="M487" s="6" t="s">
        <v>57</v>
      </c>
      <c r="N487" s="6" t="s">
        <v>58</v>
      </c>
      <c r="O487" s="6"/>
      <c r="P487" s="6" t="s">
        <v>69</v>
      </c>
      <c r="Q487" s="6" t="str">
        <f aca="false">IF(P487="pass","No","Yes")</f>
        <v>No</v>
      </c>
      <c r="R487" s="6" t="s">
        <v>60</v>
      </c>
      <c r="S487" s="6"/>
      <c r="T487" s="6"/>
      <c r="U487" s="23" t="n">
        <v>74.718</v>
      </c>
      <c r="V487" s="6" t="s">
        <v>3359</v>
      </c>
      <c r="W487" s="6" t="s">
        <v>3360</v>
      </c>
      <c r="X487" s="6" t="s">
        <v>3361</v>
      </c>
      <c r="Y487" s="6" t="s">
        <v>60</v>
      </c>
      <c r="Z487" s="6" t="n">
        <v>0</v>
      </c>
      <c r="AA487" s="6" t="n">
        <v>0</v>
      </c>
      <c r="AB487" s="6" t="n">
        <v>0</v>
      </c>
      <c r="AC487" s="6" t="n">
        <v>0</v>
      </c>
      <c r="AD487" s="6" t="n">
        <v>0</v>
      </c>
      <c r="AE487" s="6" t="n">
        <v>0</v>
      </c>
      <c r="AF487" s="6" t="n">
        <v>0</v>
      </c>
      <c r="AG487" s="6" t="n">
        <v>0</v>
      </c>
      <c r="AH487" s="6" t="n">
        <v>0</v>
      </c>
      <c r="AI487" s="6" t="s">
        <v>84</v>
      </c>
    </row>
    <row r="488" customFormat="false" ht="15" hidden="false" customHeight="false" outlineLevel="0" collapsed="false">
      <c r="A488" s="6" t="n">
        <v>487</v>
      </c>
      <c r="B488" s="6" t="s">
        <v>3362</v>
      </c>
      <c r="C488" s="6" t="n">
        <v>10</v>
      </c>
      <c r="D488" s="6" t="s">
        <v>142</v>
      </c>
      <c r="E488" s="6" t="s">
        <v>74</v>
      </c>
      <c r="F488" s="6" t="n">
        <v>2</v>
      </c>
      <c r="G488" s="6" t="n">
        <v>15</v>
      </c>
      <c r="H488" s="6" t="s">
        <v>3363</v>
      </c>
      <c r="I488" s="22" t="n">
        <v>752000</v>
      </c>
      <c r="J488" s="22" t="n">
        <v>9000</v>
      </c>
      <c r="K488" s="22" t="n">
        <v>57075</v>
      </c>
      <c r="L488" s="22" t="n">
        <v>818075</v>
      </c>
      <c r="M488" s="6" t="s">
        <v>57</v>
      </c>
      <c r="N488" s="6" t="s">
        <v>58</v>
      </c>
      <c r="O488" s="6"/>
      <c r="P488" s="6" t="s">
        <v>69</v>
      </c>
      <c r="Q488" s="6" t="str">
        <f aca="false">IF(P488="pass","No","Yes")</f>
        <v>No</v>
      </c>
      <c r="R488" s="6" t="s">
        <v>60</v>
      </c>
      <c r="S488" s="6"/>
      <c r="T488" s="6"/>
      <c r="U488" s="23" t="n">
        <v>53.66</v>
      </c>
      <c r="V488" s="6" t="s">
        <v>3364</v>
      </c>
      <c r="W488" s="6" t="s">
        <v>3365</v>
      </c>
      <c r="X488" s="6" t="s">
        <v>3366</v>
      </c>
      <c r="Y488" s="6" t="s">
        <v>60</v>
      </c>
      <c r="Z488" s="6" t="n">
        <v>0</v>
      </c>
      <c r="AA488" s="6" t="n">
        <v>0</v>
      </c>
      <c r="AB488" s="6" t="n">
        <v>0</v>
      </c>
      <c r="AC488" s="6" t="n">
        <v>0</v>
      </c>
      <c r="AD488" s="6" t="n">
        <v>0</v>
      </c>
      <c r="AE488" s="6" t="n">
        <v>0</v>
      </c>
      <c r="AF488" s="6" t="n">
        <v>0</v>
      </c>
      <c r="AG488" s="6" t="n">
        <v>0</v>
      </c>
      <c r="AH488" s="6" t="n">
        <v>0</v>
      </c>
      <c r="AI488" s="6" t="s">
        <v>84</v>
      </c>
    </row>
    <row r="489" customFormat="false" ht="15" hidden="false" customHeight="false" outlineLevel="0" collapsed="false">
      <c r="A489" s="6" t="n">
        <v>488</v>
      </c>
      <c r="B489" s="6" t="s">
        <v>3367</v>
      </c>
      <c r="C489" s="6" t="n">
        <v>10</v>
      </c>
      <c r="D489" s="6" t="s">
        <v>119</v>
      </c>
      <c r="E489" s="6" t="s">
        <v>123</v>
      </c>
      <c r="F489" s="6" t="n">
        <v>2</v>
      </c>
      <c r="G489" s="6" t="n">
        <v>95</v>
      </c>
      <c r="H489" s="6" t="s">
        <v>3368</v>
      </c>
      <c r="I489" s="22" t="n">
        <v>924000</v>
      </c>
      <c r="J489" s="22" t="n">
        <v>5000</v>
      </c>
      <c r="K489" s="22" t="n">
        <v>69675</v>
      </c>
      <c r="L489" s="22" t="n">
        <v>998675</v>
      </c>
      <c r="M489" s="6" t="s">
        <v>57</v>
      </c>
      <c r="N489" s="6" t="s">
        <v>58</v>
      </c>
      <c r="O489" s="6"/>
      <c r="P489" s="6" t="s">
        <v>69</v>
      </c>
      <c r="Q489" s="6" t="str">
        <f aca="false">IF(P489="pass","No","Yes")</f>
        <v>No</v>
      </c>
      <c r="R489" s="6" t="s">
        <v>60</v>
      </c>
      <c r="S489" s="6"/>
      <c r="T489" s="6"/>
      <c r="U489" s="23" t="n">
        <v>72.107</v>
      </c>
      <c r="V489" s="6" t="s">
        <v>3369</v>
      </c>
      <c r="W489" s="6" t="s">
        <v>3370</v>
      </c>
      <c r="X489" s="6" t="s">
        <v>3371</v>
      </c>
      <c r="Y489" s="6" t="s">
        <v>60</v>
      </c>
      <c r="Z489" s="6" t="n">
        <v>0</v>
      </c>
      <c r="AA489" s="6" t="n">
        <v>0</v>
      </c>
      <c r="AB489" s="6" t="n">
        <v>0</v>
      </c>
      <c r="AC489" s="6" t="n">
        <v>0</v>
      </c>
      <c r="AD489" s="6" t="n">
        <v>0</v>
      </c>
      <c r="AE489" s="6" t="n">
        <v>0</v>
      </c>
      <c r="AF489" s="6" t="n">
        <v>0</v>
      </c>
      <c r="AG489" s="6" t="n">
        <v>0</v>
      </c>
      <c r="AH489" s="6" t="n">
        <v>0</v>
      </c>
      <c r="AI489" s="6" t="s">
        <v>84</v>
      </c>
    </row>
    <row r="490" customFormat="false" ht="15" hidden="false" customHeight="false" outlineLevel="0" collapsed="false">
      <c r="A490" s="6" t="n">
        <v>489</v>
      </c>
      <c r="B490" s="6" t="s">
        <v>3372</v>
      </c>
      <c r="C490" s="6" t="n">
        <v>10</v>
      </c>
      <c r="D490" s="6" t="s">
        <v>177</v>
      </c>
      <c r="E490" s="6" t="s">
        <v>81</v>
      </c>
      <c r="F490" s="6" t="n">
        <v>2</v>
      </c>
      <c r="G490" s="6" t="n">
        <v>9</v>
      </c>
      <c r="H490" s="6" t="s">
        <v>3373</v>
      </c>
      <c r="I490" s="22" t="n">
        <v>202200</v>
      </c>
      <c r="J490" s="22" t="n">
        <v>4000</v>
      </c>
      <c r="K490" s="22" t="n">
        <v>15465</v>
      </c>
      <c r="L490" s="22" t="n">
        <v>221665</v>
      </c>
      <c r="M490" s="6" t="s">
        <v>83</v>
      </c>
      <c r="N490" s="6" t="s">
        <v>84</v>
      </c>
      <c r="O490" s="6" t="s">
        <v>886</v>
      </c>
      <c r="P490" s="6" t="s">
        <v>85</v>
      </c>
      <c r="Q490" s="6" t="str">
        <f aca="false">IF(P490="pass","No","Yes")</f>
        <v>Yes</v>
      </c>
      <c r="R490" s="6" t="s">
        <v>86</v>
      </c>
      <c r="S490" s="6" t="s">
        <v>886</v>
      </c>
      <c r="T490" s="6" t="s">
        <v>290</v>
      </c>
      <c r="U490" s="23" t="n">
        <v>53.635</v>
      </c>
      <c r="V490" s="6" t="s">
        <v>3374</v>
      </c>
      <c r="W490" s="6" t="s">
        <v>3375</v>
      </c>
      <c r="X490" s="6" t="s">
        <v>3376</v>
      </c>
      <c r="Y490" s="6" t="s">
        <v>86</v>
      </c>
      <c r="Z490" s="6" t="n">
        <v>0</v>
      </c>
      <c r="AA490" s="6" t="n">
        <v>0</v>
      </c>
      <c r="AB490" s="6" t="n">
        <v>1</v>
      </c>
      <c r="AC490" s="6" t="n">
        <v>0</v>
      </c>
      <c r="AD490" s="6" t="n">
        <v>0</v>
      </c>
      <c r="AE490" s="6" t="n">
        <v>0</v>
      </c>
      <c r="AF490" s="6" t="n">
        <v>0</v>
      </c>
      <c r="AG490" s="6" t="n">
        <v>0</v>
      </c>
      <c r="AH490" s="6" t="n">
        <v>0</v>
      </c>
      <c r="AI490" s="6" t="s">
        <v>84</v>
      </c>
    </row>
    <row r="491" customFormat="false" ht="15" hidden="false" customHeight="false" outlineLevel="0" collapsed="false">
      <c r="A491" s="6" t="n">
        <v>490</v>
      </c>
      <c r="B491" s="6" t="s">
        <v>3377</v>
      </c>
      <c r="C491" s="6" t="n">
        <v>10</v>
      </c>
      <c r="D491" s="6" t="s">
        <v>51</v>
      </c>
      <c r="E491" s="6" t="s">
        <v>55</v>
      </c>
      <c r="F491" s="6" t="n">
        <v>2</v>
      </c>
      <c r="G491" s="6" t="n">
        <v>49</v>
      </c>
      <c r="H491" s="6" t="s">
        <v>3378</v>
      </c>
      <c r="I491" s="22" t="n">
        <v>770200</v>
      </c>
      <c r="J491" s="22" t="n">
        <v>6000</v>
      </c>
      <c r="K491" s="22" t="n">
        <v>58215</v>
      </c>
      <c r="L491" s="22" t="n">
        <v>834415</v>
      </c>
      <c r="M491" s="6" t="s">
        <v>57</v>
      </c>
      <c r="N491" s="6" t="s">
        <v>58</v>
      </c>
      <c r="O491" s="6"/>
      <c r="P491" s="6" t="s">
        <v>69</v>
      </c>
      <c r="Q491" s="6" t="str">
        <f aca="false">IF(P491="pass","No","Yes")</f>
        <v>No</v>
      </c>
      <c r="R491" s="6" t="s">
        <v>60</v>
      </c>
      <c r="S491" s="6"/>
      <c r="T491" s="6"/>
      <c r="U491" s="23" t="n">
        <v>54.621</v>
      </c>
      <c r="V491" s="6" t="s">
        <v>3379</v>
      </c>
      <c r="W491" s="6" t="s">
        <v>3380</v>
      </c>
      <c r="X491" s="6" t="s">
        <v>3381</v>
      </c>
      <c r="Y491" s="6" t="s">
        <v>60</v>
      </c>
      <c r="Z491" s="6" t="n">
        <v>0</v>
      </c>
      <c r="AA491" s="6" t="n">
        <v>0</v>
      </c>
      <c r="AB491" s="6" t="n">
        <v>0</v>
      </c>
      <c r="AC491" s="6" t="n">
        <v>0</v>
      </c>
      <c r="AD491" s="6" t="n">
        <v>0</v>
      </c>
      <c r="AE491" s="6" t="n">
        <v>0</v>
      </c>
      <c r="AF491" s="6" t="n">
        <v>0</v>
      </c>
      <c r="AG491" s="6" t="n">
        <v>0</v>
      </c>
      <c r="AH491" s="6" t="n">
        <v>0</v>
      </c>
      <c r="AI491" s="6" t="s">
        <v>84</v>
      </c>
    </row>
    <row r="492" customFormat="false" ht="15" hidden="false" customHeight="false" outlineLevel="0" collapsed="false">
      <c r="A492" s="6" t="n">
        <v>491</v>
      </c>
      <c r="B492" s="6" t="s">
        <v>3382</v>
      </c>
      <c r="C492" s="6" t="n">
        <v>10</v>
      </c>
      <c r="D492" s="6" t="s">
        <v>105</v>
      </c>
      <c r="E492" s="6" t="s">
        <v>81</v>
      </c>
      <c r="F492" s="6" t="n">
        <v>4</v>
      </c>
      <c r="G492" s="6" t="n">
        <v>50</v>
      </c>
      <c r="H492" s="6" t="s">
        <v>3383</v>
      </c>
      <c r="I492" s="22" t="n">
        <v>534400</v>
      </c>
      <c r="J492" s="22" t="n">
        <v>4000</v>
      </c>
      <c r="K492" s="22" t="n">
        <v>40380</v>
      </c>
      <c r="L492" s="22" t="n">
        <v>578780</v>
      </c>
      <c r="M492" s="6" t="s">
        <v>83</v>
      </c>
      <c r="N492" s="6" t="s">
        <v>84</v>
      </c>
      <c r="O492" s="6" t="s">
        <v>886</v>
      </c>
      <c r="P492" s="6" t="s">
        <v>85</v>
      </c>
      <c r="Q492" s="6" t="str">
        <f aca="false">IF(P492="pass","No","Yes")</f>
        <v>Yes</v>
      </c>
      <c r="R492" s="6" t="s">
        <v>86</v>
      </c>
      <c r="S492" s="6" t="s">
        <v>886</v>
      </c>
      <c r="T492" s="6" t="s">
        <v>304</v>
      </c>
      <c r="U492" s="23" t="n">
        <v>119.886</v>
      </c>
      <c r="V492" s="6" t="s">
        <v>3384</v>
      </c>
      <c r="W492" s="6" t="s">
        <v>3385</v>
      </c>
      <c r="X492" s="6" t="s">
        <v>3386</v>
      </c>
      <c r="Y492" s="6" t="s">
        <v>86</v>
      </c>
      <c r="Z492" s="6" t="n">
        <v>0</v>
      </c>
      <c r="AA492" s="6" t="n">
        <v>0</v>
      </c>
      <c r="AB492" s="6" t="n">
        <v>1</v>
      </c>
      <c r="AC492" s="6" t="n">
        <v>0</v>
      </c>
      <c r="AD492" s="6" t="n">
        <v>0</v>
      </c>
      <c r="AE492" s="6" t="n">
        <v>0</v>
      </c>
      <c r="AF492" s="6" t="n">
        <v>0</v>
      </c>
      <c r="AG492" s="6" t="n">
        <v>0</v>
      </c>
      <c r="AH492" s="6" t="n">
        <v>0</v>
      </c>
      <c r="AI492" s="6" t="s">
        <v>84</v>
      </c>
    </row>
    <row r="493" customFormat="false" ht="15" hidden="false" customHeight="false" outlineLevel="0" collapsed="false">
      <c r="A493" s="6" t="n">
        <v>492</v>
      </c>
      <c r="B493" s="6" t="s">
        <v>3387</v>
      </c>
      <c r="C493" s="6" t="n">
        <v>10</v>
      </c>
      <c r="D493" s="6" t="s">
        <v>70</v>
      </c>
      <c r="E493" s="6" t="s">
        <v>74</v>
      </c>
      <c r="F493" s="6" t="n">
        <v>1</v>
      </c>
      <c r="G493" s="6" t="n">
        <v>6</v>
      </c>
      <c r="H493" s="6" t="s">
        <v>3388</v>
      </c>
      <c r="I493" s="22" t="n">
        <v>87000</v>
      </c>
      <c r="J493" s="22" t="n">
        <v>9000</v>
      </c>
      <c r="K493" s="22" t="n">
        <v>7200</v>
      </c>
      <c r="L493" s="22" t="n">
        <v>103200</v>
      </c>
      <c r="M493" s="6" t="s">
        <v>57</v>
      </c>
      <c r="N493" s="6" t="s">
        <v>58</v>
      </c>
      <c r="O493" s="6"/>
      <c r="P493" s="6" t="s">
        <v>69</v>
      </c>
      <c r="Q493" s="6" t="str">
        <f aca="false">IF(P493="pass","No","Yes")</f>
        <v>No</v>
      </c>
      <c r="R493" s="6" t="s">
        <v>60</v>
      </c>
      <c r="S493" s="6"/>
      <c r="T493" s="6"/>
      <c r="U493" s="23" t="n">
        <v>32.505</v>
      </c>
      <c r="V493" s="6" t="s">
        <v>3389</v>
      </c>
      <c r="W493" s="6" t="s">
        <v>3390</v>
      </c>
      <c r="X493" s="6" t="s">
        <v>3391</v>
      </c>
      <c r="Y493" s="6" t="s">
        <v>60</v>
      </c>
      <c r="Z493" s="6" t="n">
        <v>0</v>
      </c>
      <c r="AA493" s="6" t="n">
        <v>0</v>
      </c>
      <c r="AB493" s="6" t="n">
        <v>0</v>
      </c>
      <c r="AC493" s="6" t="n">
        <v>0</v>
      </c>
      <c r="AD493" s="6" t="n">
        <v>0</v>
      </c>
      <c r="AE493" s="6" t="n">
        <v>0</v>
      </c>
      <c r="AF493" s="6" t="n">
        <v>0</v>
      </c>
      <c r="AG493" s="6" t="n">
        <v>0</v>
      </c>
      <c r="AH493" s="6" t="n">
        <v>0</v>
      </c>
      <c r="AI493" s="6" t="s">
        <v>84</v>
      </c>
    </row>
    <row r="494" customFormat="false" ht="15" hidden="false" customHeight="false" outlineLevel="0" collapsed="false">
      <c r="A494" s="6" t="n">
        <v>493</v>
      </c>
      <c r="B494" s="6" t="s">
        <v>3392</v>
      </c>
      <c r="C494" s="6" t="n">
        <v>10</v>
      </c>
      <c r="D494" s="6" t="s">
        <v>166</v>
      </c>
      <c r="E494" s="6" t="s">
        <v>74</v>
      </c>
      <c r="F494" s="6" t="n">
        <v>2</v>
      </c>
      <c r="G494" s="6" t="n">
        <v>71</v>
      </c>
      <c r="H494" s="6" t="s">
        <v>3393</v>
      </c>
      <c r="I494" s="22" t="n">
        <v>1110400</v>
      </c>
      <c r="J494" s="22" t="n">
        <v>9000</v>
      </c>
      <c r="K494" s="22" t="n">
        <v>83955</v>
      </c>
      <c r="L494" s="22" t="n">
        <v>1203355</v>
      </c>
      <c r="M494" s="6" t="s">
        <v>984</v>
      </c>
      <c r="N494" s="6" t="s">
        <v>84</v>
      </c>
      <c r="O494" s="6" t="s">
        <v>985</v>
      </c>
      <c r="P494" s="6" t="s">
        <v>85</v>
      </c>
      <c r="Q494" s="6" t="str">
        <f aca="false">IF(P494="pass","No","Yes")</f>
        <v>Yes</v>
      </c>
      <c r="R494" s="6" t="s">
        <v>86</v>
      </c>
      <c r="S494" s="6" t="s">
        <v>985</v>
      </c>
      <c r="T494" s="6" t="s">
        <v>3394</v>
      </c>
      <c r="U494" s="23" t="n">
        <v>52.117</v>
      </c>
      <c r="V494" s="6" t="s">
        <v>3395</v>
      </c>
      <c r="W494" s="6" t="s">
        <v>3396</v>
      </c>
      <c r="X494" s="6" t="s">
        <v>3397</v>
      </c>
      <c r="Y494" s="6" t="s">
        <v>86</v>
      </c>
      <c r="Z494" s="6" t="n">
        <v>0</v>
      </c>
      <c r="AA494" s="6" t="n">
        <v>0</v>
      </c>
      <c r="AB494" s="6" t="n">
        <v>0</v>
      </c>
      <c r="AC494" s="6" t="n">
        <v>0</v>
      </c>
      <c r="AD494" s="6" t="n">
        <v>0</v>
      </c>
      <c r="AE494" s="6" t="n">
        <v>1</v>
      </c>
      <c r="AF494" s="6" t="n">
        <v>0</v>
      </c>
      <c r="AG494" s="6" t="n">
        <v>0</v>
      </c>
      <c r="AH494" s="6" t="n">
        <v>0</v>
      </c>
      <c r="AI494" s="6" t="s">
        <v>84</v>
      </c>
    </row>
    <row r="495" customFormat="false" ht="15" hidden="false" customHeight="false" outlineLevel="0" collapsed="false">
      <c r="A495" s="6" t="n">
        <v>494</v>
      </c>
      <c r="B495" s="6" t="s">
        <v>3398</v>
      </c>
      <c r="C495" s="6" t="n">
        <v>10</v>
      </c>
      <c r="D495" s="6" t="s">
        <v>166</v>
      </c>
      <c r="E495" s="6" t="s">
        <v>74</v>
      </c>
      <c r="F495" s="6" t="n">
        <v>3</v>
      </c>
      <c r="G495" s="6" t="n">
        <v>650</v>
      </c>
      <c r="H495" s="6" t="s">
        <v>3399</v>
      </c>
      <c r="I495" s="22" t="n">
        <v>5757600</v>
      </c>
      <c r="J495" s="22" t="n">
        <v>9000</v>
      </c>
      <c r="K495" s="22" t="n">
        <v>432495</v>
      </c>
      <c r="L495" s="22" t="n">
        <v>6199095</v>
      </c>
      <c r="M495" s="6" t="s">
        <v>159</v>
      </c>
      <c r="N495" s="6" t="s">
        <v>84</v>
      </c>
      <c r="O495" s="6" t="s">
        <v>886</v>
      </c>
      <c r="P495" s="6" t="s">
        <v>85</v>
      </c>
      <c r="Q495" s="6" t="str">
        <f aca="false">IF(P495="pass","No","Yes")</f>
        <v>Yes</v>
      </c>
      <c r="R495" s="6" t="s">
        <v>86</v>
      </c>
      <c r="S495" s="6" t="s">
        <v>992</v>
      </c>
      <c r="T495" s="6" t="s">
        <v>3400</v>
      </c>
      <c r="U495" s="23" t="n">
        <v>98.654</v>
      </c>
      <c r="V495" s="6" t="s">
        <v>3401</v>
      </c>
      <c r="W495" s="6" t="s">
        <v>3402</v>
      </c>
      <c r="X495" s="6" t="s">
        <v>3403</v>
      </c>
      <c r="Y495" s="6" t="s">
        <v>86</v>
      </c>
      <c r="Z495" s="6" t="n">
        <v>0</v>
      </c>
      <c r="AA495" s="6" t="n">
        <v>0</v>
      </c>
      <c r="AB495" s="6" t="n">
        <v>1</v>
      </c>
      <c r="AC495" s="6" t="n">
        <v>1</v>
      </c>
      <c r="AD495" s="6" t="n">
        <v>0</v>
      </c>
      <c r="AE495" s="6" t="n">
        <v>0</v>
      </c>
      <c r="AF495" s="6" t="n">
        <v>0</v>
      </c>
      <c r="AG495" s="6" t="n">
        <v>0</v>
      </c>
      <c r="AH495" s="6" t="n">
        <v>1</v>
      </c>
      <c r="AI495" s="6" t="s">
        <v>84</v>
      </c>
    </row>
    <row r="496" customFormat="false" ht="15" hidden="false" customHeight="false" outlineLevel="0" collapsed="false">
      <c r="A496" s="6" t="n">
        <v>495</v>
      </c>
      <c r="B496" s="6" t="s">
        <v>3404</v>
      </c>
      <c r="C496" s="6" t="n">
        <v>10</v>
      </c>
      <c r="D496" s="6" t="s">
        <v>166</v>
      </c>
      <c r="E496" s="6" t="s">
        <v>74</v>
      </c>
      <c r="F496" s="6" t="n">
        <v>2</v>
      </c>
      <c r="G496" s="6" t="n">
        <v>56</v>
      </c>
      <c r="H496" s="6" t="s">
        <v>3405</v>
      </c>
      <c r="I496" s="22" t="n">
        <v>571200</v>
      </c>
      <c r="J496" s="22" t="n">
        <v>9000</v>
      </c>
      <c r="K496" s="22" t="n">
        <v>43515</v>
      </c>
      <c r="L496" s="22" t="n">
        <v>623715</v>
      </c>
      <c r="M496" s="6" t="s">
        <v>57</v>
      </c>
      <c r="N496" s="6" t="s">
        <v>58</v>
      </c>
      <c r="O496" s="6"/>
      <c r="P496" s="6" t="s">
        <v>69</v>
      </c>
      <c r="Q496" s="6" t="str">
        <f aca="false">IF(P496="pass","No","Yes")</f>
        <v>No</v>
      </c>
      <c r="R496" s="6" t="s">
        <v>60</v>
      </c>
      <c r="S496" s="6"/>
      <c r="T496" s="6"/>
      <c r="U496" s="23" t="n">
        <v>54.619</v>
      </c>
      <c r="V496" s="6" t="s">
        <v>3406</v>
      </c>
      <c r="W496" s="6" t="s">
        <v>3407</v>
      </c>
      <c r="X496" s="6" t="s">
        <v>3408</v>
      </c>
      <c r="Y496" s="6" t="s">
        <v>60</v>
      </c>
      <c r="Z496" s="6" t="n">
        <v>0</v>
      </c>
      <c r="AA496" s="6" t="n">
        <v>0</v>
      </c>
      <c r="AB496" s="6" t="n">
        <v>0</v>
      </c>
      <c r="AC496" s="6" t="n">
        <v>0</v>
      </c>
      <c r="AD496" s="6" t="n">
        <v>0</v>
      </c>
      <c r="AE496" s="6" t="n">
        <v>0</v>
      </c>
      <c r="AF496" s="6" t="n">
        <v>0</v>
      </c>
      <c r="AG496" s="6" t="n">
        <v>0</v>
      </c>
      <c r="AH496" s="6" t="n">
        <v>0</v>
      </c>
      <c r="AI496" s="6" t="s">
        <v>84</v>
      </c>
    </row>
    <row r="497" customFormat="false" ht="15" hidden="false" customHeight="false" outlineLevel="0" collapsed="false">
      <c r="A497" s="6" t="n">
        <v>496</v>
      </c>
      <c r="B497" s="6" t="s">
        <v>3409</v>
      </c>
      <c r="C497" s="6" t="n">
        <v>10</v>
      </c>
      <c r="D497" s="6" t="s">
        <v>70</v>
      </c>
      <c r="E497" s="6" t="s">
        <v>74</v>
      </c>
      <c r="F497" s="6" t="n">
        <v>2</v>
      </c>
      <c r="G497" s="6" t="n">
        <v>13</v>
      </c>
      <c r="H497" s="6" t="s">
        <v>3410</v>
      </c>
      <c r="I497" s="22" t="n">
        <v>557000</v>
      </c>
      <c r="J497" s="22" t="n">
        <v>9000</v>
      </c>
      <c r="K497" s="22" t="n">
        <v>42450</v>
      </c>
      <c r="L497" s="22" t="n">
        <v>608450</v>
      </c>
      <c r="M497" s="6" t="s">
        <v>132</v>
      </c>
      <c r="N497" s="6" t="s">
        <v>84</v>
      </c>
      <c r="O497" s="6" t="s">
        <v>879</v>
      </c>
      <c r="P497" s="6" t="s">
        <v>85</v>
      </c>
      <c r="Q497" s="6" t="str">
        <f aca="false">IF(P497="pass","No","Yes")</f>
        <v>Yes</v>
      </c>
      <c r="R497" s="6" t="s">
        <v>86</v>
      </c>
      <c r="S497" s="6" t="s">
        <v>880</v>
      </c>
      <c r="T497" s="6" t="s">
        <v>134</v>
      </c>
      <c r="U497" s="23" t="n">
        <v>36.681</v>
      </c>
      <c r="V497" s="6" t="s">
        <v>3411</v>
      </c>
      <c r="W497" s="6" t="s">
        <v>3412</v>
      </c>
      <c r="X497" s="6" t="s">
        <v>3413</v>
      </c>
      <c r="Y497" s="6" t="s">
        <v>86</v>
      </c>
      <c r="Z497" s="6" t="n">
        <v>0</v>
      </c>
      <c r="AA497" s="6" t="n">
        <v>1</v>
      </c>
      <c r="AB497" s="6" t="n">
        <v>0</v>
      </c>
      <c r="AC497" s="6" t="n">
        <v>1</v>
      </c>
      <c r="AD497" s="6" t="n">
        <v>0</v>
      </c>
      <c r="AE497" s="6" t="n">
        <v>0</v>
      </c>
      <c r="AF497" s="6" t="n">
        <v>0</v>
      </c>
      <c r="AG497" s="6" t="n">
        <v>0</v>
      </c>
      <c r="AH497" s="6" t="n">
        <v>0</v>
      </c>
      <c r="AI497" s="6" t="s">
        <v>84</v>
      </c>
    </row>
    <row r="498" customFormat="false" ht="15" hidden="false" customHeight="false" outlineLevel="0" collapsed="false">
      <c r="A498" s="6" t="n">
        <v>497</v>
      </c>
      <c r="B498" s="6" t="s">
        <v>3414</v>
      </c>
      <c r="C498" s="6" t="n">
        <v>10</v>
      </c>
      <c r="D498" s="6" t="s">
        <v>127</v>
      </c>
      <c r="E498" s="6" t="s">
        <v>55</v>
      </c>
      <c r="F498" s="6" t="n">
        <v>1</v>
      </c>
      <c r="G498" s="6" t="n">
        <v>7</v>
      </c>
      <c r="H498" s="6" t="s">
        <v>3116</v>
      </c>
      <c r="I498" s="22" t="n">
        <v>364000</v>
      </c>
      <c r="J498" s="22" t="n">
        <v>6000</v>
      </c>
      <c r="K498" s="22" t="n">
        <v>27750</v>
      </c>
      <c r="L498" s="22" t="n">
        <v>397750</v>
      </c>
      <c r="M498" s="6" t="s">
        <v>57</v>
      </c>
      <c r="N498" s="6" t="s">
        <v>58</v>
      </c>
      <c r="O498" s="6"/>
      <c r="P498" s="6" t="s">
        <v>69</v>
      </c>
      <c r="Q498" s="6" t="str">
        <f aca="false">IF(P498="pass","No","Yes")</f>
        <v>No</v>
      </c>
      <c r="R498" s="6" t="s">
        <v>60</v>
      </c>
      <c r="S498" s="6"/>
      <c r="T498" s="6"/>
      <c r="U498" s="23" t="n">
        <v>32.379</v>
      </c>
      <c r="V498" s="6" t="s">
        <v>3415</v>
      </c>
      <c r="W498" s="6" t="s">
        <v>3416</v>
      </c>
      <c r="X498" s="6" t="s">
        <v>3417</v>
      </c>
      <c r="Y498" s="6" t="s">
        <v>60</v>
      </c>
      <c r="Z498" s="6" t="n">
        <v>0</v>
      </c>
      <c r="AA498" s="6" t="n">
        <v>0</v>
      </c>
      <c r="AB498" s="6" t="n">
        <v>0</v>
      </c>
      <c r="AC498" s="6" t="n">
        <v>0</v>
      </c>
      <c r="AD498" s="6" t="n">
        <v>0</v>
      </c>
      <c r="AE498" s="6" t="n">
        <v>0</v>
      </c>
      <c r="AF498" s="6" t="n">
        <v>0</v>
      </c>
      <c r="AG498" s="6" t="n">
        <v>0</v>
      </c>
      <c r="AH498" s="6" t="n">
        <v>0</v>
      </c>
      <c r="AI498" s="6" t="s">
        <v>84</v>
      </c>
    </row>
    <row r="499" customFormat="false" ht="15" hidden="false" customHeight="false" outlineLevel="0" collapsed="false">
      <c r="A499" s="6" t="n">
        <v>498</v>
      </c>
      <c r="B499" s="6" t="s">
        <v>3418</v>
      </c>
      <c r="C499" s="6" t="n">
        <v>10</v>
      </c>
      <c r="D499" s="6" t="s">
        <v>191</v>
      </c>
      <c r="E499" s="6" t="s">
        <v>116</v>
      </c>
      <c r="F499" s="6" t="n">
        <v>3</v>
      </c>
      <c r="G499" s="6" t="n">
        <v>95</v>
      </c>
      <c r="H499" s="6" t="s">
        <v>3419</v>
      </c>
      <c r="I499" s="22" t="n">
        <v>1048800</v>
      </c>
      <c r="J499" s="22" t="n">
        <v>15000</v>
      </c>
      <c r="K499" s="22" t="n">
        <v>79785</v>
      </c>
      <c r="L499" s="22" t="n">
        <v>1143585</v>
      </c>
      <c r="M499" s="6" t="s">
        <v>57</v>
      </c>
      <c r="N499" s="6" t="s">
        <v>58</v>
      </c>
      <c r="O499" s="6"/>
      <c r="P499" s="6" t="s">
        <v>69</v>
      </c>
      <c r="Q499" s="6" t="str">
        <f aca="false">IF(P499="pass","No","Yes")</f>
        <v>No</v>
      </c>
      <c r="R499" s="6" t="s">
        <v>60</v>
      </c>
      <c r="S499" s="6"/>
      <c r="T499" s="6"/>
      <c r="U499" s="23" t="n">
        <v>94.845</v>
      </c>
      <c r="V499" s="6" t="s">
        <v>3420</v>
      </c>
      <c r="W499" s="6" t="s">
        <v>3421</v>
      </c>
      <c r="X499" s="6" t="s">
        <v>3422</v>
      </c>
      <c r="Y499" s="6" t="s">
        <v>60</v>
      </c>
      <c r="Z499" s="6" t="n">
        <v>0</v>
      </c>
      <c r="AA499" s="6" t="n">
        <v>0</v>
      </c>
      <c r="AB499" s="6" t="n">
        <v>0</v>
      </c>
      <c r="AC499" s="6" t="n">
        <v>0</v>
      </c>
      <c r="AD499" s="6" t="n">
        <v>0</v>
      </c>
      <c r="AE499" s="6" t="n">
        <v>0</v>
      </c>
      <c r="AF499" s="6" t="n">
        <v>0</v>
      </c>
      <c r="AG499" s="6" t="n">
        <v>0</v>
      </c>
      <c r="AH499" s="6" t="n">
        <v>0</v>
      </c>
      <c r="AI499" s="6" t="s">
        <v>84</v>
      </c>
    </row>
    <row r="500" customFormat="false" ht="15" hidden="false" customHeight="false" outlineLevel="0" collapsed="false">
      <c r="A500" s="6" t="n">
        <v>499</v>
      </c>
      <c r="B500" s="6" t="s">
        <v>3423</v>
      </c>
      <c r="C500" s="6" t="n">
        <v>10</v>
      </c>
      <c r="D500" s="6" t="s">
        <v>119</v>
      </c>
      <c r="E500" s="6" t="s">
        <v>123</v>
      </c>
      <c r="F500" s="6" t="n">
        <v>2</v>
      </c>
      <c r="G500" s="6" t="n">
        <v>4</v>
      </c>
      <c r="H500" s="6" t="s">
        <v>3424</v>
      </c>
      <c r="I500" s="22" t="n">
        <v>152000</v>
      </c>
      <c r="J500" s="22" t="n">
        <v>5000</v>
      </c>
      <c r="K500" s="22" t="n">
        <v>11775</v>
      </c>
      <c r="L500" s="22" t="n">
        <v>168775</v>
      </c>
      <c r="M500" s="6" t="s">
        <v>272</v>
      </c>
      <c r="N500" s="6" t="s">
        <v>84</v>
      </c>
      <c r="O500" s="6" t="s">
        <v>879</v>
      </c>
      <c r="P500" s="6" t="s">
        <v>85</v>
      </c>
      <c r="Q500" s="6" t="str">
        <f aca="false">IF(P500="pass","No","Yes")</f>
        <v>Yes</v>
      </c>
      <c r="R500" s="6" t="s">
        <v>86</v>
      </c>
      <c r="S500" s="6" t="s">
        <v>879</v>
      </c>
      <c r="T500" s="6" t="s">
        <v>3425</v>
      </c>
      <c r="U500" s="23" t="n">
        <v>30.028</v>
      </c>
      <c r="V500" s="6" t="s">
        <v>3426</v>
      </c>
      <c r="W500" s="6" t="s">
        <v>3427</v>
      </c>
      <c r="X500" s="6" t="s">
        <v>3428</v>
      </c>
      <c r="Y500" s="6" t="s">
        <v>86</v>
      </c>
      <c r="Z500" s="6" t="n">
        <v>0</v>
      </c>
      <c r="AA500" s="6" t="n">
        <v>1</v>
      </c>
      <c r="AB500" s="6" t="n">
        <v>0</v>
      </c>
      <c r="AC500" s="6" t="n">
        <v>0</v>
      </c>
      <c r="AD500" s="6" t="n">
        <v>0</v>
      </c>
      <c r="AE500" s="6" t="n">
        <v>0</v>
      </c>
      <c r="AF500" s="6" t="n">
        <v>0</v>
      </c>
      <c r="AG500" s="6" t="n">
        <v>0</v>
      </c>
      <c r="AH500" s="6" t="n">
        <v>0</v>
      </c>
      <c r="AI500" s="6" t="s">
        <v>84</v>
      </c>
    </row>
    <row r="501" customFormat="false" ht="15" hidden="false" customHeight="false" outlineLevel="0" collapsed="false">
      <c r="A501" s="6" t="n">
        <v>500</v>
      </c>
      <c r="B501" s="6" t="s">
        <v>3429</v>
      </c>
      <c r="C501" s="6" t="n">
        <v>10</v>
      </c>
      <c r="D501" s="6" t="s">
        <v>166</v>
      </c>
      <c r="E501" s="6" t="s">
        <v>74</v>
      </c>
      <c r="F501" s="6" t="n">
        <v>2</v>
      </c>
      <c r="G501" s="6" t="n">
        <v>28</v>
      </c>
      <c r="H501" s="6" t="s">
        <v>3430</v>
      </c>
      <c r="I501" s="22" t="n">
        <v>453000</v>
      </c>
      <c r="J501" s="22" t="n">
        <v>9000</v>
      </c>
      <c r="K501" s="22" t="n">
        <v>34650</v>
      </c>
      <c r="L501" s="22" t="n">
        <v>496650</v>
      </c>
      <c r="M501" s="6" t="s">
        <v>57</v>
      </c>
      <c r="N501" s="6" t="s">
        <v>58</v>
      </c>
      <c r="O501" s="6"/>
      <c r="P501" s="6" t="s">
        <v>69</v>
      </c>
      <c r="Q501" s="6" t="str">
        <f aca="false">IF(P501="pass","No","Yes")</f>
        <v>No</v>
      </c>
      <c r="R501" s="6" t="s">
        <v>60</v>
      </c>
      <c r="S501" s="6"/>
      <c r="T501" s="6"/>
      <c r="U501" s="23" t="n">
        <v>56</v>
      </c>
      <c r="V501" s="6" t="s">
        <v>3431</v>
      </c>
      <c r="W501" s="6" t="s">
        <v>3432</v>
      </c>
      <c r="X501" s="6" t="s">
        <v>3433</v>
      </c>
      <c r="Y501" s="6" t="s">
        <v>60</v>
      </c>
      <c r="Z501" s="6" t="n">
        <v>0</v>
      </c>
      <c r="AA501" s="6" t="n">
        <v>0</v>
      </c>
      <c r="AB501" s="6" t="n">
        <v>0</v>
      </c>
      <c r="AC501" s="6" t="n">
        <v>0</v>
      </c>
      <c r="AD501" s="6" t="n">
        <v>0</v>
      </c>
      <c r="AE501" s="6" t="n">
        <v>0</v>
      </c>
      <c r="AF501" s="6" t="n">
        <v>0</v>
      </c>
      <c r="AG501" s="6" t="n">
        <v>0</v>
      </c>
      <c r="AH501" s="6" t="n">
        <v>0</v>
      </c>
      <c r="AI501" s="6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2"/>
    <col collapsed="false" customWidth="true" hidden="false" outlineLevel="0" max="6" min="4" style="0" width="14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1" min="10" style="0" width="11"/>
    <col collapsed="false" customWidth="true" hidden="false" outlineLevel="0" max="12" min="12" style="0" width="14"/>
  </cols>
  <sheetData>
    <row r="1" customFormat="false" ht="15" hidden="false" customHeight="false" outlineLevel="0" collapsed="false">
      <c r="A1" s="5" t="s">
        <v>3434</v>
      </c>
    </row>
    <row r="3" customFormat="false" ht="15" hidden="false" customHeight="false" outlineLevel="0" collapsed="false">
      <c r="A3" s="5" t="s">
        <v>3435</v>
      </c>
    </row>
    <row r="4" customFormat="false" ht="15" hidden="false" customHeight="false" outlineLevel="0" collapsed="false">
      <c r="A4" s="7" t="s">
        <v>3436</v>
      </c>
      <c r="B4" s="7" t="s">
        <v>758</v>
      </c>
      <c r="C4" s="7" t="s">
        <v>759</v>
      </c>
      <c r="D4" s="7" t="s">
        <v>760</v>
      </c>
      <c r="E4" s="7" t="s">
        <v>761</v>
      </c>
    </row>
    <row r="5" customFormat="false" ht="15" hidden="false" customHeight="false" outlineLevel="0" collapsed="false">
      <c r="A5" s="24" t="s">
        <v>3437</v>
      </c>
      <c r="B5" s="24" t="n">
        <f aca="false">COUNTIFS('R1 Orders'!$M$2:$M$501,"Clean order (no error)")</f>
        <v>200</v>
      </c>
      <c r="C5" s="24" t="n">
        <f aca="false">COUNTIFS('R1 Orders'!$M$2:$M$501,"Clean order (no error)",'R1 Orders'!$P$2:$P$501,"pass")</f>
        <v>172</v>
      </c>
      <c r="D5" s="24" t="n">
        <f aca="false">COUNTIFS('R1 Orders'!$M$2:$M$501,"Clean order (no error)",'R1 Orders'!$P$2:$P$501,"warn")</f>
        <v>28</v>
      </c>
      <c r="E5" s="24" t="n">
        <f aca="false">COUNTIFS('R1 Orders'!$M$2:$M$501,"Clean order (no error)",'R1 Orders'!$P$2:$P$501,"fail")</f>
        <v>0</v>
      </c>
    </row>
    <row r="6" customFormat="false" ht="15" hidden="false" customHeight="false" outlineLevel="0" collapsed="false">
      <c r="A6" s="24" t="s">
        <v>3438</v>
      </c>
      <c r="B6" s="24" t="n">
        <f aca="false">COUNTIFS('R1 Orders'!$M$2:$M$501,"&lt;&gt;Clean order (no error)",'R1 Orders'!$N$2:$N$501,"Yes")</f>
        <v>240</v>
      </c>
      <c r="C6" s="24" t="n">
        <f aca="false">COUNTIFS('R1 Orders'!$M$2:$M$501,"&lt;&gt;Clean order (no error)",'R1 Orders'!$N$2:$N$501,"Yes",'R1 Orders'!$P$2:$P$501,"pass")</f>
        <v>0</v>
      </c>
      <c r="D6" s="24" t="n">
        <f aca="false">COUNTIFS('R1 Orders'!$M$2:$M$501,"&lt;&gt;Clean order (no error)",'R1 Orders'!$N$2:$N$501,"Yes",'R1 Orders'!$P$2:$P$501,"warn")</f>
        <v>20</v>
      </c>
      <c r="E6" s="24" t="n">
        <f aca="false">COUNTIFS('R1 Orders'!$M$2:$M$501,"&lt;&gt;Clean order (no error)",'R1 Orders'!$N$2:$N$501,"Yes",'R1 Orders'!$P$2:$P$501,"fail")</f>
        <v>220</v>
      </c>
    </row>
    <row r="7" customFormat="false" ht="15" hidden="false" customHeight="false" outlineLevel="0" collapsed="false">
      <c r="A7" s="24" t="s">
        <v>3439</v>
      </c>
      <c r="B7" s="24" t="n">
        <f aca="false">COUNTIFS('R1 Orders'!$M$2:$M$501,"&lt;&gt;Clean order (no error)",'R1 Orders'!$N$2:$N$501,"No")</f>
        <v>60</v>
      </c>
      <c r="C7" s="24" t="n">
        <f aca="false">COUNTIFS('R1 Orders'!$M$2:$M$501,"&lt;&gt;Clean order (no error)",'R1 Orders'!$N$2:$N$501,"No",'R1 Orders'!$P$2:$P$501,"pass")</f>
        <v>36</v>
      </c>
      <c r="D7" s="24" t="n">
        <f aca="false">COUNTIFS('R1 Orders'!$M$2:$M$501,"&lt;&gt;Clean order (no error)",'R1 Orders'!$N$2:$N$501,"No",'R1 Orders'!$P$2:$P$501,"warn")</f>
        <v>24</v>
      </c>
      <c r="E7" s="24" t="n">
        <f aca="false">COUNTIFS('R1 Orders'!$M$2:$M$501,"&lt;&gt;Clean order (no error)",'R1 Orders'!$N$2:$N$501,"No",'R1 Orders'!$P$2:$P$501,"fail")</f>
        <v>0</v>
      </c>
    </row>
    <row r="8" customFormat="false" ht="15" hidden="false" customHeight="false" outlineLevel="0" collapsed="false">
      <c r="A8" s="5" t="s">
        <v>763</v>
      </c>
      <c r="B8" s="5" t="n">
        <f aca="false">SUM(B5:B7)</f>
        <v>500</v>
      </c>
      <c r="C8" s="5" t="n">
        <f aca="false">SUM(C5:C7)</f>
        <v>208</v>
      </c>
      <c r="D8" s="5" t="n">
        <f aca="false">SUM(D5:D7)</f>
        <v>72</v>
      </c>
      <c r="E8" s="5" t="n">
        <f aca="false">SUM(E5:E7)</f>
        <v>220</v>
      </c>
    </row>
    <row r="10" customFormat="false" ht="15" hidden="false" customHeight="false" outlineLevel="0" collapsed="false">
      <c r="A10" s="5" t="s">
        <v>3440</v>
      </c>
    </row>
    <row r="11" customFormat="false" ht="15" hidden="false" customHeight="false" outlineLevel="0" collapsed="false">
      <c r="A11" s="7"/>
      <c r="B11" s="7" t="s">
        <v>46</v>
      </c>
      <c r="C11" s="7" t="s">
        <v>759</v>
      </c>
      <c r="D11" s="7" t="s">
        <v>763</v>
      </c>
    </row>
    <row r="12" customFormat="false" ht="15" hidden="false" customHeight="false" outlineLevel="0" collapsed="false">
      <c r="A12" s="5" t="s">
        <v>774</v>
      </c>
      <c r="B12" s="24" t="n">
        <f aca="false">COUNTIFS('R1 Orders'!$M$2:$M$501,"&lt;&gt;Clean order (no error)",'R1 Orders'!$Q$2:$Q$501,"Yes")</f>
        <v>264</v>
      </c>
      <c r="C12" s="24" t="n">
        <f aca="false">COUNTIFS('R1 Orders'!$M$2:$M$501,"&lt;&gt;Clean order (no error)",'R1 Orders'!$Q$2:$Q$501,"No")</f>
        <v>36</v>
      </c>
      <c r="D12" s="24" t="n">
        <f aca="false">B12+C12</f>
        <v>300</v>
      </c>
    </row>
    <row r="13" customFormat="false" ht="15" hidden="false" customHeight="false" outlineLevel="0" collapsed="false">
      <c r="A13" s="5" t="s">
        <v>775</v>
      </c>
      <c r="B13" s="24" t="n">
        <f aca="false">COUNTIFS('R1 Orders'!$M$2:$M$501,"Clean order (no error)",'R1 Orders'!$Q$2:$Q$501,"Yes")</f>
        <v>28</v>
      </c>
      <c r="C13" s="24" t="n">
        <f aca="false">COUNTIFS('R1 Orders'!$M$2:$M$501,"Clean order (no error)",'R1 Orders'!$Q$2:$Q$501,"No")</f>
        <v>172</v>
      </c>
      <c r="D13" s="24" t="n">
        <f aca="false">B13+C13</f>
        <v>200</v>
      </c>
    </row>
    <row r="15" customFormat="false" ht="15" hidden="false" customHeight="false" outlineLevel="0" collapsed="false">
      <c r="A15" s="7" t="s">
        <v>3441</v>
      </c>
      <c r="B15" s="7" t="s">
        <v>3442</v>
      </c>
      <c r="C15" s="7" t="s">
        <v>3443</v>
      </c>
      <c r="D15" s="7" t="s">
        <v>3444</v>
      </c>
      <c r="E15" s="7" t="s">
        <v>3445</v>
      </c>
    </row>
    <row r="16" customFormat="false" ht="15" hidden="false" customHeight="false" outlineLevel="0" collapsed="false">
      <c r="A16" s="5" t="s">
        <v>776</v>
      </c>
      <c r="B16" s="25" t="n">
        <f aca="false">(B12+C13)/(B12+C12+B13+C13)</f>
        <v>0.872</v>
      </c>
      <c r="C16" s="25" t="n">
        <f aca="false">IF((B12+C12+B13+C13)=0,"",(((B12+C13)/(B12+C12+B13+C13))+1.959964^2/(2*(B12+C12+B13+C13))-1.959964*SQRT(((B12+C13)/(B12+C12+B13+C13))*(1-((B12+C13)/(B12+C12+B13+C13)))/(B12+C12+B13+C13)+1.959964^2/(4*(B12+C12+B13+C13)^2)))/(1+1.959964^2/(B12+C12+B13+C13)))</f>
        <v>0.839854314415864</v>
      </c>
      <c r="D16" s="25" t="n">
        <f aca="false">IF((B12+C12+B13+C13)=0,"",(((B12+C13)/(B12+C12+B13+C13))+1.959964^2/(2*(B12+C12+B13+C13))+1.959964*SQRT(((B12+C13)/(B12+C12+B13+C13))*(1-((B12+C13)/(B12+C12+B13+C13)))/(B12+C12+B13+C13)+1.959964^2/(4*(B12+C12+B13+C13)^2)))/(1+1.959964^2/(B12+C12+B13+C13)))</f>
        <v>0.898473176191936</v>
      </c>
      <c r="E16" s="26" t="s">
        <v>777</v>
      </c>
    </row>
    <row r="17" customFormat="false" ht="15" hidden="false" customHeight="false" outlineLevel="0" collapsed="false">
      <c r="A17" s="5" t="s">
        <v>778</v>
      </c>
      <c r="B17" s="25" t="n">
        <f aca="false">B12/(B12+B13)</f>
        <v>0.904109589041096</v>
      </c>
      <c r="C17" s="25" t="n">
        <f aca="false">IF((B12+B13)=0,"",((B12/(B12+B13))+1.959964^2/(2*(B12+B13))-1.959964*SQRT((B12/(B12+B13))*(1-(B12/(B12+B13)))/(B12+B13)+1.959964^2/(4*(B12+B13)^2)))/(1+1.959964^2/(B12+B13)))</f>
        <v>0.864902571789382</v>
      </c>
      <c r="D17" s="25" t="n">
        <f aca="false">IF((B12+B13)=0,"",((B12/(B12+B13))+1.959964^2/(2*(B12+B13))+1.959964*SQRT((B12/(B12+B13))*(1-(B12/(B12+B13)))/(B12+B13)+1.959964^2/(4*(B12+B13)^2)))/(1+1.959964^2/(B12+B13)))</f>
        <v>0.93282199626953</v>
      </c>
      <c r="E17" s="26" t="s">
        <v>3446</v>
      </c>
    </row>
    <row r="18" customFormat="false" ht="15" hidden="false" customHeight="false" outlineLevel="0" collapsed="false">
      <c r="A18" s="5" t="s">
        <v>780</v>
      </c>
      <c r="B18" s="25" t="n">
        <f aca="false">B12/(B12+C12)</f>
        <v>0.88</v>
      </c>
      <c r="C18" s="25" t="n">
        <f aca="false">IF((B12+C12)=0,"",((B12/(B12+C12))+1.959964^2/(2*(B12+C12))-1.959964*SQRT((B12/(B12+C12))*(1-(B12/(B12+C12)))/(B12+C12)+1.959964^2/(4*(B12+C12)^2)))/(1+1.959964^2/(B12+C12)))</f>
        <v>0.838342185806252</v>
      </c>
      <c r="D18" s="25" t="n">
        <f aca="false">IF((B12+C12)=0,"",((B12/(B12+C12))+1.959964^2/(2*(B12+C12))+1.959964*SQRT((B12/(B12+C12))*(1-(B12/(B12+C12)))/(B12+C12)+1.959964^2/(4*(B12+C12)^2)))/(1+1.959964^2/(B12+C12)))</f>
        <v>0.912049155913426</v>
      </c>
      <c r="E18" s="26" t="s">
        <v>3447</v>
      </c>
    </row>
    <row r="19" customFormat="false" ht="15" hidden="false" customHeight="false" outlineLevel="0" collapsed="false">
      <c r="A19" s="5" t="s">
        <v>782</v>
      </c>
      <c r="B19" s="25" t="n">
        <f aca="false">C13/(C13+B13)</f>
        <v>0.86</v>
      </c>
      <c r="C19" s="25" t="n">
        <f aca="false">IF((C13+B13)=0,"",((C13/(C13+B13))+1.959964^2/(2*(C13+B13))-1.959964*SQRT((C13/(C13+B13))*(1-(C13/(C13+B13)))/(C13+B13)+1.959964^2/(4*(C13+B13)^2)))/(1+1.959964^2/(C13+B13)))</f>
        <v>0.805101190858142</v>
      </c>
      <c r="D19" s="25" t="n">
        <f aca="false">IF((C13+B13)=0,"",((C13/(C13+B13))+1.959964^2/(2*(C13+B13))+1.959964*SQRT((C13/(C13+B13))*(1-(C13/(C13+B13)))/(C13+B13)+1.959964^2/(4*(C13+B13)^2)))/(1+1.959964^2/(C13+B13)))</f>
        <v>0.901330173940205</v>
      </c>
      <c r="E19" s="26" t="s">
        <v>3448</v>
      </c>
    </row>
    <row r="20" customFormat="false" ht="15" hidden="false" customHeight="false" outlineLevel="0" collapsed="false">
      <c r="A20" s="5" t="s">
        <v>3449</v>
      </c>
      <c r="B20" s="25" t="n">
        <f aca="false">B13/(B13+C13)</f>
        <v>0.14</v>
      </c>
      <c r="C20" s="25" t="n">
        <f aca="false">IF((B13+C13)=0,"",((B13/(B13+C13))+1.959964^2/(2*(B13+C13))-1.959964*SQRT((B13/(B13+C13))*(1-(B13/(B13+C13)))/(B13+C13)+1.959964^2/(4*(B13+C13)^2)))/(1+1.959964^2/(B13+C13)))</f>
        <v>0.0986698260597948</v>
      </c>
      <c r="D20" s="25" t="n">
        <f aca="false">IF((B13+C13)=0,"",((B13/(B13+C13))+1.959964^2/(2*(B13+C13))+1.959964*SQRT((B13/(B13+C13))*(1-(B13/(B13+C13)))/(B13+C13)+1.959964^2/(4*(B13+C13)^2)))/(1+1.959964^2/(B13+C13)))</f>
        <v>0.194898809141859</v>
      </c>
      <c r="E20" s="26" t="s">
        <v>3450</v>
      </c>
    </row>
    <row r="21" customFormat="false" ht="15" hidden="false" customHeight="false" outlineLevel="0" collapsed="false">
      <c r="A21" s="5" t="s">
        <v>784</v>
      </c>
      <c r="B21" s="25" t="n">
        <f aca="false">2*B17*B18/(B17+B18)</f>
        <v>0.891891891891892</v>
      </c>
      <c r="E21" s="26" t="s">
        <v>3451</v>
      </c>
    </row>
    <row r="23" customFormat="false" ht="15" hidden="false" customHeight="false" outlineLevel="0" collapsed="false">
      <c r="A23" s="5" t="s">
        <v>3452</v>
      </c>
    </row>
    <row r="24" customFormat="false" ht="15" hidden="false" customHeight="false" outlineLevel="0" collapsed="false">
      <c r="A24" s="7"/>
      <c r="B24" s="7" t="s">
        <v>46</v>
      </c>
      <c r="C24" s="7" t="s">
        <v>759</v>
      </c>
      <c r="D24" s="7" t="s">
        <v>763</v>
      </c>
    </row>
    <row r="25" customFormat="false" ht="15" hidden="false" customHeight="false" outlineLevel="0" collapsed="false">
      <c r="A25" s="5" t="s">
        <v>774</v>
      </c>
      <c r="B25" s="24" t="n">
        <f aca="false">COUNTIFS('R1 Orders'!$M$2:$M$501,"&lt;&gt;Clean order (no error)",'R1 Orders'!$N$2:$N$501,"Yes",'R1 Orders'!$Q$2:$Q$501,"Yes")</f>
        <v>240</v>
      </c>
      <c r="C25" s="24" t="n">
        <f aca="false">COUNTIFS('R1 Orders'!$M$2:$M$501,"&lt;&gt;Clean order (no error)",'R1 Orders'!$N$2:$N$501,"Yes",'R1 Orders'!$Q$2:$Q$501,"No")</f>
        <v>0</v>
      </c>
      <c r="D25" s="24" t="n">
        <f aca="false">B25+C25</f>
        <v>240</v>
      </c>
    </row>
    <row r="26" customFormat="false" ht="15" hidden="false" customHeight="false" outlineLevel="0" collapsed="false">
      <c r="A26" s="5" t="s">
        <v>775</v>
      </c>
      <c r="B26" s="24" t="n">
        <f aca="false">COUNTIFS('R1 Orders'!$M$2:$M$501,"Clean order (no error)",'R1 Orders'!$Q$2:$Q$501,"Yes")</f>
        <v>28</v>
      </c>
      <c r="C26" s="24" t="n">
        <f aca="false">COUNTIFS('R1 Orders'!$M$2:$M$501,"Clean order (no error)",'R1 Orders'!$Q$2:$Q$501,"No")</f>
        <v>172</v>
      </c>
      <c r="D26" s="24" t="n">
        <f aca="false">B26+C26</f>
        <v>200</v>
      </c>
    </row>
    <row r="28" customFormat="false" ht="15" hidden="false" customHeight="false" outlineLevel="0" collapsed="false">
      <c r="A28" s="7" t="s">
        <v>3441</v>
      </c>
      <c r="B28" s="7" t="s">
        <v>3442</v>
      </c>
      <c r="C28" s="7" t="s">
        <v>3443</v>
      </c>
      <c r="D28" s="7" t="s">
        <v>3444</v>
      </c>
      <c r="E28" s="7" t="s">
        <v>3445</v>
      </c>
    </row>
    <row r="29" customFormat="false" ht="15" hidden="false" customHeight="false" outlineLevel="0" collapsed="false">
      <c r="A29" s="5" t="s">
        <v>776</v>
      </c>
      <c r="B29" s="25" t="n">
        <f aca="false">(B25+C26)/(B25+C25+B26+C26)</f>
        <v>0.936363636363636</v>
      </c>
      <c r="C29" s="25" t="n">
        <f aca="false">IF((B25+C25+B26+C26)=0,"",(((B25+C26)/(B25+C25+B26+C26))+1.959964^2/(2*(B25+C25+B26+C26))-1.959964*SQRT(((B25+C26)/(B25+C25+B26+C26))*(1-((B25+C26)/(B25+C25+B26+C26)))/(B25+C25+B26+C26)+1.959964^2/(4*(B25+C25+B26+C26)^2)))/(1+1.959964^2/(B25+C25+B26+C26)))</f>
        <v>0.909565412848532</v>
      </c>
      <c r="D29" s="25" t="n">
        <f aca="false">IF((B25+C25+B26+C26)=0,"",(((B25+C26)/(B25+C25+B26+C26))+1.959964^2/(2*(B25+C25+B26+C26))+1.959964*SQRT(((B25+C26)/(B25+C25+B26+C26))*(1-((B25+C26)/(B25+C25+B26+C26)))/(B25+C25+B26+C26)+1.959964^2/(4*(B25+C25+B26+C26)^2)))/(1+1.959964^2/(B25+C25+B26+C26)))</f>
        <v>0.955608383596427</v>
      </c>
      <c r="E29" s="26" t="s">
        <v>777</v>
      </c>
    </row>
    <row r="30" customFormat="false" ht="15" hidden="false" customHeight="false" outlineLevel="0" collapsed="false">
      <c r="A30" s="5" t="s">
        <v>778</v>
      </c>
      <c r="B30" s="25" t="n">
        <f aca="false">B25/(B25+B26)</f>
        <v>0.895522388059702</v>
      </c>
      <c r="C30" s="25" t="n">
        <f aca="false">IF((B25+B26)=0,"",((B25/(B25+B26))+1.959964^2/(2*(B25+B26))-1.959964*SQRT((B25/(B25+B26))*(1-(B25/(B25+B26)))/(B25+B26)+1.959964^2/(4*(B25+B26)^2)))/(1+1.959964^2/(B25+B26)))</f>
        <v>0.853144744482696</v>
      </c>
      <c r="D30" s="25" t="n">
        <f aca="false">IF((B25+B26)=0,"",((B25/(B25+B26))+1.959964^2/(2*(B25+B26))+1.959964*SQRT((B25/(B25+B26))*(1-(B25/(B25+B26)))/(B25+B26)+1.959964^2/(4*(B25+B26)^2)))/(1+1.959964^2/(B25+B26)))</f>
        <v>0.926721582281586</v>
      </c>
      <c r="E30" s="26" t="s">
        <v>3446</v>
      </c>
    </row>
    <row r="31" customFormat="false" ht="15" hidden="false" customHeight="false" outlineLevel="0" collapsed="false">
      <c r="A31" s="5" t="s">
        <v>780</v>
      </c>
      <c r="B31" s="25" t="n">
        <f aca="false">B25/(B25+C25)</f>
        <v>1</v>
      </c>
      <c r="C31" s="25" t="n">
        <f aca="false">IF((B25+C25)=0,"",((B25/(B25+C25))+1.959964^2/(2*(B25+C25))-1.959964*SQRT((B25/(B25+C25))*(1-(B25/(B25+C25)))/(B25+C25)+1.959964^2/(4*(B25+C25)^2)))/(1+1.959964^2/(B25+C25)))</f>
        <v>0.984246079813827</v>
      </c>
      <c r="D31" s="25" t="n">
        <f aca="false">IF((B25+C25)=0,"",((B25/(B25+C25))+1.959964^2/(2*(B25+C25))+1.959964*SQRT((B25/(B25+C25))*(1-(B25/(B25+C25)))/(B25+C25)+1.959964^2/(4*(B25+C25)^2)))/(1+1.959964^2/(B25+C25)))</f>
        <v>1</v>
      </c>
      <c r="E31" s="26" t="s">
        <v>3447</v>
      </c>
    </row>
    <row r="32" customFormat="false" ht="15" hidden="false" customHeight="false" outlineLevel="0" collapsed="false">
      <c r="A32" s="5" t="s">
        <v>782</v>
      </c>
      <c r="B32" s="25" t="n">
        <f aca="false">C26/(C26+B26)</f>
        <v>0.86</v>
      </c>
      <c r="C32" s="25" t="n">
        <f aca="false">IF((C26+B26)=0,"",((C26/(C26+B26))+1.959964^2/(2*(C26+B26))-1.959964*SQRT((C26/(C26+B26))*(1-(C26/(C26+B26)))/(C26+B26)+1.959964^2/(4*(C26+B26)^2)))/(1+1.959964^2/(C26+B26)))</f>
        <v>0.805101190858142</v>
      </c>
      <c r="D32" s="25" t="n">
        <f aca="false">IF((C26+B26)=0,"",((C26/(C26+B26))+1.959964^2/(2*(C26+B26))+1.959964*SQRT((C26/(C26+B26))*(1-(C26/(C26+B26)))/(C26+B26)+1.959964^2/(4*(C26+B26)^2)))/(1+1.959964^2/(C26+B26)))</f>
        <v>0.901330173940205</v>
      </c>
      <c r="E32" s="26" t="s">
        <v>3448</v>
      </c>
    </row>
    <row r="33" customFormat="false" ht="15" hidden="false" customHeight="false" outlineLevel="0" collapsed="false">
      <c r="A33" s="5" t="s">
        <v>3449</v>
      </c>
      <c r="B33" s="25" t="n">
        <f aca="false">B26/(B26+C26)</f>
        <v>0.14</v>
      </c>
      <c r="C33" s="25" t="n">
        <f aca="false">IF((B26+C26)=0,"",((B26/(B26+C26))+1.959964^2/(2*(B26+C26))-1.959964*SQRT((B26/(B26+C26))*(1-(B26/(B26+C26)))/(B26+C26)+1.959964^2/(4*(B26+C26)^2)))/(1+1.959964^2/(B26+C26)))</f>
        <v>0.0986698260597948</v>
      </c>
      <c r="D33" s="25" t="n">
        <f aca="false">IF((B26+C26)=0,"",((B26/(B26+C26))+1.959964^2/(2*(B26+C26))+1.959964*SQRT((B26/(B26+C26))*(1-(B26/(B26+C26)))/(B26+C26)+1.959964^2/(4*(B26+C26)^2)))/(1+1.959964^2/(B26+C26)))</f>
        <v>0.194898809141859</v>
      </c>
      <c r="E33" s="26" t="s">
        <v>3450</v>
      </c>
    </row>
    <row r="34" customFormat="false" ht="15" hidden="false" customHeight="false" outlineLevel="0" collapsed="false">
      <c r="A34" s="5" t="s">
        <v>784</v>
      </c>
      <c r="B34" s="25" t="n">
        <f aca="false">2*B30*B31/(B30+B31)</f>
        <v>0.94488188976378</v>
      </c>
      <c r="E34" s="26" t="s">
        <v>3451</v>
      </c>
    </row>
    <row r="36" customFormat="false" ht="15" hidden="false" customHeight="false" outlineLevel="0" collapsed="false">
      <c r="A36" s="5" t="s">
        <v>3453</v>
      </c>
    </row>
    <row r="37" customFormat="false" ht="26.85" hidden="false" customHeight="false" outlineLevel="0" collapsed="false">
      <c r="A37" s="7" t="s">
        <v>43</v>
      </c>
      <c r="B37" s="7" t="s">
        <v>44</v>
      </c>
      <c r="C37" s="7" t="s">
        <v>849</v>
      </c>
      <c r="D37" s="7" t="s">
        <v>758</v>
      </c>
      <c r="E37" s="7" t="s">
        <v>761</v>
      </c>
      <c r="F37" s="7" t="s">
        <v>760</v>
      </c>
      <c r="G37" s="7" t="s">
        <v>759</v>
      </c>
      <c r="H37" s="7" t="s">
        <v>46</v>
      </c>
      <c r="I37" s="7" t="s">
        <v>764</v>
      </c>
      <c r="J37" s="7" t="s">
        <v>3443</v>
      </c>
      <c r="K37" s="7" t="s">
        <v>3444</v>
      </c>
      <c r="L37" s="7" t="s">
        <v>3454</v>
      </c>
    </row>
    <row r="38" customFormat="false" ht="15" hidden="false" customHeight="false" outlineLevel="0" collapsed="false">
      <c r="A38" s="24" t="s">
        <v>57</v>
      </c>
      <c r="B38" s="24"/>
      <c r="C38" s="24"/>
      <c r="D38" s="24" t="n">
        <f aca="false">COUNTIF('R1 Orders'!$M$2:$M$501,A38)</f>
        <v>200</v>
      </c>
      <c r="E38" s="24" t="n">
        <f aca="false">COUNTIFS('R1 Orders'!$M$2:$M$501,A38,'R1 Orders'!$P$2:$P$501,"fail")</f>
        <v>0</v>
      </c>
      <c r="F38" s="24" t="n">
        <f aca="false">COUNTIFS('R1 Orders'!$M$2:$M$501,A38,'R1 Orders'!$P$2:$P$501,"warn")</f>
        <v>28</v>
      </c>
      <c r="G38" s="24" t="n">
        <f aca="false">COUNTIFS('R1 Orders'!$M$2:$M$501,A38,'R1 Orders'!$P$2:$P$501,"pass")</f>
        <v>172</v>
      </c>
      <c r="H38" s="24" t="n">
        <f aca="false">E38+F38</f>
        <v>28</v>
      </c>
      <c r="I38" s="25" t="n">
        <f aca="false">IF(D38=0,"",H38/D38)</f>
        <v>0.14</v>
      </c>
      <c r="J38" s="25" t="n">
        <f aca="false">IF(D38=0,"",((H38/D38)+1.959964^2/(2*D38)-1.959964*SQRT((H38/D38)*(1-(H38/D38))/D38+1.959964^2/(4*D38^2)))/(1+1.959964^2/D38))</f>
        <v>0.0986698260597948</v>
      </c>
      <c r="K38" s="25" t="n">
        <f aca="false">IF(D38=0,"",((H38/D38)+1.959964^2/(2*D38)+1.959964*SQRT((H38/D38)*(1-(H38/D38))/D38+1.959964^2/(4*D38^2)))/(1+1.959964^2/D38))</f>
        <v>0.194898809141859</v>
      </c>
      <c r="L38" s="24"/>
    </row>
    <row r="39" customFormat="false" ht="15" hidden="false" customHeight="false" outlineLevel="0" collapsed="false">
      <c r="A39" s="24" t="s">
        <v>272</v>
      </c>
      <c r="B39" s="24" t="s">
        <v>84</v>
      </c>
      <c r="C39" s="24" t="s">
        <v>879</v>
      </c>
      <c r="D39" s="24" t="n">
        <f aca="false">COUNTIF('R1 Orders'!$M$2:$M$501,A39)</f>
        <v>20</v>
      </c>
      <c r="E39" s="24" t="n">
        <f aca="false">COUNTIFS('R1 Orders'!$M$2:$M$501,A39,'R1 Orders'!$P$2:$P$501,"fail")</f>
        <v>20</v>
      </c>
      <c r="F39" s="24" t="n">
        <f aca="false">COUNTIFS('R1 Orders'!$M$2:$M$501,A39,'R1 Orders'!$P$2:$P$501,"warn")</f>
        <v>0</v>
      </c>
      <c r="G39" s="24" t="n">
        <f aca="false">COUNTIFS('R1 Orders'!$M$2:$M$501,A39,'R1 Orders'!$P$2:$P$501,"pass")</f>
        <v>0</v>
      </c>
      <c r="H39" s="24" t="n">
        <f aca="false">E39+F39</f>
        <v>20</v>
      </c>
      <c r="I39" s="25" t="n">
        <f aca="false">IF(D39=0,"",H39/D39)</f>
        <v>1</v>
      </c>
      <c r="J39" s="25" t="n">
        <f aca="false">IF(D39=0,"",((H39/D39)+1.959964^2/(2*D39)-1.959964*SQRT((H39/D39)*(1-(H39/D39))/D39+1.959964^2/(4*D39^2)))/(1+1.959964^2/D39))</f>
        <v>0.83887483981487</v>
      </c>
      <c r="K39" s="25" t="n">
        <f aca="false">IF(D39=0,"",((H39/D39)+1.959964^2/(2*D39)+1.959964*SQRT((H39/D39)*(1-(H39/D39))/D39+1.959964^2/(4*D39^2)))/(1+1.959964^2/D39))</f>
        <v>1</v>
      </c>
      <c r="L39" s="24" t="n">
        <f aca="false">COUNTIFS('R1 Orders'!$M$2:$M$501,A39,'R1 Orders'!$AA$2:$AA$501,1)</f>
        <v>20</v>
      </c>
    </row>
    <row r="40" customFormat="false" ht="15" hidden="false" customHeight="false" outlineLevel="0" collapsed="false">
      <c r="A40" s="24" t="s">
        <v>132</v>
      </c>
      <c r="B40" s="24" t="s">
        <v>84</v>
      </c>
      <c r="C40" s="24" t="s">
        <v>879</v>
      </c>
      <c r="D40" s="24" t="n">
        <f aca="false">COUNTIF('R1 Orders'!$M$2:$M$501,A40)</f>
        <v>20</v>
      </c>
      <c r="E40" s="24" t="n">
        <f aca="false">COUNTIFS('R1 Orders'!$M$2:$M$501,A40,'R1 Orders'!$P$2:$P$501,"fail")</f>
        <v>20</v>
      </c>
      <c r="F40" s="24" t="n">
        <f aca="false">COUNTIFS('R1 Orders'!$M$2:$M$501,A40,'R1 Orders'!$P$2:$P$501,"warn")</f>
        <v>0</v>
      </c>
      <c r="G40" s="24" t="n">
        <f aca="false">COUNTIFS('R1 Orders'!$M$2:$M$501,A40,'R1 Orders'!$P$2:$P$501,"pass")</f>
        <v>0</v>
      </c>
      <c r="H40" s="24" t="n">
        <f aca="false">E40+F40</f>
        <v>20</v>
      </c>
      <c r="I40" s="25" t="n">
        <f aca="false">IF(D40=0,"",H40/D40)</f>
        <v>1</v>
      </c>
      <c r="J40" s="25" t="n">
        <f aca="false">IF(D40=0,"",((H40/D40)+1.959964^2/(2*D40)-1.959964*SQRT((H40/D40)*(1-(H40/D40))/D40+1.959964^2/(4*D40^2)))/(1+1.959964^2/D40))</f>
        <v>0.83887483981487</v>
      </c>
      <c r="K40" s="25" t="n">
        <f aca="false">IF(D40=0,"",((H40/D40)+1.959964^2/(2*D40)+1.959964*SQRT((H40/D40)*(1-(H40/D40))/D40+1.959964^2/(4*D40^2)))/(1+1.959964^2/D40))</f>
        <v>1</v>
      </c>
      <c r="L40" s="24" t="n">
        <f aca="false">COUNTIFS('R1 Orders'!$M$2:$M$501,A40,'R1 Orders'!$AA$2:$AA$501,1)</f>
        <v>20</v>
      </c>
    </row>
    <row r="41" customFormat="false" ht="15" hidden="false" customHeight="false" outlineLevel="0" collapsed="false">
      <c r="A41" s="24" t="s">
        <v>148</v>
      </c>
      <c r="B41" s="24" t="s">
        <v>84</v>
      </c>
      <c r="C41" s="24" t="s">
        <v>866</v>
      </c>
      <c r="D41" s="24" t="n">
        <f aca="false">COUNTIF('R1 Orders'!$M$2:$M$501,A41)</f>
        <v>20</v>
      </c>
      <c r="E41" s="24" t="n">
        <f aca="false">COUNTIFS('R1 Orders'!$M$2:$M$501,A41,'R1 Orders'!$P$2:$P$501,"fail")</f>
        <v>20</v>
      </c>
      <c r="F41" s="24" t="n">
        <f aca="false">COUNTIFS('R1 Orders'!$M$2:$M$501,A41,'R1 Orders'!$P$2:$P$501,"warn")</f>
        <v>0</v>
      </c>
      <c r="G41" s="24" t="n">
        <f aca="false">COUNTIFS('R1 Orders'!$M$2:$M$501,A41,'R1 Orders'!$P$2:$P$501,"pass")</f>
        <v>0</v>
      </c>
      <c r="H41" s="24" t="n">
        <f aca="false">E41+F41</f>
        <v>20</v>
      </c>
      <c r="I41" s="25" t="n">
        <f aca="false">IF(D41=0,"",H41/D41)</f>
        <v>1</v>
      </c>
      <c r="J41" s="25" t="n">
        <f aca="false">IF(D41=0,"",((H41/D41)+1.959964^2/(2*D41)-1.959964*SQRT((H41/D41)*(1-(H41/D41))/D41+1.959964^2/(4*D41^2)))/(1+1.959964^2/D41))</f>
        <v>0.83887483981487</v>
      </c>
      <c r="K41" s="25" t="n">
        <f aca="false">IF(D41=0,"",((H41/D41)+1.959964^2/(2*D41)+1.959964*SQRT((H41/D41)*(1-(H41/D41))/D41+1.959964^2/(4*D41^2)))/(1+1.959964^2/D41))</f>
        <v>1</v>
      </c>
      <c r="L41" s="24" t="n">
        <f aca="false">COUNTIFS('R1 Orders'!$M$2:$M$501,A41,'R1 Orders'!$Z$2:$Z$501,1)</f>
        <v>20</v>
      </c>
    </row>
    <row r="42" customFormat="false" ht="15" hidden="false" customHeight="false" outlineLevel="0" collapsed="false">
      <c r="A42" s="24" t="s">
        <v>224</v>
      </c>
      <c r="B42" s="24" t="s">
        <v>84</v>
      </c>
      <c r="C42" s="24" t="s">
        <v>866</v>
      </c>
      <c r="D42" s="24" t="n">
        <f aca="false">COUNTIF('R1 Orders'!$M$2:$M$501,A42)</f>
        <v>20</v>
      </c>
      <c r="E42" s="24" t="n">
        <f aca="false">COUNTIFS('R1 Orders'!$M$2:$M$501,A42,'R1 Orders'!$P$2:$P$501,"fail")</f>
        <v>20</v>
      </c>
      <c r="F42" s="24" t="n">
        <f aca="false">COUNTIFS('R1 Orders'!$M$2:$M$501,A42,'R1 Orders'!$P$2:$P$501,"warn")</f>
        <v>0</v>
      </c>
      <c r="G42" s="24" t="n">
        <f aca="false">COUNTIFS('R1 Orders'!$M$2:$M$501,A42,'R1 Orders'!$P$2:$P$501,"pass")</f>
        <v>0</v>
      </c>
      <c r="H42" s="24" t="n">
        <f aca="false">E42+F42</f>
        <v>20</v>
      </c>
      <c r="I42" s="25" t="n">
        <f aca="false">IF(D42=0,"",H42/D42)</f>
        <v>1</v>
      </c>
      <c r="J42" s="25" t="n">
        <f aca="false">IF(D42=0,"",((H42/D42)+1.959964^2/(2*D42)-1.959964*SQRT((H42/D42)*(1-(H42/D42))/D42+1.959964^2/(4*D42^2)))/(1+1.959964^2/D42))</f>
        <v>0.83887483981487</v>
      </c>
      <c r="K42" s="25" t="n">
        <f aca="false">IF(D42=0,"",((H42/D42)+1.959964^2/(2*D42)+1.959964*SQRT((H42/D42)*(1-(H42/D42))/D42+1.959964^2/(4*D42^2)))/(1+1.959964^2/D42))</f>
        <v>1</v>
      </c>
      <c r="L42" s="24" t="n">
        <f aca="false">COUNTIFS('R1 Orders'!$M$2:$M$501,A42,'R1 Orders'!$Z$2:$Z$501,1)</f>
        <v>20</v>
      </c>
    </row>
    <row r="43" customFormat="false" ht="15" hidden="false" customHeight="false" outlineLevel="0" collapsed="false">
      <c r="A43" s="24" t="s">
        <v>94</v>
      </c>
      <c r="B43" s="24" t="s">
        <v>84</v>
      </c>
      <c r="C43" s="24" t="s">
        <v>909</v>
      </c>
      <c r="D43" s="24" t="n">
        <f aca="false">COUNTIF('R1 Orders'!$M$2:$M$501,A43)</f>
        <v>20</v>
      </c>
      <c r="E43" s="24" t="n">
        <f aca="false">COUNTIFS('R1 Orders'!$M$2:$M$501,A43,'R1 Orders'!$P$2:$P$501,"fail")</f>
        <v>20</v>
      </c>
      <c r="F43" s="24" t="n">
        <f aca="false">COUNTIFS('R1 Orders'!$M$2:$M$501,A43,'R1 Orders'!$P$2:$P$501,"warn")</f>
        <v>0</v>
      </c>
      <c r="G43" s="24" t="n">
        <f aca="false">COUNTIFS('R1 Orders'!$M$2:$M$501,A43,'R1 Orders'!$P$2:$P$501,"pass")</f>
        <v>0</v>
      </c>
      <c r="H43" s="24" t="n">
        <f aca="false">E43+F43</f>
        <v>20</v>
      </c>
      <c r="I43" s="25" t="n">
        <f aca="false">IF(D43=0,"",H43/D43)</f>
        <v>1</v>
      </c>
      <c r="J43" s="25" t="n">
        <f aca="false">IF(D43=0,"",((H43/D43)+1.959964^2/(2*D43)-1.959964*SQRT((H43/D43)*(1-(H43/D43))/D43+1.959964^2/(4*D43^2)))/(1+1.959964^2/D43))</f>
        <v>0.83887483981487</v>
      </c>
      <c r="K43" s="25" t="n">
        <f aca="false">IF(D43=0,"",((H43/D43)+1.959964^2/(2*D43)+1.959964*SQRT((H43/D43)*(1-(H43/D43))/D43+1.959964^2/(4*D43^2)))/(1+1.959964^2/D43))</f>
        <v>1</v>
      </c>
      <c r="L43" s="24" t="n">
        <f aca="false">COUNTIFS('R1 Orders'!$M$2:$M$501,A43,'R1 Orders'!$AF$2:$AF$501,1)</f>
        <v>20</v>
      </c>
    </row>
    <row r="44" customFormat="false" ht="15" hidden="false" customHeight="false" outlineLevel="0" collapsed="false">
      <c r="A44" s="24" t="s">
        <v>83</v>
      </c>
      <c r="B44" s="24" t="s">
        <v>84</v>
      </c>
      <c r="C44" s="24" t="s">
        <v>886</v>
      </c>
      <c r="D44" s="24" t="n">
        <f aca="false">COUNTIF('R1 Orders'!$M$2:$M$501,A44)</f>
        <v>20</v>
      </c>
      <c r="E44" s="24" t="n">
        <f aca="false">COUNTIFS('R1 Orders'!$M$2:$M$501,A44,'R1 Orders'!$P$2:$P$501,"fail")</f>
        <v>20</v>
      </c>
      <c r="F44" s="24" t="n">
        <f aca="false">COUNTIFS('R1 Orders'!$M$2:$M$501,A44,'R1 Orders'!$P$2:$P$501,"warn")</f>
        <v>0</v>
      </c>
      <c r="G44" s="24" t="n">
        <f aca="false">COUNTIFS('R1 Orders'!$M$2:$M$501,A44,'R1 Orders'!$P$2:$P$501,"pass")</f>
        <v>0</v>
      </c>
      <c r="H44" s="24" t="n">
        <f aca="false">E44+F44</f>
        <v>20</v>
      </c>
      <c r="I44" s="25" t="n">
        <f aca="false">IF(D44=0,"",H44/D44)</f>
        <v>1</v>
      </c>
      <c r="J44" s="25" t="n">
        <f aca="false">IF(D44=0,"",((H44/D44)+1.959964^2/(2*D44)-1.959964*SQRT((H44/D44)*(1-(H44/D44))/D44+1.959964^2/(4*D44^2)))/(1+1.959964^2/D44))</f>
        <v>0.83887483981487</v>
      </c>
      <c r="K44" s="25" t="n">
        <f aca="false">IF(D44=0,"",((H44/D44)+1.959964^2/(2*D44)+1.959964*SQRT((H44/D44)*(1-(H44/D44))/D44+1.959964^2/(4*D44^2)))/(1+1.959964^2/D44))</f>
        <v>1</v>
      </c>
      <c r="L44" s="24" t="n">
        <f aca="false">COUNTIFS('R1 Orders'!$M$2:$M$501,A44,'R1 Orders'!$AB$2:$AB$501,1)</f>
        <v>20</v>
      </c>
    </row>
    <row r="45" customFormat="false" ht="15" hidden="false" customHeight="false" outlineLevel="0" collapsed="false">
      <c r="A45" s="24" t="s">
        <v>159</v>
      </c>
      <c r="B45" s="24" t="s">
        <v>84</v>
      </c>
      <c r="C45" s="24" t="s">
        <v>886</v>
      </c>
      <c r="D45" s="24" t="n">
        <f aca="false">COUNTIF('R1 Orders'!$M$2:$M$501,A45)</f>
        <v>20</v>
      </c>
      <c r="E45" s="24" t="n">
        <f aca="false">COUNTIFS('R1 Orders'!$M$2:$M$501,A45,'R1 Orders'!$P$2:$P$501,"fail")</f>
        <v>20</v>
      </c>
      <c r="F45" s="24" t="n">
        <f aca="false">COUNTIFS('R1 Orders'!$M$2:$M$501,A45,'R1 Orders'!$P$2:$P$501,"warn")</f>
        <v>0</v>
      </c>
      <c r="G45" s="24" t="n">
        <f aca="false">COUNTIFS('R1 Orders'!$M$2:$M$501,A45,'R1 Orders'!$P$2:$P$501,"pass")</f>
        <v>0</v>
      </c>
      <c r="H45" s="24" t="n">
        <f aca="false">E45+F45</f>
        <v>20</v>
      </c>
      <c r="I45" s="25" t="n">
        <f aca="false">IF(D45=0,"",H45/D45)</f>
        <v>1</v>
      </c>
      <c r="J45" s="25" t="n">
        <f aca="false">IF(D45=0,"",((H45/D45)+1.959964^2/(2*D45)-1.959964*SQRT((H45/D45)*(1-(H45/D45))/D45+1.959964^2/(4*D45^2)))/(1+1.959964^2/D45))</f>
        <v>0.83887483981487</v>
      </c>
      <c r="K45" s="25" t="n">
        <f aca="false">IF(D45=0,"",((H45/D45)+1.959964^2/(2*D45)+1.959964*SQRT((H45/D45)*(1-(H45/D45))/D45+1.959964^2/(4*D45^2)))/(1+1.959964^2/D45))</f>
        <v>1</v>
      </c>
      <c r="L45" s="24" t="n">
        <f aca="false">COUNTIFS('R1 Orders'!$M$2:$M$501,A45,'R1 Orders'!$AB$2:$AB$501,1)</f>
        <v>20</v>
      </c>
    </row>
    <row r="46" customFormat="false" ht="15" hidden="false" customHeight="false" outlineLevel="0" collapsed="false">
      <c r="A46" s="24" t="s">
        <v>152</v>
      </c>
      <c r="B46" s="24" t="s">
        <v>84</v>
      </c>
      <c r="C46" s="24" t="s">
        <v>886</v>
      </c>
      <c r="D46" s="24" t="n">
        <f aca="false">COUNTIF('R1 Orders'!$M$2:$M$501,A46)</f>
        <v>20</v>
      </c>
      <c r="E46" s="24" t="n">
        <f aca="false">COUNTIFS('R1 Orders'!$M$2:$M$501,A46,'R1 Orders'!$P$2:$P$501,"fail")</f>
        <v>20</v>
      </c>
      <c r="F46" s="24" t="n">
        <f aca="false">COUNTIFS('R1 Orders'!$M$2:$M$501,A46,'R1 Orders'!$P$2:$P$501,"warn")</f>
        <v>0</v>
      </c>
      <c r="G46" s="24" t="n">
        <f aca="false">COUNTIFS('R1 Orders'!$M$2:$M$501,A46,'R1 Orders'!$P$2:$P$501,"pass")</f>
        <v>0</v>
      </c>
      <c r="H46" s="24" t="n">
        <f aca="false">E46+F46</f>
        <v>20</v>
      </c>
      <c r="I46" s="25" t="n">
        <f aca="false">IF(D46=0,"",H46/D46)</f>
        <v>1</v>
      </c>
      <c r="J46" s="25" t="n">
        <f aca="false">IF(D46=0,"",((H46/D46)+1.959964^2/(2*D46)-1.959964*SQRT((H46/D46)*(1-(H46/D46))/D46+1.959964^2/(4*D46^2)))/(1+1.959964^2/D46))</f>
        <v>0.83887483981487</v>
      </c>
      <c r="K46" s="25" t="n">
        <f aca="false">IF(D46=0,"",((H46/D46)+1.959964^2/(2*D46)+1.959964*SQRT((H46/D46)*(1-(H46/D46))/D46+1.959964^2/(4*D46^2)))/(1+1.959964^2/D46))</f>
        <v>1</v>
      </c>
      <c r="L46" s="24" t="n">
        <f aca="false">COUNTIFS('R1 Orders'!$M$2:$M$501,A46,'R1 Orders'!$AB$2:$AB$501,1)</f>
        <v>20</v>
      </c>
    </row>
    <row r="47" customFormat="false" ht="15" hidden="false" customHeight="false" outlineLevel="0" collapsed="false">
      <c r="A47" s="24" t="s">
        <v>171</v>
      </c>
      <c r="B47" s="24" t="s">
        <v>84</v>
      </c>
      <c r="C47" s="24" t="s">
        <v>892</v>
      </c>
      <c r="D47" s="24" t="n">
        <f aca="false">COUNTIF('R1 Orders'!$M$2:$M$501,A47)</f>
        <v>20</v>
      </c>
      <c r="E47" s="24" t="n">
        <f aca="false">COUNTIFS('R1 Orders'!$M$2:$M$501,A47,'R1 Orders'!$P$2:$P$501,"fail")</f>
        <v>20</v>
      </c>
      <c r="F47" s="24" t="n">
        <f aca="false">COUNTIFS('R1 Orders'!$M$2:$M$501,A47,'R1 Orders'!$P$2:$P$501,"warn")</f>
        <v>0</v>
      </c>
      <c r="G47" s="24" t="n">
        <f aca="false">COUNTIFS('R1 Orders'!$M$2:$M$501,A47,'R1 Orders'!$P$2:$P$501,"pass")</f>
        <v>0</v>
      </c>
      <c r="H47" s="24" t="n">
        <f aca="false">E47+F47</f>
        <v>20</v>
      </c>
      <c r="I47" s="25" t="n">
        <f aca="false">IF(D47=0,"",H47/D47)</f>
        <v>1</v>
      </c>
      <c r="J47" s="25" t="n">
        <f aca="false">IF(D47=0,"",((H47/D47)+1.959964^2/(2*D47)-1.959964*SQRT((H47/D47)*(1-(H47/D47))/D47+1.959964^2/(4*D47^2)))/(1+1.959964^2/D47))</f>
        <v>0.83887483981487</v>
      </c>
      <c r="K47" s="25" t="n">
        <f aca="false">IF(D47=0,"",((H47/D47)+1.959964^2/(2*D47)+1.959964*SQRT((H47/D47)*(1-(H47/D47))/D47+1.959964^2/(4*D47^2)))/(1+1.959964^2/D47))</f>
        <v>1</v>
      </c>
      <c r="L47" s="24" t="n">
        <f aca="false">COUNTIFS('R1 Orders'!$M$2:$M$501,A47,'R1 Orders'!$AC$2:$AC$501,1)</f>
        <v>20</v>
      </c>
    </row>
    <row r="48" customFormat="false" ht="15" hidden="false" customHeight="false" outlineLevel="0" collapsed="false">
      <c r="A48" s="24" t="s">
        <v>97</v>
      </c>
      <c r="B48" s="24" t="s">
        <v>84</v>
      </c>
      <c r="C48" s="24" t="s">
        <v>1185</v>
      </c>
      <c r="D48" s="24" t="n">
        <f aca="false">COUNTIF('R1 Orders'!$M$2:$M$501,A48)</f>
        <v>20</v>
      </c>
      <c r="E48" s="24" t="n">
        <f aca="false">COUNTIFS('R1 Orders'!$M$2:$M$501,A48,'R1 Orders'!$P$2:$P$501,"fail")</f>
        <v>0</v>
      </c>
      <c r="F48" s="24" t="n">
        <f aca="false">COUNTIFS('R1 Orders'!$M$2:$M$501,A48,'R1 Orders'!$P$2:$P$501,"warn")</f>
        <v>20</v>
      </c>
      <c r="G48" s="24" t="n">
        <f aca="false">COUNTIFS('R1 Orders'!$M$2:$M$501,A48,'R1 Orders'!$P$2:$P$501,"pass")</f>
        <v>0</v>
      </c>
      <c r="H48" s="24" t="n">
        <f aca="false">E48+F48</f>
        <v>20</v>
      </c>
      <c r="I48" s="25" t="n">
        <f aca="false">IF(D48=0,"",H48/D48)</f>
        <v>1</v>
      </c>
      <c r="J48" s="25" t="n">
        <f aca="false">IF(D48=0,"",((H48/D48)+1.959964^2/(2*D48)-1.959964*SQRT((H48/D48)*(1-(H48/D48))/D48+1.959964^2/(4*D48^2)))/(1+1.959964^2/D48))</f>
        <v>0.83887483981487</v>
      </c>
      <c r="K48" s="25" t="n">
        <f aca="false">IF(D48=0,"",((H48/D48)+1.959964^2/(2*D48)+1.959964*SQRT((H48/D48)*(1-(H48/D48))/D48+1.959964^2/(4*D48^2)))/(1+1.959964^2/D48))</f>
        <v>1</v>
      </c>
      <c r="L48" s="24" t="n">
        <f aca="false">COUNTIFS('R1 Orders'!$M$2:$M$501,A48,'R1 Orders'!$AG$2:$AG$501,1)</f>
        <v>20</v>
      </c>
    </row>
    <row r="49" customFormat="false" ht="15" hidden="false" customHeight="false" outlineLevel="0" collapsed="false">
      <c r="A49" s="24" t="s">
        <v>960</v>
      </c>
      <c r="B49" s="24" t="s">
        <v>84</v>
      </c>
      <c r="C49" s="24" t="s">
        <v>961</v>
      </c>
      <c r="D49" s="24" t="n">
        <f aca="false">COUNTIF('R1 Orders'!$M$2:$M$501,A49)</f>
        <v>20</v>
      </c>
      <c r="E49" s="24" t="n">
        <f aca="false">COUNTIFS('R1 Orders'!$M$2:$M$501,A49,'R1 Orders'!$P$2:$P$501,"fail")</f>
        <v>20</v>
      </c>
      <c r="F49" s="24" t="n">
        <f aca="false">COUNTIFS('R1 Orders'!$M$2:$M$501,A49,'R1 Orders'!$P$2:$P$501,"warn")</f>
        <v>0</v>
      </c>
      <c r="G49" s="24" t="n">
        <f aca="false">COUNTIFS('R1 Orders'!$M$2:$M$501,A49,'R1 Orders'!$P$2:$P$501,"pass")</f>
        <v>0</v>
      </c>
      <c r="H49" s="24" t="n">
        <f aca="false">E49+F49</f>
        <v>20</v>
      </c>
      <c r="I49" s="25" t="n">
        <f aca="false">IF(D49=0,"",H49/D49)</f>
        <v>1</v>
      </c>
      <c r="J49" s="25" t="n">
        <f aca="false">IF(D49=0,"",((H49/D49)+1.959964^2/(2*D49)-1.959964*SQRT((H49/D49)*(1-(H49/D49))/D49+1.959964^2/(4*D49^2)))/(1+1.959964^2/D49))</f>
        <v>0.83887483981487</v>
      </c>
      <c r="K49" s="25" t="n">
        <f aca="false">IF(D49=0,"",((H49/D49)+1.959964^2/(2*D49)+1.959964*SQRT((H49/D49)*(1-(H49/D49))/D49+1.959964^2/(4*D49^2)))/(1+1.959964^2/D49))</f>
        <v>1</v>
      </c>
      <c r="L49" s="24" t="n">
        <f aca="false">COUNTIFS('R1 Orders'!$M$2:$M$501,A49,'R1 Orders'!$AD$2:$AD$501,1)</f>
        <v>20</v>
      </c>
    </row>
    <row r="50" customFormat="false" ht="15" hidden="false" customHeight="false" outlineLevel="0" collapsed="false">
      <c r="A50" s="24" t="s">
        <v>984</v>
      </c>
      <c r="B50" s="24" t="s">
        <v>84</v>
      </c>
      <c r="C50" s="24" t="s">
        <v>985</v>
      </c>
      <c r="D50" s="24" t="n">
        <f aca="false">COUNTIF('R1 Orders'!$M$2:$M$501,A50)</f>
        <v>20</v>
      </c>
      <c r="E50" s="24" t="n">
        <f aca="false">COUNTIFS('R1 Orders'!$M$2:$M$501,A50,'R1 Orders'!$P$2:$P$501,"fail")</f>
        <v>20</v>
      </c>
      <c r="F50" s="24" t="n">
        <f aca="false">COUNTIFS('R1 Orders'!$M$2:$M$501,A50,'R1 Orders'!$P$2:$P$501,"warn")</f>
        <v>0</v>
      </c>
      <c r="G50" s="24" t="n">
        <f aca="false">COUNTIFS('R1 Orders'!$M$2:$M$501,A50,'R1 Orders'!$P$2:$P$501,"pass")</f>
        <v>0</v>
      </c>
      <c r="H50" s="24" t="n">
        <f aca="false">E50+F50</f>
        <v>20</v>
      </c>
      <c r="I50" s="25" t="n">
        <f aca="false">IF(D50=0,"",H50/D50)</f>
        <v>1</v>
      </c>
      <c r="J50" s="25" t="n">
        <f aca="false">IF(D50=0,"",((H50/D50)+1.959964^2/(2*D50)-1.959964*SQRT((H50/D50)*(1-(H50/D50))/D50+1.959964^2/(4*D50^2)))/(1+1.959964^2/D50))</f>
        <v>0.83887483981487</v>
      </c>
      <c r="K50" s="25" t="n">
        <f aca="false">IF(D50=0,"",((H50/D50)+1.959964^2/(2*D50)+1.959964*SQRT((H50/D50)*(1-(H50/D50))/D50+1.959964^2/(4*D50^2)))/(1+1.959964^2/D50))</f>
        <v>1</v>
      </c>
      <c r="L50" s="24" t="n">
        <f aca="false">COUNTIFS('R1 Orders'!$M$2:$M$501,A50,'R1 Orders'!$AE$2:$AE$501,1)</f>
        <v>20</v>
      </c>
    </row>
    <row r="51" customFormat="false" ht="15" hidden="false" customHeight="false" outlineLevel="0" collapsed="false">
      <c r="A51" s="24" t="s">
        <v>1009</v>
      </c>
      <c r="B51" s="24" t="s">
        <v>58</v>
      </c>
      <c r="C51" s="24"/>
      <c r="D51" s="24" t="n">
        <f aca="false">COUNTIF('R1 Orders'!$M$2:$M$501,A51)</f>
        <v>20</v>
      </c>
      <c r="E51" s="24" t="n">
        <f aca="false">COUNTIFS('R1 Orders'!$M$2:$M$501,A51,'R1 Orders'!$P$2:$P$501,"fail")</f>
        <v>0</v>
      </c>
      <c r="F51" s="24" t="n">
        <f aca="false">COUNTIFS('R1 Orders'!$M$2:$M$501,A51,'R1 Orders'!$P$2:$P$501,"warn")</f>
        <v>5</v>
      </c>
      <c r="G51" s="24" t="n">
        <f aca="false">COUNTIFS('R1 Orders'!$M$2:$M$501,A51,'R1 Orders'!$P$2:$P$501,"pass")</f>
        <v>15</v>
      </c>
      <c r="H51" s="24" t="n">
        <f aca="false">E51+F51</f>
        <v>5</v>
      </c>
      <c r="I51" s="25" t="n">
        <f aca="false">IF(D51=0,"",H51/D51)</f>
        <v>0.25</v>
      </c>
      <c r="J51" s="25" t="n">
        <f aca="false">IF(D51=0,"",((H51/D51)+1.959964^2/(2*D51)-1.959964*SQRT((H51/D51)*(1-(H51/D51))/D51+1.959964^2/(4*D51^2)))/(1+1.959964^2/D51))</f>
        <v>0.111861700699976</v>
      </c>
      <c r="K51" s="25" t="n">
        <f aca="false">IF(D51=0,"",((H51/D51)+1.959964^2/(2*D51)+1.959964*SQRT((H51/D51)*(1-(H51/D51))/D51+1.959964^2/(4*D51^2)))/(1+1.959964^2/D51))</f>
        <v>0.468700879392589</v>
      </c>
      <c r="L51" s="24"/>
    </row>
    <row r="52" customFormat="false" ht="15" hidden="false" customHeight="false" outlineLevel="0" collapsed="false">
      <c r="A52" s="24" t="s">
        <v>927</v>
      </c>
      <c r="B52" s="24" t="s">
        <v>58</v>
      </c>
      <c r="C52" s="24"/>
      <c r="D52" s="24" t="n">
        <f aca="false">COUNTIF('R1 Orders'!$M$2:$M$501,A52)</f>
        <v>20</v>
      </c>
      <c r="E52" s="24" t="n">
        <f aca="false">COUNTIFS('R1 Orders'!$M$2:$M$501,A52,'R1 Orders'!$P$2:$P$501,"fail")</f>
        <v>0</v>
      </c>
      <c r="F52" s="24" t="n">
        <f aca="false">COUNTIFS('R1 Orders'!$M$2:$M$501,A52,'R1 Orders'!$P$2:$P$501,"warn")</f>
        <v>14</v>
      </c>
      <c r="G52" s="24" t="n">
        <f aca="false">COUNTIFS('R1 Orders'!$M$2:$M$501,A52,'R1 Orders'!$P$2:$P$501,"pass")</f>
        <v>6</v>
      </c>
      <c r="H52" s="24" t="n">
        <f aca="false">E52+F52</f>
        <v>14</v>
      </c>
      <c r="I52" s="25" t="n">
        <f aca="false">IF(D52=0,"",H52/D52)</f>
        <v>0.7</v>
      </c>
      <c r="J52" s="25" t="n">
        <f aca="false">IF(D52=0,"",((H52/D52)+1.959964^2/(2*D52)-1.959964*SQRT((H52/D52)*(1-(H52/D52))/D52+1.959964^2/(4*D52^2)))/(1+1.959964^2/D52))</f>
        <v>0.481027179947521</v>
      </c>
      <c r="K52" s="25" t="n">
        <f aca="false">IF(D52=0,"",((H52/D52)+1.959964^2/(2*D52)+1.959964*SQRT((H52/D52)*(1-(H52/D52))/D52+1.959964^2/(4*D52^2)))/(1+1.959964^2/D52))</f>
        <v>0.854522755978427</v>
      </c>
      <c r="L52" s="24"/>
    </row>
    <row r="53" customFormat="false" ht="15" hidden="false" customHeight="false" outlineLevel="0" collapsed="false">
      <c r="A53" s="24" t="s">
        <v>1042</v>
      </c>
      <c r="B53" s="24" t="s">
        <v>58</v>
      </c>
      <c r="C53" s="24"/>
      <c r="D53" s="24" t="n">
        <f aca="false">COUNTIF('R1 Orders'!$M$2:$M$501,A53)</f>
        <v>20</v>
      </c>
      <c r="E53" s="24" t="n">
        <f aca="false">COUNTIFS('R1 Orders'!$M$2:$M$501,A53,'R1 Orders'!$P$2:$P$501,"fail")</f>
        <v>0</v>
      </c>
      <c r="F53" s="24" t="n">
        <f aca="false">COUNTIFS('R1 Orders'!$M$2:$M$501,A53,'R1 Orders'!$P$2:$P$501,"warn")</f>
        <v>5</v>
      </c>
      <c r="G53" s="24" t="n">
        <f aca="false">COUNTIFS('R1 Orders'!$M$2:$M$501,A53,'R1 Orders'!$P$2:$P$501,"pass")</f>
        <v>15</v>
      </c>
      <c r="H53" s="24" t="n">
        <f aca="false">E53+F53</f>
        <v>5</v>
      </c>
      <c r="I53" s="25" t="n">
        <f aca="false">IF(D53=0,"",H53/D53)</f>
        <v>0.25</v>
      </c>
      <c r="J53" s="25" t="n">
        <f aca="false">IF(D53=0,"",((H53/D53)+1.959964^2/(2*D53)-1.959964*SQRT((H53/D53)*(1-(H53/D53))/D53+1.959964^2/(4*D53^2)))/(1+1.959964^2/D53))</f>
        <v>0.111861700699976</v>
      </c>
      <c r="K53" s="25" t="n">
        <f aca="false">IF(D53=0,"",((H53/D53)+1.959964^2/(2*D53)+1.959964*SQRT((H53/D53)*(1-(H53/D53))/D53+1.959964^2/(4*D53^2)))/(1+1.959964^2/D53))</f>
        <v>0.468700879392589</v>
      </c>
      <c r="L53" s="24"/>
    </row>
    <row r="54" customFormat="false" ht="15" hidden="false" customHeight="false" outlineLevel="0" collapsed="false">
      <c r="A54" s="26" t="s">
        <v>3455</v>
      </c>
    </row>
    <row r="56" customFormat="false" ht="15" hidden="false" customHeight="false" outlineLevel="0" collapsed="false">
      <c r="A56" s="5" t="s">
        <v>3456</v>
      </c>
    </row>
    <row r="57" customFormat="false" ht="39.55" hidden="false" customHeight="false" outlineLevel="0" collapsed="false">
      <c r="A57" s="7" t="s">
        <v>3457</v>
      </c>
      <c r="B57" s="7" t="s">
        <v>788</v>
      </c>
      <c r="C57" s="7" t="s">
        <v>789</v>
      </c>
      <c r="D57" s="7" t="s">
        <v>791</v>
      </c>
      <c r="E57" s="7" t="s">
        <v>3458</v>
      </c>
      <c r="F57" s="7" t="s">
        <v>3443</v>
      </c>
      <c r="G57" s="7" t="s">
        <v>3444</v>
      </c>
    </row>
    <row r="58" customFormat="false" ht="15" hidden="false" customHeight="false" outlineLevel="0" collapsed="false">
      <c r="A58" s="24" t="s">
        <v>149</v>
      </c>
      <c r="B58" s="24" t="s">
        <v>794</v>
      </c>
      <c r="C58" s="24" t="n">
        <f aca="false">SUM('R1 Orders'!$Z$2:$Z$501)</f>
        <v>40</v>
      </c>
      <c r="D58" s="24" t="n">
        <f aca="false">COUNTIFS('R1 Orders'!$M$2:$M$501,"Clean order (no error)",'R1 Orders'!$Z$2:$Z$501,1)</f>
        <v>0</v>
      </c>
      <c r="E58" s="25" t="n">
        <f aca="false">D58/COUNTIF('R1 Orders'!$M$2:$M$501,"Clean order (no error)")</f>
        <v>0</v>
      </c>
      <c r="F58" s="25" t="n">
        <f aca="false">IF(COUNTIF('R1 Orders'!$M$2:$M$501,"Clean order (no error)")=0,"",((D58/COUNTIF('R1 Orders'!$M$2:$M$501,"Clean order (no error)"))+1.959964^2/(2*COUNTIF('R1 Orders'!$M$2:$M$501,"Clean order (no error)"))-1.959964*SQRT((D58/COUNTIF('R1 Orders'!$M$2:$M$501,"Clean order (no error)"))*(1-(D58/COUNTIF('R1 Orders'!$M$2:$M$501,"Clean order (no error)")))/COUNTIF('R1 Orders'!$M$2:$M$501,"Clean order (no error)")+1.959964^2/(4*COUNTIF('R1 Orders'!$M$2:$M$501,"Clean order (no error)")^2)))/(1+1.959964^2/COUNTIF('R1 Orders'!$M$2:$M$501,"Clean order (no error)")))</f>
        <v>0</v>
      </c>
      <c r="G58" s="25" t="n">
        <f aca="false">IF(COUNTIF('R1 Orders'!$M$2:$M$501,"Clean order (no error)")=0,"",((D58/COUNTIF('R1 Orders'!$M$2:$M$501,"Clean order (no error)"))+1.959964^2/(2*COUNTIF('R1 Orders'!$M$2:$M$501,"Clean order (no error)"))+1.959964*SQRT((D58/COUNTIF('R1 Orders'!$M$2:$M$501,"Clean order (no error)"))*(1-(D58/COUNTIF('R1 Orders'!$M$2:$M$501,"Clean order (no error)")))/COUNTIF('R1 Orders'!$M$2:$M$501,"Clean order (no error)")+1.959964^2/(4*COUNTIF('R1 Orders'!$M$2:$M$501,"Clean order (no error)")^2)))/(1+1.959964^2/COUNTIF('R1 Orders'!$M$2:$M$501,"Clean order (no error)")))</f>
        <v>0.0188453266689629</v>
      </c>
    </row>
    <row r="59" customFormat="false" ht="15" hidden="false" customHeight="false" outlineLevel="0" collapsed="false">
      <c r="A59" s="24" t="s">
        <v>3459</v>
      </c>
      <c r="B59" s="24" t="s">
        <v>794</v>
      </c>
      <c r="C59" s="24" t="n">
        <f aca="false">SUM('R1 Orders'!$AA$2:$AA$501)</f>
        <v>40</v>
      </c>
      <c r="D59" s="24" t="n">
        <f aca="false">COUNTIFS('R1 Orders'!$M$2:$M$501,"Clean order (no error)",'R1 Orders'!$AA$2:$AA$501,1)</f>
        <v>0</v>
      </c>
      <c r="E59" s="25" t="n">
        <f aca="false">D59/COUNTIF('R1 Orders'!$M$2:$M$501,"Clean order (no error)")</f>
        <v>0</v>
      </c>
      <c r="F59" s="25" t="n">
        <f aca="false">IF(COUNTIF('R1 Orders'!$M$2:$M$501,"Clean order (no error)")=0,"",((D59/COUNTIF('R1 Orders'!$M$2:$M$501,"Clean order (no error)"))+1.959964^2/(2*COUNTIF('R1 Orders'!$M$2:$M$501,"Clean order (no error)"))-1.959964*SQRT((D59/COUNTIF('R1 Orders'!$M$2:$M$501,"Clean order (no error)"))*(1-(D59/COUNTIF('R1 Orders'!$M$2:$M$501,"Clean order (no error)")))/COUNTIF('R1 Orders'!$M$2:$M$501,"Clean order (no error)")+1.959964^2/(4*COUNTIF('R1 Orders'!$M$2:$M$501,"Clean order (no error)")^2)))/(1+1.959964^2/COUNTIF('R1 Orders'!$M$2:$M$501,"Clean order (no error)")))</f>
        <v>0</v>
      </c>
      <c r="G59" s="25" t="n">
        <f aca="false">IF(COUNTIF('R1 Orders'!$M$2:$M$501,"Clean order (no error)")=0,"",((D59/COUNTIF('R1 Orders'!$M$2:$M$501,"Clean order (no error)"))+1.959964^2/(2*COUNTIF('R1 Orders'!$M$2:$M$501,"Clean order (no error)"))+1.959964*SQRT((D59/COUNTIF('R1 Orders'!$M$2:$M$501,"Clean order (no error)"))*(1-(D59/COUNTIF('R1 Orders'!$M$2:$M$501,"Clean order (no error)")))/COUNTIF('R1 Orders'!$M$2:$M$501,"Clean order (no error)")+1.959964^2/(4*COUNTIF('R1 Orders'!$M$2:$M$501,"Clean order (no error)")^2)))/(1+1.959964^2/COUNTIF('R1 Orders'!$M$2:$M$501,"Clean order (no error)")))</f>
        <v>0.0188453266689629</v>
      </c>
    </row>
    <row r="60" customFormat="false" ht="15" hidden="false" customHeight="false" outlineLevel="0" collapsed="false">
      <c r="A60" s="24" t="s">
        <v>87</v>
      </c>
      <c r="B60" s="24" t="s">
        <v>794</v>
      </c>
      <c r="C60" s="24" t="n">
        <f aca="false">SUM('R1 Orders'!$AB$2:$AB$501)</f>
        <v>60</v>
      </c>
      <c r="D60" s="24" t="n">
        <f aca="false">COUNTIFS('R1 Orders'!$M$2:$M$501,"Clean order (no error)",'R1 Orders'!$AB$2:$AB$501,1)</f>
        <v>0</v>
      </c>
      <c r="E60" s="25" t="n">
        <f aca="false">D60/COUNTIF('R1 Orders'!$M$2:$M$501,"Clean order (no error)")</f>
        <v>0</v>
      </c>
      <c r="F60" s="25" t="n">
        <f aca="false">IF(COUNTIF('R1 Orders'!$M$2:$M$501,"Clean order (no error)")=0,"",((D60/COUNTIF('R1 Orders'!$M$2:$M$501,"Clean order (no error)"))+1.959964^2/(2*COUNTIF('R1 Orders'!$M$2:$M$501,"Clean order (no error)"))-1.959964*SQRT((D60/COUNTIF('R1 Orders'!$M$2:$M$501,"Clean order (no error)"))*(1-(D60/COUNTIF('R1 Orders'!$M$2:$M$501,"Clean order (no error)")))/COUNTIF('R1 Orders'!$M$2:$M$501,"Clean order (no error)")+1.959964^2/(4*COUNTIF('R1 Orders'!$M$2:$M$501,"Clean order (no error)")^2)))/(1+1.959964^2/COUNTIF('R1 Orders'!$M$2:$M$501,"Clean order (no error)")))</f>
        <v>0</v>
      </c>
      <c r="G60" s="25" t="n">
        <f aca="false">IF(COUNTIF('R1 Orders'!$M$2:$M$501,"Clean order (no error)")=0,"",((D60/COUNTIF('R1 Orders'!$M$2:$M$501,"Clean order (no error)"))+1.959964^2/(2*COUNTIF('R1 Orders'!$M$2:$M$501,"Clean order (no error)"))+1.959964*SQRT((D60/COUNTIF('R1 Orders'!$M$2:$M$501,"Clean order (no error)"))*(1-(D60/COUNTIF('R1 Orders'!$M$2:$M$501,"Clean order (no error)")))/COUNTIF('R1 Orders'!$M$2:$M$501,"Clean order (no error)")+1.959964^2/(4*COUNTIF('R1 Orders'!$M$2:$M$501,"Clean order (no error)")^2)))/(1+1.959964^2/COUNTIF('R1 Orders'!$M$2:$M$501,"Clean order (no error)")))</f>
        <v>0.0188453266689629</v>
      </c>
    </row>
    <row r="61" customFormat="false" ht="15" hidden="false" customHeight="false" outlineLevel="0" collapsed="false">
      <c r="A61" s="24" t="s">
        <v>209</v>
      </c>
      <c r="B61" s="24" t="s">
        <v>794</v>
      </c>
      <c r="C61" s="24" t="n">
        <f aca="false">SUM('R1 Orders'!$AC$2:$AC$501)</f>
        <v>60</v>
      </c>
      <c r="D61" s="24" t="n">
        <f aca="false">COUNTIFS('R1 Orders'!$M$2:$M$501,"Clean order (no error)",'R1 Orders'!$AC$2:$AC$501,1)</f>
        <v>0</v>
      </c>
      <c r="E61" s="25" t="n">
        <f aca="false">D61/COUNTIF('R1 Orders'!$M$2:$M$501,"Clean order (no error)")</f>
        <v>0</v>
      </c>
      <c r="F61" s="25" t="n">
        <f aca="false">IF(COUNTIF('R1 Orders'!$M$2:$M$501,"Clean order (no error)")=0,"",((D61/COUNTIF('R1 Orders'!$M$2:$M$501,"Clean order (no error)"))+1.959964^2/(2*COUNTIF('R1 Orders'!$M$2:$M$501,"Clean order (no error)"))-1.959964*SQRT((D61/COUNTIF('R1 Orders'!$M$2:$M$501,"Clean order (no error)"))*(1-(D61/COUNTIF('R1 Orders'!$M$2:$M$501,"Clean order (no error)")))/COUNTIF('R1 Orders'!$M$2:$M$501,"Clean order (no error)")+1.959964^2/(4*COUNTIF('R1 Orders'!$M$2:$M$501,"Clean order (no error)")^2)))/(1+1.959964^2/COUNTIF('R1 Orders'!$M$2:$M$501,"Clean order (no error)")))</f>
        <v>0</v>
      </c>
      <c r="G61" s="25" t="n">
        <f aca="false">IF(COUNTIF('R1 Orders'!$M$2:$M$501,"Clean order (no error)")=0,"",((D61/COUNTIF('R1 Orders'!$M$2:$M$501,"Clean order (no error)"))+1.959964^2/(2*COUNTIF('R1 Orders'!$M$2:$M$501,"Clean order (no error)"))+1.959964*SQRT((D61/COUNTIF('R1 Orders'!$M$2:$M$501,"Clean order (no error)"))*(1-(D61/COUNTIF('R1 Orders'!$M$2:$M$501,"Clean order (no error)")))/COUNTIF('R1 Orders'!$M$2:$M$501,"Clean order (no error)")+1.959964^2/(4*COUNTIF('R1 Orders'!$M$2:$M$501,"Clean order (no error)")^2)))/(1+1.959964^2/COUNTIF('R1 Orders'!$M$2:$M$501,"Clean order (no error)")))</f>
        <v>0.0188453266689629</v>
      </c>
    </row>
    <row r="62" customFormat="false" ht="15" hidden="false" customHeight="false" outlineLevel="0" collapsed="false">
      <c r="A62" s="24" t="s">
        <v>3460</v>
      </c>
      <c r="B62" s="24" t="s">
        <v>794</v>
      </c>
      <c r="C62" s="24" t="n">
        <f aca="false">SUM('R1 Orders'!$AD$2:$AD$501)</f>
        <v>20</v>
      </c>
      <c r="D62" s="24" t="n">
        <f aca="false">COUNTIFS('R1 Orders'!$M$2:$M$501,"Clean order (no error)",'R1 Orders'!$AD$2:$AD$501,1)</f>
        <v>0</v>
      </c>
      <c r="E62" s="25" t="n">
        <f aca="false">D62/COUNTIF('R1 Orders'!$M$2:$M$501,"Clean order (no error)")</f>
        <v>0</v>
      </c>
      <c r="F62" s="25" t="n">
        <f aca="false">IF(COUNTIF('R1 Orders'!$M$2:$M$501,"Clean order (no error)")=0,"",((D62/COUNTIF('R1 Orders'!$M$2:$M$501,"Clean order (no error)"))+1.959964^2/(2*COUNTIF('R1 Orders'!$M$2:$M$501,"Clean order (no error)"))-1.959964*SQRT((D62/COUNTIF('R1 Orders'!$M$2:$M$501,"Clean order (no error)"))*(1-(D62/COUNTIF('R1 Orders'!$M$2:$M$501,"Clean order (no error)")))/COUNTIF('R1 Orders'!$M$2:$M$501,"Clean order (no error)")+1.959964^2/(4*COUNTIF('R1 Orders'!$M$2:$M$501,"Clean order (no error)")^2)))/(1+1.959964^2/COUNTIF('R1 Orders'!$M$2:$M$501,"Clean order (no error)")))</f>
        <v>0</v>
      </c>
      <c r="G62" s="25" t="n">
        <f aca="false">IF(COUNTIF('R1 Orders'!$M$2:$M$501,"Clean order (no error)")=0,"",((D62/COUNTIF('R1 Orders'!$M$2:$M$501,"Clean order (no error)"))+1.959964^2/(2*COUNTIF('R1 Orders'!$M$2:$M$501,"Clean order (no error)"))+1.959964*SQRT((D62/COUNTIF('R1 Orders'!$M$2:$M$501,"Clean order (no error)"))*(1-(D62/COUNTIF('R1 Orders'!$M$2:$M$501,"Clean order (no error)")))/COUNTIF('R1 Orders'!$M$2:$M$501,"Clean order (no error)")+1.959964^2/(4*COUNTIF('R1 Orders'!$M$2:$M$501,"Clean order (no error)")^2)))/(1+1.959964^2/COUNTIF('R1 Orders'!$M$2:$M$501,"Clean order (no error)")))</f>
        <v>0.0188453266689629</v>
      </c>
    </row>
    <row r="63" customFormat="false" ht="15" hidden="false" customHeight="false" outlineLevel="0" collapsed="false">
      <c r="A63" s="24" t="s">
        <v>3461</v>
      </c>
      <c r="B63" s="24" t="s">
        <v>794</v>
      </c>
      <c r="C63" s="24" t="n">
        <f aca="false">SUM('R1 Orders'!$AE$2:$AE$501)</f>
        <v>20</v>
      </c>
      <c r="D63" s="24" t="n">
        <f aca="false">COUNTIFS('R1 Orders'!$M$2:$M$501,"Clean order (no error)",'R1 Orders'!$AE$2:$AE$501,1)</f>
        <v>0</v>
      </c>
      <c r="E63" s="25" t="n">
        <f aca="false">D63/COUNTIF('R1 Orders'!$M$2:$M$501,"Clean order (no error)")</f>
        <v>0</v>
      </c>
      <c r="F63" s="25" t="n">
        <f aca="false">IF(COUNTIF('R1 Orders'!$M$2:$M$501,"Clean order (no error)")=0,"",((D63/COUNTIF('R1 Orders'!$M$2:$M$501,"Clean order (no error)"))+1.959964^2/(2*COUNTIF('R1 Orders'!$M$2:$M$501,"Clean order (no error)"))-1.959964*SQRT((D63/COUNTIF('R1 Orders'!$M$2:$M$501,"Clean order (no error)"))*(1-(D63/COUNTIF('R1 Orders'!$M$2:$M$501,"Clean order (no error)")))/COUNTIF('R1 Orders'!$M$2:$M$501,"Clean order (no error)")+1.959964^2/(4*COUNTIF('R1 Orders'!$M$2:$M$501,"Clean order (no error)")^2)))/(1+1.959964^2/COUNTIF('R1 Orders'!$M$2:$M$501,"Clean order (no error)")))</f>
        <v>0</v>
      </c>
      <c r="G63" s="25" t="n">
        <f aca="false">IF(COUNTIF('R1 Orders'!$M$2:$M$501,"Clean order (no error)")=0,"",((D63/COUNTIF('R1 Orders'!$M$2:$M$501,"Clean order (no error)"))+1.959964^2/(2*COUNTIF('R1 Orders'!$M$2:$M$501,"Clean order (no error)"))+1.959964*SQRT((D63/COUNTIF('R1 Orders'!$M$2:$M$501,"Clean order (no error)"))*(1-(D63/COUNTIF('R1 Orders'!$M$2:$M$501,"Clean order (no error)")))/COUNTIF('R1 Orders'!$M$2:$M$501,"Clean order (no error)")+1.959964^2/(4*COUNTIF('R1 Orders'!$M$2:$M$501,"Clean order (no error)")^2)))/(1+1.959964^2/COUNTIF('R1 Orders'!$M$2:$M$501,"Clean order (no error)")))</f>
        <v>0.0188453266689629</v>
      </c>
    </row>
    <row r="64" customFormat="false" ht="15" hidden="false" customHeight="false" outlineLevel="0" collapsed="false">
      <c r="A64" s="24" t="s">
        <v>3462</v>
      </c>
      <c r="B64" s="24" t="s">
        <v>794</v>
      </c>
      <c r="C64" s="24" t="n">
        <f aca="false">SUM('R1 Orders'!$AF$2:$AF$501)</f>
        <v>20</v>
      </c>
      <c r="D64" s="24" t="n">
        <f aca="false">COUNTIFS('R1 Orders'!$M$2:$M$501,"Clean order (no error)",'R1 Orders'!$AF$2:$AF$501,1)</f>
        <v>0</v>
      </c>
      <c r="E64" s="25" t="n">
        <f aca="false">D64/COUNTIF('R1 Orders'!$M$2:$M$501,"Clean order (no error)")</f>
        <v>0</v>
      </c>
      <c r="F64" s="25" t="n">
        <f aca="false">IF(COUNTIF('R1 Orders'!$M$2:$M$501,"Clean order (no error)")=0,"",((D64/COUNTIF('R1 Orders'!$M$2:$M$501,"Clean order (no error)"))+1.959964^2/(2*COUNTIF('R1 Orders'!$M$2:$M$501,"Clean order (no error)"))-1.959964*SQRT((D64/COUNTIF('R1 Orders'!$M$2:$M$501,"Clean order (no error)"))*(1-(D64/COUNTIF('R1 Orders'!$M$2:$M$501,"Clean order (no error)")))/COUNTIF('R1 Orders'!$M$2:$M$501,"Clean order (no error)")+1.959964^2/(4*COUNTIF('R1 Orders'!$M$2:$M$501,"Clean order (no error)")^2)))/(1+1.959964^2/COUNTIF('R1 Orders'!$M$2:$M$501,"Clean order (no error)")))</f>
        <v>0</v>
      </c>
      <c r="G64" s="25" t="n">
        <f aca="false">IF(COUNTIF('R1 Orders'!$M$2:$M$501,"Clean order (no error)")=0,"",((D64/COUNTIF('R1 Orders'!$M$2:$M$501,"Clean order (no error)"))+1.959964^2/(2*COUNTIF('R1 Orders'!$M$2:$M$501,"Clean order (no error)"))+1.959964*SQRT((D64/COUNTIF('R1 Orders'!$M$2:$M$501,"Clean order (no error)"))*(1-(D64/COUNTIF('R1 Orders'!$M$2:$M$501,"Clean order (no error)")))/COUNTIF('R1 Orders'!$M$2:$M$501,"Clean order (no error)")+1.959964^2/(4*COUNTIF('R1 Orders'!$M$2:$M$501,"Clean order (no error)")^2)))/(1+1.959964^2/COUNTIF('R1 Orders'!$M$2:$M$501,"Clean order (no error)")))</f>
        <v>0.0188453266689629</v>
      </c>
    </row>
    <row r="65" customFormat="false" ht="15" hidden="false" customHeight="false" outlineLevel="0" collapsed="false">
      <c r="A65" s="24" t="s">
        <v>97</v>
      </c>
      <c r="B65" s="24" t="s">
        <v>793</v>
      </c>
      <c r="C65" s="24" t="n">
        <f aca="false">SUM('R1 Orders'!$AG$2:$AG$501)</f>
        <v>22</v>
      </c>
      <c r="D65" s="24" t="n">
        <f aca="false">COUNTIFS('R1 Orders'!$M$2:$M$501,"Clean order (no error)",'R1 Orders'!$AG$2:$AG$501,1)</f>
        <v>1</v>
      </c>
      <c r="E65" s="25" t="n">
        <f aca="false">D65/COUNTIF('R1 Orders'!$M$2:$M$501,"Clean order (no error)")</f>
        <v>0.005</v>
      </c>
      <c r="F65" s="25" t="n">
        <f aca="false">IF(COUNTIF('R1 Orders'!$M$2:$M$501,"Clean order (no error)")=0,"",((D65/COUNTIF('R1 Orders'!$M$2:$M$501,"Clean order (no error)"))+1.959964^2/(2*COUNTIF('R1 Orders'!$M$2:$M$501,"Clean order (no error)"))-1.959964*SQRT((D65/COUNTIF('R1 Orders'!$M$2:$M$501,"Clean order (no error)"))*(1-(D65/COUNTIF('R1 Orders'!$M$2:$M$501,"Clean order (no error)")))/COUNTIF('R1 Orders'!$M$2:$M$501,"Clean order (no error)")+1.959964^2/(4*COUNTIF('R1 Orders'!$M$2:$M$501,"Clean order (no error)")^2)))/(1+1.959964^2/COUNTIF('R1 Orders'!$M$2:$M$501,"Clean order (no error)")))</f>
        <v>0.000883168705845376</v>
      </c>
      <c r="G65" s="25" t="n">
        <f aca="false">IF(COUNTIF('R1 Orders'!$M$2:$M$501,"Clean order (no error)")=0,"",((D65/COUNTIF('R1 Orders'!$M$2:$M$501,"Clean order (no error)"))+1.959964^2/(2*COUNTIF('R1 Orders'!$M$2:$M$501,"Clean order (no error)"))+1.959964*SQRT((D65/COUNTIF('R1 Orders'!$M$2:$M$501,"Clean order (no error)"))*(1-(D65/COUNTIF('R1 Orders'!$M$2:$M$501,"Clean order (no error)")))/COUNTIF('R1 Orders'!$M$2:$M$501,"Clean order (no error)")+1.959964^2/(4*COUNTIF('R1 Orders'!$M$2:$M$501,"Clean order (no error)")^2)))/(1+1.959964^2/COUNTIF('R1 Orders'!$M$2:$M$501,"Clean order (no error)")))</f>
        <v>0.0277737046964279</v>
      </c>
    </row>
    <row r="66" customFormat="false" ht="15" hidden="false" customHeight="false" outlineLevel="0" collapsed="false">
      <c r="A66" s="24" t="s">
        <v>61</v>
      </c>
      <c r="B66" s="24" t="s">
        <v>793</v>
      </c>
      <c r="C66" s="24" t="n">
        <f aca="false">SUM('R1 Orders'!$AH$2:$AH$501)</f>
        <v>94</v>
      </c>
      <c r="D66" s="24" t="n">
        <f aca="false">COUNTIFS('R1 Orders'!$M$2:$M$501,"Clean order (no error)",'R1 Orders'!$AH$2:$AH$501,1)</f>
        <v>27</v>
      </c>
      <c r="E66" s="25" t="n">
        <f aca="false">D66/COUNTIF('R1 Orders'!$M$2:$M$501,"Clean order (no error)")</f>
        <v>0.135</v>
      </c>
      <c r="F66" s="25" t="n">
        <f aca="false">IF(COUNTIF('R1 Orders'!$M$2:$M$501,"Clean order (no error)")=0,"",((D66/COUNTIF('R1 Orders'!$M$2:$M$501,"Clean order (no error)"))+1.959964^2/(2*COUNTIF('R1 Orders'!$M$2:$M$501,"Clean order (no error)"))-1.959964*SQRT((D66/COUNTIF('R1 Orders'!$M$2:$M$501,"Clean order (no error)"))*(1-(D66/COUNTIF('R1 Orders'!$M$2:$M$501,"Clean order (no error)")))/COUNTIF('R1 Orders'!$M$2:$M$501,"Clean order (no error)")+1.959964^2/(4*COUNTIF('R1 Orders'!$M$2:$M$501,"Clean order (no error)")^2)))/(1+1.959964^2/COUNTIF('R1 Orders'!$M$2:$M$501,"Clean order (no error)")))</f>
        <v>0.0944657042796866</v>
      </c>
      <c r="G66" s="25" t="n">
        <f aca="false">IF(COUNTIF('R1 Orders'!$M$2:$M$501,"Clean order (no error)")=0,"",((D66/COUNTIF('R1 Orders'!$M$2:$M$501,"Clean order (no error)"))+1.959964^2/(2*COUNTIF('R1 Orders'!$M$2:$M$501,"Clean order (no error)"))+1.959964*SQRT((D66/COUNTIF('R1 Orders'!$M$2:$M$501,"Clean order (no error)"))*(1-(D66/COUNTIF('R1 Orders'!$M$2:$M$501,"Clean order (no error)")))/COUNTIF('R1 Orders'!$M$2:$M$501,"Clean order (no error)")+1.959964^2/(4*COUNTIF('R1 Orders'!$M$2:$M$501,"Clean order (no error)")^2)))/(1+1.959964^2/COUNTIF('R1 Orders'!$M$2:$M$501,"Clean order (no error)")))</f>
        <v>0.189291384188656</v>
      </c>
    </row>
    <row r="68" customFormat="false" ht="15" hidden="false" customHeight="false" outlineLevel="0" collapsed="false">
      <c r="A68" s="5" t="s">
        <v>3463</v>
      </c>
    </row>
    <row r="69" customFormat="false" ht="15" hidden="false" customHeight="false" outlineLevel="0" collapsed="false">
      <c r="A69" s="7" t="s">
        <v>796</v>
      </c>
      <c r="B69" s="7" t="s">
        <v>3442</v>
      </c>
    </row>
    <row r="70" customFormat="false" ht="15" hidden="false" customHeight="false" outlineLevel="0" collapsed="false">
      <c r="A70" s="24" t="s">
        <v>797</v>
      </c>
      <c r="B70" s="27" t="n">
        <f aca="false">COUNT('R1 Orders'!$U$2:$U$501)</f>
        <v>500</v>
      </c>
    </row>
    <row r="71" customFormat="false" ht="15" hidden="false" customHeight="false" outlineLevel="0" collapsed="false">
      <c r="A71" s="24" t="s">
        <v>798</v>
      </c>
      <c r="B71" s="28" t="n">
        <f aca="false">AVERAGE('R1 Orders'!$U$2:$U$501)</f>
        <v>28.722788</v>
      </c>
    </row>
    <row r="72" customFormat="false" ht="15" hidden="false" customHeight="false" outlineLevel="0" collapsed="false">
      <c r="A72" s="24" t="s">
        <v>3464</v>
      </c>
      <c r="B72" s="28" t="n">
        <f aca="false">_xlfn.STDEV.S('R1 Orders'!$U$2:$U$501)</f>
        <v>23.2700739542169</v>
      </c>
    </row>
    <row r="73" customFormat="false" ht="15" hidden="false" customHeight="false" outlineLevel="0" collapsed="false">
      <c r="A73" s="24" t="s">
        <v>799</v>
      </c>
      <c r="B73" s="28" t="n">
        <f aca="false">MEDIAN('R1 Orders'!$U$2:$U$501)</f>
        <v>22.155</v>
      </c>
    </row>
    <row r="74" customFormat="false" ht="15" hidden="false" customHeight="false" outlineLevel="0" collapsed="false">
      <c r="A74" s="24" t="s">
        <v>3465</v>
      </c>
      <c r="B74" s="28" t="n">
        <f aca="false">_xlfn.PERCENTILE.INC('R1 Orders'!$U$2:$U$501,0.95)</f>
        <v>74.7244</v>
      </c>
    </row>
    <row r="75" customFormat="false" ht="15" hidden="false" customHeight="false" outlineLevel="0" collapsed="false">
      <c r="A75" s="24" t="s">
        <v>801</v>
      </c>
      <c r="B75" s="28" t="n">
        <f aca="false">MIN('R1 Orders'!$U$2:$U$501)</f>
        <v>2.45</v>
      </c>
    </row>
    <row r="76" customFormat="false" ht="15" hidden="false" customHeight="false" outlineLevel="0" collapsed="false">
      <c r="A76" s="24" t="s">
        <v>802</v>
      </c>
      <c r="B76" s="28" t="n">
        <f aca="false">MAX('R1 Orders'!$U$2:$U$501)</f>
        <v>124.309</v>
      </c>
    </row>
    <row r="77" customFormat="false" ht="15" hidden="false" customHeight="false" outlineLevel="0" collapsed="false">
      <c r="A77" s="5" t="s">
        <v>3466</v>
      </c>
      <c r="B77" s="28" t="n">
        <f aca="false">AVERAGE('R1 Orders'!$U$2:$U$101)</f>
        <v>6.90044</v>
      </c>
      <c r="C77" s="28" t="n">
        <f aca="false">AVERAGE('R1 Orders'!$U$102:$U$201)</f>
        <v>13.76872</v>
      </c>
      <c r="D77" s="28" t="n">
        <f aca="false">AVERAGE('R1 Orders'!$U$202:$U$301)</f>
        <v>26.29384</v>
      </c>
      <c r="E77" s="28" t="n">
        <f aca="false">AVERAGE('R1 Orders'!$U$302:$U$401)</f>
        <v>37.8899</v>
      </c>
      <c r="F77" s="28" t="n">
        <f aca="false">AVERAGE('R1 Orders'!$U$402:$U$501)</f>
        <v>58.76104</v>
      </c>
    </row>
    <row r="79" customFormat="false" ht="15" hidden="false" customHeight="false" outlineLevel="0" collapsed="false">
      <c r="A79" s="5" t="s">
        <v>3467</v>
      </c>
    </row>
    <row r="80" customFormat="false" ht="15" hidden="false" customHeight="false" outlineLevel="0" collapsed="false">
      <c r="A80" s="24" t="s">
        <v>3468</v>
      </c>
      <c r="B80" s="24" t="n">
        <f aca="false">COUNTIF('R1 Orders'!$R$2:$R$501,"pending_approval")</f>
        <v>258</v>
      </c>
    </row>
    <row r="81" customFormat="false" ht="15" hidden="false" customHeight="false" outlineLevel="0" collapsed="false">
      <c r="A81" s="24" t="s">
        <v>3469</v>
      </c>
      <c r="B81" s="24" t="n">
        <f aca="false">COUNTIFS('R1 Orders'!$R$2:$R$501,"pending_approval",'R1 Orders'!$E$2:$E$501,"&lt;&gt;(none)",'R1 Orders'!$F$2:$F$501,"&gt;0",'R1 Orders'!$AI$2:$AI$501,"Yes")</f>
        <v>258</v>
      </c>
    </row>
    <row r="82" customFormat="false" ht="15" hidden="false" customHeight="false" outlineLevel="0" collapsed="false">
      <c r="A82" s="24" t="s">
        <v>3470</v>
      </c>
      <c r="B82" s="25" t="n">
        <f aca="false">B81/B80</f>
        <v>1</v>
      </c>
      <c r="C82" s="25" t="n">
        <f aca="false">IF(B80=0,"",((B81/B80)+1.959964^2/(2*B80)-1.959964*SQRT((B81/B80)*(1-(B81/B80))/B80+1.959964^2/(4*B80^2)))/(1+1.959964^2/B80))</f>
        <v>0.985329065543293</v>
      </c>
      <c r="D82" s="25" t="n">
        <f aca="false">IF(B80=0,"",((B81/B80)+1.959964^2/(2*B80)+1.959964*SQRT((B81/B80)*(1-(B81/B80))/B80+1.959964^2/(4*B80^2)))/(1+1.959964^2/B80))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15"/>
    <col collapsed="false" customWidth="true" hidden="false" outlineLevel="0" max="7" min="6" style="0" width="7"/>
    <col collapsed="false" customWidth="true" hidden="false" outlineLevel="0" max="8" min="8" style="0" width="46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34"/>
    <col collapsed="false" customWidth="true" hidden="false" outlineLevel="0" max="14" min="14" style="0" width="8"/>
    <col collapsed="false" customWidth="true" hidden="false" outlineLevel="0" max="15" min="15" style="0" width="15"/>
    <col collapsed="false" customWidth="true" hidden="false" outlineLevel="0" max="16" min="16" style="0" width="9"/>
    <col collapsed="false" customWidth="true" hidden="false" outlineLevel="0" max="17" min="17" style="0" width="8"/>
    <col collapsed="false" customWidth="true" hidden="false" outlineLevel="0" max="18" min="18" style="0" width="18"/>
    <col collapsed="false" customWidth="true" hidden="false" outlineLevel="0" max="19" min="19" style="0" width="30"/>
    <col collapsed="false" customWidth="true" hidden="false" outlineLevel="0" max="20" min="20" style="0" width="60"/>
    <col collapsed="false" customWidth="true" hidden="false" outlineLevel="0" max="21" min="21" style="0" width="11"/>
    <col collapsed="false" customWidth="true" hidden="false" outlineLevel="0" max="24" min="22" style="0" width="30"/>
    <col collapsed="false" customWidth="true" hidden="false" outlineLevel="0" max="25" min="25" style="0" width="16"/>
    <col collapsed="false" customWidth="true" hidden="false" outlineLevel="0" max="34" min="26" style="0" width="9"/>
    <col collapsed="false" customWidth="true" hidden="false" outlineLevel="0" max="35" min="35" style="0" width="10"/>
  </cols>
  <sheetData>
    <row r="1" customFormat="false" ht="64.9" hidden="false" customHeight="false" outlineLevel="0" collapsed="false">
      <c r="A1" s="7" t="s">
        <v>29</v>
      </c>
      <c r="B1" s="7" t="s">
        <v>847</v>
      </c>
      <c r="C1" s="7" t="s">
        <v>30</v>
      </c>
      <c r="D1" s="7" t="s">
        <v>31</v>
      </c>
      <c r="E1" s="7" t="s">
        <v>35</v>
      </c>
      <c r="F1" s="7" t="s">
        <v>36</v>
      </c>
      <c r="G1" s="7" t="s">
        <v>37</v>
      </c>
      <c r="H1" s="7" t="s">
        <v>848</v>
      </c>
      <c r="I1" s="7" t="s">
        <v>39</v>
      </c>
      <c r="J1" s="7" t="s">
        <v>40</v>
      </c>
      <c r="K1" s="7" t="s">
        <v>41</v>
      </c>
      <c r="L1" s="7" t="s">
        <v>42</v>
      </c>
      <c r="M1" s="7" t="s">
        <v>43</v>
      </c>
      <c r="N1" s="7" t="s">
        <v>44</v>
      </c>
      <c r="O1" s="7" t="s">
        <v>849</v>
      </c>
      <c r="P1" s="7" t="s">
        <v>45</v>
      </c>
      <c r="Q1" s="7" t="s">
        <v>46</v>
      </c>
      <c r="R1" s="7" t="s">
        <v>47</v>
      </c>
      <c r="S1" s="7" t="s">
        <v>48</v>
      </c>
      <c r="T1" s="7" t="s">
        <v>49</v>
      </c>
      <c r="U1" s="7" t="s">
        <v>50</v>
      </c>
      <c r="V1" s="7" t="s">
        <v>850</v>
      </c>
      <c r="W1" s="7" t="s">
        <v>851</v>
      </c>
      <c r="X1" s="7" t="s">
        <v>852</v>
      </c>
      <c r="Y1" s="7" t="s">
        <v>853</v>
      </c>
      <c r="Z1" s="7" t="s">
        <v>854</v>
      </c>
      <c r="AA1" s="7" t="s">
        <v>855</v>
      </c>
      <c r="AB1" s="7" t="s">
        <v>856</v>
      </c>
      <c r="AC1" s="7" t="s">
        <v>857</v>
      </c>
      <c r="AD1" s="7" t="s">
        <v>858</v>
      </c>
      <c r="AE1" s="7" t="s">
        <v>859</v>
      </c>
      <c r="AF1" s="7" t="s">
        <v>860</v>
      </c>
      <c r="AG1" s="7" t="s">
        <v>861</v>
      </c>
      <c r="AH1" s="7" t="s">
        <v>862</v>
      </c>
      <c r="AI1" s="7" t="s">
        <v>863</v>
      </c>
    </row>
    <row r="2" customFormat="false" ht="15" hidden="false" customHeight="false" outlineLevel="0" collapsed="false">
      <c r="A2" s="6" t="n">
        <v>1</v>
      </c>
      <c r="B2" s="6" t="s">
        <v>3471</v>
      </c>
      <c r="C2" s="6" t="n">
        <v>1</v>
      </c>
      <c r="D2" s="6" t="s">
        <v>89</v>
      </c>
      <c r="E2" s="6" t="s">
        <v>67</v>
      </c>
      <c r="F2" s="6" t="n">
        <v>4</v>
      </c>
      <c r="G2" s="6" t="n">
        <v>104</v>
      </c>
      <c r="H2" s="6" t="s">
        <v>3472</v>
      </c>
      <c r="I2" s="22" t="n">
        <v>1318300</v>
      </c>
      <c r="J2" s="22" t="n">
        <v>4500</v>
      </c>
      <c r="K2" s="22" t="n">
        <v>99210</v>
      </c>
      <c r="L2" s="22" t="n">
        <v>1422010</v>
      </c>
      <c r="M2" s="6" t="s">
        <v>132</v>
      </c>
      <c r="N2" s="6" t="s">
        <v>84</v>
      </c>
      <c r="O2" s="6" t="s">
        <v>879</v>
      </c>
      <c r="P2" s="6" t="s">
        <v>85</v>
      </c>
      <c r="Q2" s="6" t="str">
        <f aca="false">IF(P2="pass","No","Yes")</f>
        <v>Yes</v>
      </c>
      <c r="R2" s="6" t="s">
        <v>86</v>
      </c>
      <c r="S2" s="6" t="s">
        <v>880</v>
      </c>
      <c r="T2" s="6" t="s">
        <v>134</v>
      </c>
      <c r="U2" s="23" t="n">
        <v>5.908</v>
      </c>
      <c r="V2" s="6" t="s">
        <v>3473</v>
      </c>
      <c r="W2" s="6" t="s">
        <v>3474</v>
      </c>
      <c r="X2" s="6" t="s">
        <v>3475</v>
      </c>
      <c r="Y2" s="6" t="s">
        <v>86</v>
      </c>
      <c r="Z2" s="6" t="n">
        <v>0</v>
      </c>
      <c r="AA2" s="6" t="n">
        <v>1</v>
      </c>
      <c r="AB2" s="6" t="n">
        <v>0</v>
      </c>
      <c r="AC2" s="6" t="n">
        <v>1</v>
      </c>
      <c r="AD2" s="6" t="n">
        <v>0</v>
      </c>
      <c r="AE2" s="6" t="n">
        <v>0</v>
      </c>
      <c r="AF2" s="6" t="n">
        <v>0</v>
      </c>
      <c r="AG2" s="6" t="n">
        <v>0</v>
      </c>
      <c r="AH2" s="6" t="n">
        <v>0</v>
      </c>
      <c r="AI2" s="6" t="s">
        <v>84</v>
      </c>
    </row>
    <row r="3" customFormat="false" ht="15" hidden="false" customHeight="false" outlineLevel="0" collapsed="false">
      <c r="A3" s="6" t="n">
        <v>2</v>
      </c>
      <c r="B3" s="6" t="s">
        <v>3476</v>
      </c>
      <c r="C3" s="6" t="n">
        <v>1</v>
      </c>
      <c r="D3" s="6" t="s">
        <v>119</v>
      </c>
      <c r="E3" s="6" t="s">
        <v>123</v>
      </c>
      <c r="F3" s="6" t="n">
        <v>3</v>
      </c>
      <c r="G3" s="6" t="n">
        <v>7</v>
      </c>
      <c r="H3" s="6" t="s">
        <v>3477</v>
      </c>
      <c r="I3" s="22" t="n">
        <v>401200</v>
      </c>
      <c r="J3" s="22" t="n">
        <v>5000</v>
      </c>
      <c r="K3" s="22" t="n">
        <v>30465</v>
      </c>
      <c r="L3" s="22" t="n">
        <v>436665</v>
      </c>
      <c r="M3" s="6" t="s">
        <v>132</v>
      </c>
      <c r="N3" s="6" t="s">
        <v>84</v>
      </c>
      <c r="O3" s="6" t="s">
        <v>879</v>
      </c>
      <c r="P3" s="6" t="s">
        <v>85</v>
      </c>
      <c r="Q3" s="6" t="str">
        <f aca="false">IF(P3="pass","No","Yes")</f>
        <v>Yes</v>
      </c>
      <c r="R3" s="6" t="s">
        <v>86</v>
      </c>
      <c r="S3" s="6" t="s">
        <v>880</v>
      </c>
      <c r="T3" s="6" t="s">
        <v>134</v>
      </c>
      <c r="U3" s="23" t="n">
        <v>2.769</v>
      </c>
      <c r="V3" s="6" t="s">
        <v>3478</v>
      </c>
      <c r="W3" s="6" t="s">
        <v>3479</v>
      </c>
      <c r="X3" s="6" t="s">
        <v>3480</v>
      </c>
      <c r="Y3" s="6" t="s">
        <v>86</v>
      </c>
      <c r="Z3" s="6" t="n">
        <v>0</v>
      </c>
      <c r="AA3" s="6" t="n">
        <v>1</v>
      </c>
      <c r="AB3" s="6" t="n">
        <v>0</v>
      </c>
      <c r="AC3" s="6" t="n">
        <v>1</v>
      </c>
      <c r="AD3" s="6" t="n">
        <v>0</v>
      </c>
      <c r="AE3" s="6" t="n">
        <v>0</v>
      </c>
      <c r="AF3" s="6" t="n">
        <v>0</v>
      </c>
      <c r="AG3" s="6" t="n">
        <v>0</v>
      </c>
      <c r="AH3" s="6" t="n">
        <v>0</v>
      </c>
      <c r="AI3" s="6" t="s">
        <v>84</v>
      </c>
    </row>
    <row r="4" customFormat="false" ht="15" hidden="false" customHeight="false" outlineLevel="0" collapsed="false">
      <c r="A4" s="6" t="n">
        <v>3</v>
      </c>
      <c r="B4" s="6" t="s">
        <v>3481</v>
      </c>
      <c r="C4" s="6" t="n">
        <v>1</v>
      </c>
      <c r="D4" s="6" t="s">
        <v>166</v>
      </c>
      <c r="E4" s="6" t="s">
        <v>74</v>
      </c>
      <c r="F4" s="6" t="n">
        <v>4</v>
      </c>
      <c r="G4" s="6" t="n">
        <v>146</v>
      </c>
      <c r="H4" s="6" t="s">
        <v>3482</v>
      </c>
      <c r="I4" s="22" t="n">
        <v>1864500</v>
      </c>
      <c r="J4" s="22" t="n">
        <v>9000</v>
      </c>
      <c r="K4" s="22" t="n">
        <v>140512.5</v>
      </c>
      <c r="L4" s="22" t="n">
        <v>2014012.5</v>
      </c>
      <c r="M4" s="6" t="s">
        <v>83</v>
      </c>
      <c r="N4" s="6" t="s">
        <v>84</v>
      </c>
      <c r="O4" s="6" t="s">
        <v>886</v>
      </c>
      <c r="P4" s="6" t="s">
        <v>85</v>
      </c>
      <c r="Q4" s="6" t="str">
        <f aca="false">IF(P4="pass","No","Yes")</f>
        <v>Yes</v>
      </c>
      <c r="R4" s="6" t="s">
        <v>86</v>
      </c>
      <c r="S4" s="6" t="s">
        <v>886</v>
      </c>
      <c r="T4" s="6" t="s">
        <v>517</v>
      </c>
      <c r="U4" s="23" t="n">
        <v>5.683</v>
      </c>
      <c r="V4" s="6" t="s">
        <v>3483</v>
      </c>
      <c r="W4" s="6" t="s">
        <v>3484</v>
      </c>
      <c r="X4" s="6" t="s">
        <v>3485</v>
      </c>
      <c r="Y4" s="6" t="s">
        <v>86</v>
      </c>
      <c r="Z4" s="6" t="n">
        <v>0</v>
      </c>
      <c r="AA4" s="6" t="n">
        <v>0</v>
      </c>
      <c r="AB4" s="6" t="n">
        <v>1</v>
      </c>
      <c r="AC4" s="6" t="n">
        <v>0</v>
      </c>
      <c r="AD4" s="6" t="n">
        <v>0</v>
      </c>
      <c r="AE4" s="6" t="n">
        <v>0</v>
      </c>
      <c r="AF4" s="6" t="n">
        <v>0</v>
      </c>
      <c r="AG4" s="6" t="n">
        <v>0</v>
      </c>
      <c r="AH4" s="6" t="n">
        <v>0</v>
      </c>
      <c r="AI4" s="6" t="s">
        <v>84</v>
      </c>
    </row>
    <row r="5" customFormat="false" ht="15" hidden="false" customHeight="false" outlineLevel="0" collapsed="false">
      <c r="A5" s="6" t="n">
        <v>4</v>
      </c>
      <c r="B5" s="6" t="s">
        <v>3486</v>
      </c>
      <c r="C5" s="6" t="n">
        <v>1</v>
      </c>
      <c r="D5" s="6" t="s">
        <v>77</v>
      </c>
      <c r="E5" s="6" t="s">
        <v>81</v>
      </c>
      <c r="F5" s="6" t="n">
        <v>3</v>
      </c>
      <c r="G5" s="6" t="n">
        <v>47</v>
      </c>
      <c r="H5" s="6" t="s">
        <v>3487</v>
      </c>
      <c r="I5" s="22" t="n">
        <v>834000</v>
      </c>
      <c r="J5" s="22" t="n">
        <v>4000</v>
      </c>
      <c r="K5" s="22" t="n">
        <v>62850</v>
      </c>
      <c r="L5" s="22" t="n">
        <v>900850</v>
      </c>
      <c r="M5" s="6" t="s">
        <v>57</v>
      </c>
      <c r="N5" s="6" t="s">
        <v>58</v>
      </c>
      <c r="O5" s="6"/>
      <c r="P5" s="6" t="s">
        <v>69</v>
      </c>
      <c r="Q5" s="6" t="str">
        <f aca="false">IF(P5="pass","No","Yes")</f>
        <v>No</v>
      </c>
      <c r="R5" s="6" t="s">
        <v>60</v>
      </c>
      <c r="S5" s="6"/>
      <c r="T5" s="6"/>
      <c r="U5" s="23" t="n">
        <v>3.066</v>
      </c>
      <c r="V5" s="6" t="s">
        <v>3488</v>
      </c>
      <c r="W5" s="6" t="s">
        <v>3489</v>
      </c>
      <c r="X5" s="6" t="s">
        <v>3490</v>
      </c>
      <c r="Y5" s="6" t="s">
        <v>60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0</v>
      </c>
      <c r="AF5" s="6" t="n">
        <v>0</v>
      </c>
      <c r="AG5" s="6" t="n">
        <v>0</v>
      </c>
      <c r="AH5" s="6" t="n">
        <v>0</v>
      </c>
      <c r="AI5" s="6" t="s">
        <v>84</v>
      </c>
    </row>
    <row r="6" customFormat="false" ht="15" hidden="false" customHeight="false" outlineLevel="0" collapsed="false">
      <c r="A6" s="6" t="n">
        <v>5</v>
      </c>
      <c r="B6" s="6" t="s">
        <v>3491</v>
      </c>
      <c r="C6" s="6" t="n">
        <v>1</v>
      </c>
      <c r="D6" s="6" t="s">
        <v>186</v>
      </c>
      <c r="E6" s="6" t="s">
        <v>123</v>
      </c>
      <c r="F6" s="6" t="n">
        <v>3</v>
      </c>
      <c r="G6" s="6" t="n">
        <v>14</v>
      </c>
      <c r="H6" s="6" t="s">
        <v>3492</v>
      </c>
      <c r="I6" s="22" t="n">
        <v>588000</v>
      </c>
      <c r="J6" s="22" t="n">
        <v>5000</v>
      </c>
      <c r="K6" s="22" t="n">
        <v>44475</v>
      </c>
      <c r="L6" s="22" t="n">
        <v>637475</v>
      </c>
      <c r="M6" s="6" t="s">
        <v>57</v>
      </c>
      <c r="N6" s="6" t="s">
        <v>58</v>
      </c>
      <c r="O6" s="6"/>
      <c r="P6" s="6" t="s">
        <v>69</v>
      </c>
      <c r="Q6" s="6" t="str">
        <f aca="false">IF(P6="pass","No","Yes")</f>
        <v>No</v>
      </c>
      <c r="R6" s="6" t="s">
        <v>60</v>
      </c>
      <c r="S6" s="6"/>
      <c r="T6" s="6"/>
      <c r="U6" s="23" t="n">
        <v>3.08</v>
      </c>
      <c r="V6" s="6" t="s">
        <v>3493</v>
      </c>
      <c r="W6" s="6" t="s">
        <v>3494</v>
      </c>
      <c r="X6" s="6" t="s">
        <v>3495</v>
      </c>
      <c r="Y6" s="6" t="s">
        <v>60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  <c r="AH6" s="6" t="n">
        <v>0</v>
      </c>
      <c r="AI6" s="6" t="s">
        <v>84</v>
      </c>
    </row>
    <row r="7" customFormat="false" ht="15" hidden="false" customHeight="false" outlineLevel="0" collapsed="false">
      <c r="A7" s="6" t="n">
        <v>6</v>
      </c>
      <c r="B7" s="6" t="s">
        <v>3496</v>
      </c>
      <c r="C7" s="6" t="n">
        <v>1</v>
      </c>
      <c r="D7" s="6" t="s">
        <v>127</v>
      </c>
      <c r="E7" s="6" t="s">
        <v>55</v>
      </c>
      <c r="F7" s="6" t="n">
        <v>3</v>
      </c>
      <c r="G7" s="6" t="n">
        <v>15</v>
      </c>
      <c r="H7" s="6" t="s">
        <v>3497</v>
      </c>
      <c r="I7" s="22" t="n">
        <v>556000</v>
      </c>
      <c r="J7" s="22" t="n">
        <v>6000</v>
      </c>
      <c r="K7" s="22" t="n">
        <v>42150</v>
      </c>
      <c r="L7" s="22" t="n">
        <v>604150</v>
      </c>
      <c r="M7" s="6" t="s">
        <v>57</v>
      </c>
      <c r="N7" s="6" t="s">
        <v>58</v>
      </c>
      <c r="O7" s="6"/>
      <c r="P7" s="6" t="s">
        <v>69</v>
      </c>
      <c r="Q7" s="6" t="str">
        <f aca="false">IF(P7="pass","No","Yes")</f>
        <v>No</v>
      </c>
      <c r="R7" s="6" t="s">
        <v>60</v>
      </c>
      <c r="S7" s="6"/>
      <c r="T7" s="6"/>
      <c r="U7" s="23" t="n">
        <v>3.328</v>
      </c>
      <c r="V7" s="6" t="s">
        <v>3498</v>
      </c>
      <c r="W7" s="6" t="s">
        <v>3499</v>
      </c>
      <c r="X7" s="6" t="s">
        <v>3500</v>
      </c>
      <c r="Y7" s="6" t="s">
        <v>60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  <c r="AF7" s="6" t="n">
        <v>0</v>
      </c>
      <c r="AG7" s="6" t="n">
        <v>0</v>
      </c>
      <c r="AH7" s="6" t="n">
        <v>0</v>
      </c>
      <c r="AI7" s="6" t="s">
        <v>84</v>
      </c>
    </row>
    <row r="8" customFormat="false" ht="15" hidden="false" customHeight="false" outlineLevel="0" collapsed="false">
      <c r="A8" s="6" t="n">
        <v>7</v>
      </c>
      <c r="B8" s="6" t="s">
        <v>3501</v>
      </c>
      <c r="C8" s="6" t="n">
        <v>1</v>
      </c>
      <c r="D8" s="6" t="s">
        <v>51</v>
      </c>
      <c r="E8" s="6" t="s">
        <v>55</v>
      </c>
      <c r="F8" s="6" t="n">
        <v>3</v>
      </c>
      <c r="G8" s="6" t="n">
        <v>37</v>
      </c>
      <c r="H8" s="6" t="s">
        <v>3502</v>
      </c>
      <c r="I8" s="22" t="n">
        <v>578000</v>
      </c>
      <c r="J8" s="22" t="n">
        <v>6000</v>
      </c>
      <c r="K8" s="22" t="n">
        <v>43800</v>
      </c>
      <c r="L8" s="22" t="n">
        <v>627800</v>
      </c>
      <c r="M8" s="6" t="s">
        <v>960</v>
      </c>
      <c r="N8" s="6" t="s">
        <v>84</v>
      </c>
      <c r="O8" s="6" t="s">
        <v>961</v>
      </c>
      <c r="P8" s="6" t="s">
        <v>85</v>
      </c>
      <c r="Q8" s="6" t="str">
        <f aca="false">IF(P8="pass","No","Yes")</f>
        <v>Yes</v>
      </c>
      <c r="R8" s="6" t="s">
        <v>86</v>
      </c>
      <c r="S8" s="6" t="s">
        <v>961</v>
      </c>
      <c r="T8" s="6" t="s">
        <v>962</v>
      </c>
      <c r="U8" s="23" t="n">
        <v>2.676</v>
      </c>
      <c r="V8" s="6" t="s">
        <v>3503</v>
      </c>
      <c r="W8" s="6" t="s">
        <v>3504</v>
      </c>
      <c r="X8" s="6" t="s">
        <v>3505</v>
      </c>
      <c r="Y8" s="6" t="s">
        <v>86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1</v>
      </c>
      <c r="AE8" s="6" t="n">
        <v>0</v>
      </c>
      <c r="AF8" s="6" t="n">
        <v>0</v>
      </c>
      <c r="AG8" s="6" t="n">
        <v>0</v>
      </c>
      <c r="AH8" s="6" t="n">
        <v>0</v>
      </c>
      <c r="AI8" s="6" t="s">
        <v>84</v>
      </c>
    </row>
    <row r="9" customFormat="false" ht="15" hidden="false" customHeight="false" outlineLevel="0" collapsed="false">
      <c r="A9" s="6" t="n">
        <v>8</v>
      </c>
      <c r="B9" s="6" t="s">
        <v>3506</v>
      </c>
      <c r="C9" s="6" t="n">
        <v>1</v>
      </c>
      <c r="D9" s="6" t="s">
        <v>105</v>
      </c>
      <c r="E9" s="6" t="s">
        <v>81</v>
      </c>
      <c r="F9" s="6" t="n">
        <v>4</v>
      </c>
      <c r="G9" s="6" t="n">
        <v>115</v>
      </c>
      <c r="H9" s="6" t="s">
        <v>3507</v>
      </c>
      <c r="I9" s="22" t="n">
        <v>2392500</v>
      </c>
      <c r="J9" s="22" t="n">
        <v>4000</v>
      </c>
      <c r="K9" s="22" t="n">
        <v>179737.5</v>
      </c>
      <c r="L9" s="22" t="n">
        <v>2576237.5</v>
      </c>
      <c r="M9" s="6" t="s">
        <v>1009</v>
      </c>
      <c r="N9" s="6" t="s">
        <v>58</v>
      </c>
      <c r="O9" s="6"/>
      <c r="P9" s="6" t="s">
        <v>69</v>
      </c>
      <c r="Q9" s="6" t="str">
        <f aca="false">IF(P9="pass","No","Yes")</f>
        <v>No</v>
      </c>
      <c r="R9" s="6" t="s">
        <v>60</v>
      </c>
      <c r="S9" s="6"/>
      <c r="T9" s="6"/>
      <c r="U9" s="23" t="n">
        <v>3.503</v>
      </c>
      <c r="V9" s="6" t="s">
        <v>3508</v>
      </c>
      <c r="W9" s="6" t="s">
        <v>3509</v>
      </c>
      <c r="X9" s="6" t="s">
        <v>3510</v>
      </c>
      <c r="Y9" s="6" t="s">
        <v>60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0</v>
      </c>
      <c r="AF9" s="6" t="n">
        <v>0</v>
      </c>
      <c r="AG9" s="6" t="n">
        <v>0</v>
      </c>
      <c r="AH9" s="6" t="n">
        <v>0</v>
      </c>
      <c r="AI9" s="6" t="s">
        <v>84</v>
      </c>
    </row>
    <row r="10" customFormat="false" ht="15" hidden="false" customHeight="false" outlineLevel="0" collapsed="false">
      <c r="A10" s="6" t="n">
        <v>9</v>
      </c>
      <c r="B10" s="6" t="s">
        <v>3511</v>
      </c>
      <c r="C10" s="6" t="n">
        <v>1</v>
      </c>
      <c r="D10" s="6" t="s">
        <v>142</v>
      </c>
      <c r="E10" s="6" t="s">
        <v>74</v>
      </c>
      <c r="F10" s="6" t="n">
        <v>3</v>
      </c>
      <c r="G10" s="6" t="n">
        <v>89</v>
      </c>
      <c r="H10" s="6" t="s">
        <v>3512</v>
      </c>
      <c r="I10" s="22" t="n">
        <v>1431000</v>
      </c>
      <c r="J10" s="22" t="n">
        <v>9000</v>
      </c>
      <c r="K10" s="22" t="n">
        <v>108000</v>
      </c>
      <c r="L10" s="22" t="n">
        <v>1548000</v>
      </c>
      <c r="M10" s="6" t="s">
        <v>57</v>
      </c>
      <c r="N10" s="6" t="s">
        <v>58</v>
      </c>
      <c r="O10" s="6"/>
      <c r="P10" s="6" t="s">
        <v>69</v>
      </c>
      <c r="Q10" s="6" t="str">
        <f aca="false">IF(P10="pass","No","Yes")</f>
        <v>No</v>
      </c>
      <c r="R10" s="6" t="s">
        <v>60</v>
      </c>
      <c r="S10" s="6"/>
      <c r="T10" s="6"/>
      <c r="U10" s="23" t="n">
        <v>3.365</v>
      </c>
      <c r="V10" s="6" t="s">
        <v>3513</v>
      </c>
      <c r="W10" s="6" t="s">
        <v>3514</v>
      </c>
      <c r="X10" s="6" t="s">
        <v>3515</v>
      </c>
      <c r="Y10" s="6" t="s">
        <v>60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0</v>
      </c>
      <c r="AI10" s="6" t="s">
        <v>84</v>
      </c>
    </row>
    <row r="11" customFormat="false" ht="15" hidden="false" customHeight="false" outlineLevel="0" collapsed="false">
      <c r="A11" s="6" t="n">
        <v>10</v>
      </c>
      <c r="B11" s="6" t="s">
        <v>3516</v>
      </c>
      <c r="C11" s="6" t="n">
        <v>1</v>
      </c>
      <c r="D11" s="6" t="s">
        <v>105</v>
      </c>
      <c r="E11" s="6" t="s">
        <v>81</v>
      </c>
      <c r="F11" s="6" t="n">
        <v>3</v>
      </c>
      <c r="G11" s="6" t="n">
        <v>202</v>
      </c>
      <c r="H11" s="6" t="s">
        <v>3517</v>
      </c>
      <c r="I11" s="22" t="n">
        <v>2400500</v>
      </c>
      <c r="J11" s="22" t="n">
        <v>4000</v>
      </c>
      <c r="K11" s="22" t="n">
        <v>180337.5</v>
      </c>
      <c r="L11" s="22" t="n">
        <v>2584837.5</v>
      </c>
      <c r="M11" s="6" t="s">
        <v>927</v>
      </c>
      <c r="N11" s="6" t="s">
        <v>58</v>
      </c>
      <c r="O11" s="6"/>
      <c r="P11" s="6" t="s">
        <v>59</v>
      </c>
      <c r="Q11" s="6" t="str">
        <f aca="false">IF(P11="pass","No","Yes")</f>
        <v>Yes</v>
      </c>
      <c r="R11" s="6" t="s">
        <v>60</v>
      </c>
      <c r="S11" s="6" t="s">
        <v>915</v>
      </c>
      <c r="T11" s="6" t="s">
        <v>3518</v>
      </c>
      <c r="U11" s="23" t="n">
        <v>6.79</v>
      </c>
      <c r="V11" s="6" t="s">
        <v>3519</v>
      </c>
      <c r="W11" s="6" t="s">
        <v>3520</v>
      </c>
      <c r="X11" s="6" t="s">
        <v>3521</v>
      </c>
      <c r="Y11" s="6" t="s">
        <v>60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1</v>
      </c>
      <c r="AI11" s="6" t="s">
        <v>84</v>
      </c>
    </row>
    <row r="12" customFormat="false" ht="15" hidden="false" customHeight="false" outlineLevel="0" collapsed="false">
      <c r="A12" s="6" t="n">
        <v>11</v>
      </c>
      <c r="B12" s="6" t="s">
        <v>3522</v>
      </c>
      <c r="C12" s="6" t="n">
        <v>1</v>
      </c>
      <c r="D12" s="6" t="s">
        <v>77</v>
      </c>
      <c r="E12" s="6" t="s">
        <v>81</v>
      </c>
      <c r="F12" s="6" t="n">
        <v>3</v>
      </c>
      <c r="G12" s="6" t="n">
        <v>168</v>
      </c>
      <c r="H12" s="6" t="s">
        <v>3523</v>
      </c>
      <c r="I12" s="22" t="n">
        <v>2110300</v>
      </c>
      <c r="J12" s="22" t="n">
        <v>4000</v>
      </c>
      <c r="K12" s="22" t="n">
        <v>158572.5</v>
      </c>
      <c r="L12" s="22" t="n">
        <v>2272872.5</v>
      </c>
      <c r="M12" s="6" t="s">
        <v>1009</v>
      </c>
      <c r="N12" s="6" t="s">
        <v>58</v>
      </c>
      <c r="O12" s="6"/>
      <c r="P12" s="6" t="s">
        <v>59</v>
      </c>
      <c r="Q12" s="6" t="str">
        <f aca="false">IF(P12="pass","No","Yes")</f>
        <v>Yes</v>
      </c>
      <c r="R12" s="6" t="s">
        <v>60</v>
      </c>
      <c r="S12" s="6" t="s">
        <v>915</v>
      </c>
      <c r="T12" s="6" t="s">
        <v>176</v>
      </c>
      <c r="U12" s="23" t="n">
        <v>6.681</v>
      </c>
      <c r="V12" s="6" t="s">
        <v>3524</v>
      </c>
      <c r="W12" s="6" t="s">
        <v>3525</v>
      </c>
      <c r="X12" s="6" t="s">
        <v>3526</v>
      </c>
      <c r="Y12" s="6" t="s">
        <v>60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  <c r="AH12" s="6" t="n">
        <v>1</v>
      </c>
      <c r="AI12" s="6" t="s">
        <v>84</v>
      </c>
    </row>
    <row r="13" customFormat="false" ht="15" hidden="false" customHeight="false" outlineLevel="0" collapsed="false">
      <c r="A13" s="6" t="n">
        <v>12</v>
      </c>
      <c r="B13" s="6" t="s">
        <v>3527</v>
      </c>
      <c r="C13" s="6" t="n">
        <v>1</v>
      </c>
      <c r="D13" s="6" t="s">
        <v>142</v>
      </c>
      <c r="E13" s="6" t="s">
        <v>74</v>
      </c>
      <c r="F13" s="6" t="n">
        <v>3</v>
      </c>
      <c r="G13" s="6" t="n">
        <v>89</v>
      </c>
      <c r="H13" s="6" t="s">
        <v>3512</v>
      </c>
      <c r="I13" s="22" t="n">
        <v>1431000</v>
      </c>
      <c r="J13" s="22" t="n">
        <v>9000</v>
      </c>
      <c r="K13" s="22" t="n">
        <v>108000</v>
      </c>
      <c r="L13" s="22" t="n">
        <v>1548000</v>
      </c>
      <c r="M13" s="6" t="s">
        <v>97</v>
      </c>
      <c r="N13" s="6" t="s">
        <v>84</v>
      </c>
      <c r="O13" s="6" t="s">
        <v>1185</v>
      </c>
      <c r="P13" s="6" t="s">
        <v>59</v>
      </c>
      <c r="Q13" s="6" t="str">
        <f aca="false">IF(P13="pass","No","Yes")</f>
        <v>Yes</v>
      </c>
      <c r="R13" s="6" t="s">
        <v>98</v>
      </c>
      <c r="S13" s="6" t="s">
        <v>1185</v>
      </c>
      <c r="T13" s="6" t="s">
        <v>3528</v>
      </c>
      <c r="U13" s="23" t="n">
        <v>2.338</v>
      </c>
      <c r="V13" s="6" t="s">
        <v>3529</v>
      </c>
      <c r="W13" s="6"/>
      <c r="X13" s="6" t="s">
        <v>3529</v>
      </c>
      <c r="Y13" s="6" t="s">
        <v>98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0</v>
      </c>
      <c r="AF13" s="6" t="n">
        <v>0</v>
      </c>
      <c r="AG13" s="6" t="n">
        <v>1</v>
      </c>
      <c r="AH13" s="6" t="n">
        <v>0</v>
      </c>
      <c r="AI13" s="6" t="s">
        <v>84</v>
      </c>
    </row>
    <row r="14" customFormat="false" ht="15" hidden="false" customHeight="false" outlineLevel="0" collapsed="false">
      <c r="A14" s="6" t="n">
        <v>13</v>
      </c>
      <c r="B14" s="6" t="s">
        <v>3530</v>
      </c>
      <c r="C14" s="6" t="n">
        <v>1</v>
      </c>
      <c r="D14" s="6" t="s">
        <v>112</v>
      </c>
      <c r="E14" s="6" t="s">
        <v>116</v>
      </c>
      <c r="F14" s="6" t="n">
        <v>2</v>
      </c>
      <c r="G14" s="6" t="n">
        <v>53</v>
      </c>
      <c r="H14" s="6" t="s">
        <v>3531</v>
      </c>
      <c r="I14" s="22" t="n">
        <v>410800</v>
      </c>
      <c r="J14" s="22" t="n">
        <v>15000</v>
      </c>
      <c r="K14" s="22" t="n">
        <v>31935</v>
      </c>
      <c r="L14" s="22" t="n">
        <v>457735</v>
      </c>
      <c r="M14" s="6" t="s">
        <v>171</v>
      </c>
      <c r="N14" s="6" t="s">
        <v>84</v>
      </c>
      <c r="O14" s="6" t="s">
        <v>892</v>
      </c>
      <c r="P14" s="6" t="s">
        <v>85</v>
      </c>
      <c r="Q14" s="6" t="str">
        <f aca="false">IF(P14="pass","No","Yes")</f>
        <v>Yes</v>
      </c>
      <c r="R14" s="6" t="s">
        <v>86</v>
      </c>
      <c r="S14" s="6" t="s">
        <v>892</v>
      </c>
      <c r="T14" s="6" t="s">
        <v>242</v>
      </c>
      <c r="U14" s="23" t="n">
        <v>2.877</v>
      </c>
      <c r="V14" s="6" t="s">
        <v>3532</v>
      </c>
      <c r="W14" s="6" t="s">
        <v>3533</v>
      </c>
      <c r="X14" s="6" t="s">
        <v>3534</v>
      </c>
      <c r="Y14" s="6" t="s">
        <v>86</v>
      </c>
      <c r="Z14" s="6" t="n">
        <v>0</v>
      </c>
      <c r="AA14" s="6" t="n">
        <v>0</v>
      </c>
      <c r="AB14" s="6" t="n">
        <v>0</v>
      </c>
      <c r="AC14" s="6" t="n">
        <v>1</v>
      </c>
      <c r="AD14" s="6" t="n">
        <v>0</v>
      </c>
      <c r="AE14" s="6" t="n">
        <v>0</v>
      </c>
      <c r="AF14" s="6" t="n">
        <v>0</v>
      </c>
      <c r="AG14" s="6" t="n">
        <v>0</v>
      </c>
      <c r="AH14" s="6" t="n">
        <v>0</v>
      </c>
      <c r="AI14" s="6" t="s">
        <v>84</v>
      </c>
    </row>
    <row r="15" customFormat="false" ht="15" hidden="false" customHeight="false" outlineLevel="0" collapsed="false">
      <c r="A15" s="6" t="n">
        <v>14</v>
      </c>
      <c r="B15" s="6" t="s">
        <v>3535</v>
      </c>
      <c r="C15" s="6" t="n">
        <v>1</v>
      </c>
      <c r="D15" s="6" t="s">
        <v>186</v>
      </c>
      <c r="E15" s="6" t="s">
        <v>146</v>
      </c>
      <c r="F15" s="6" t="n">
        <v>3</v>
      </c>
      <c r="G15" s="6" t="n">
        <v>61</v>
      </c>
      <c r="H15" s="6" t="s">
        <v>3536</v>
      </c>
      <c r="I15" s="22" t="n">
        <v>1036000</v>
      </c>
      <c r="J15" s="22" t="n">
        <v>0</v>
      </c>
      <c r="K15" s="22" t="n">
        <v>77700</v>
      </c>
      <c r="L15" s="22" t="n">
        <v>1113700</v>
      </c>
      <c r="M15" s="6" t="s">
        <v>148</v>
      </c>
      <c r="N15" s="6" t="s">
        <v>84</v>
      </c>
      <c r="O15" s="6" t="s">
        <v>866</v>
      </c>
      <c r="P15" s="6" t="s">
        <v>85</v>
      </c>
      <c r="Q15" s="6" t="str">
        <f aca="false">IF(P15="pass","No","Yes")</f>
        <v>Yes</v>
      </c>
      <c r="R15" s="6" t="s">
        <v>86</v>
      </c>
      <c r="S15" s="6" t="s">
        <v>866</v>
      </c>
      <c r="T15" s="6" t="s">
        <v>150</v>
      </c>
      <c r="U15" s="23" t="n">
        <v>2.926</v>
      </c>
      <c r="V15" s="6" t="s">
        <v>3537</v>
      </c>
      <c r="W15" s="6" t="s">
        <v>3538</v>
      </c>
      <c r="X15" s="6" t="s">
        <v>3539</v>
      </c>
      <c r="Y15" s="6" t="s">
        <v>86</v>
      </c>
      <c r="Z15" s="6" t="n">
        <v>1</v>
      </c>
      <c r="AA15" s="6" t="n">
        <v>0</v>
      </c>
      <c r="AB15" s="6" t="n">
        <v>0</v>
      </c>
      <c r="AC15" s="6" t="n">
        <v>0</v>
      </c>
      <c r="AD15" s="6" t="n">
        <v>0</v>
      </c>
      <c r="AE15" s="6" t="n">
        <v>0</v>
      </c>
      <c r="AF15" s="6" t="n">
        <v>0</v>
      </c>
      <c r="AG15" s="6" t="n">
        <v>0</v>
      </c>
      <c r="AH15" s="6" t="n">
        <v>0</v>
      </c>
      <c r="AI15" s="6" t="s">
        <v>84</v>
      </c>
    </row>
    <row r="16" customFormat="false" ht="15" hidden="false" customHeight="false" outlineLevel="0" collapsed="false">
      <c r="A16" s="6" t="n">
        <v>15</v>
      </c>
      <c r="B16" s="6" t="s">
        <v>3540</v>
      </c>
      <c r="C16" s="6" t="n">
        <v>1</v>
      </c>
      <c r="D16" s="6" t="s">
        <v>198</v>
      </c>
      <c r="E16" s="6" t="s">
        <v>81</v>
      </c>
      <c r="F16" s="6" t="n">
        <v>3</v>
      </c>
      <c r="G16" s="6" t="n">
        <v>176</v>
      </c>
      <c r="H16" s="6" t="s">
        <v>3541</v>
      </c>
      <c r="I16" s="22" t="n">
        <v>2091100</v>
      </c>
      <c r="J16" s="22" t="n">
        <v>4000</v>
      </c>
      <c r="K16" s="22" t="n">
        <v>157132.5</v>
      </c>
      <c r="L16" s="22" t="n">
        <v>2252232.5</v>
      </c>
      <c r="M16" s="6" t="s">
        <v>57</v>
      </c>
      <c r="N16" s="6" t="s">
        <v>58</v>
      </c>
      <c r="O16" s="6"/>
      <c r="P16" s="6" t="s">
        <v>59</v>
      </c>
      <c r="Q16" s="6" t="str">
        <f aca="false">IF(P16="pass","No","Yes")</f>
        <v>Yes</v>
      </c>
      <c r="R16" s="6" t="s">
        <v>60</v>
      </c>
      <c r="S16" s="6" t="s">
        <v>915</v>
      </c>
      <c r="T16" s="6" t="s">
        <v>125</v>
      </c>
      <c r="U16" s="23" t="n">
        <v>7.052</v>
      </c>
      <c r="V16" s="6" t="s">
        <v>3542</v>
      </c>
      <c r="W16" s="6" t="s">
        <v>3543</v>
      </c>
      <c r="X16" s="6" t="s">
        <v>3544</v>
      </c>
      <c r="Y16" s="6" t="s">
        <v>60</v>
      </c>
      <c r="Z16" s="6" t="n">
        <v>0</v>
      </c>
      <c r="AA16" s="6" t="n">
        <v>0</v>
      </c>
      <c r="AB16" s="6" t="n">
        <v>0</v>
      </c>
      <c r="AC16" s="6" t="n">
        <v>0</v>
      </c>
      <c r="AD16" s="6" t="n">
        <v>0</v>
      </c>
      <c r="AE16" s="6" t="n">
        <v>0</v>
      </c>
      <c r="AF16" s="6" t="n">
        <v>0</v>
      </c>
      <c r="AG16" s="6" t="n">
        <v>0</v>
      </c>
      <c r="AH16" s="6" t="n">
        <v>1</v>
      </c>
      <c r="AI16" s="6" t="s">
        <v>84</v>
      </c>
    </row>
    <row r="17" customFormat="false" ht="15" hidden="false" customHeight="false" outlineLevel="0" collapsed="false">
      <c r="A17" s="6" t="n">
        <v>16</v>
      </c>
      <c r="B17" s="6" t="s">
        <v>3545</v>
      </c>
      <c r="C17" s="6" t="n">
        <v>1</v>
      </c>
      <c r="D17" s="6" t="s">
        <v>154</v>
      </c>
      <c r="E17" s="6" t="s">
        <v>123</v>
      </c>
      <c r="F17" s="6" t="n">
        <v>3</v>
      </c>
      <c r="G17" s="6" t="n">
        <v>132</v>
      </c>
      <c r="H17" s="6" t="s">
        <v>3546</v>
      </c>
      <c r="I17" s="22" t="n">
        <v>1689700</v>
      </c>
      <c r="J17" s="22" t="n">
        <v>5000</v>
      </c>
      <c r="K17" s="22" t="n">
        <v>127102.5</v>
      </c>
      <c r="L17" s="22" t="n">
        <v>1821802.5</v>
      </c>
      <c r="M17" s="6" t="s">
        <v>57</v>
      </c>
      <c r="N17" s="6" t="s">
        <v>58</v>
      </c>
      <c r="O17" s="6"/>
      <c r="P17" s="6" t="s">
        <v>69</v>
      </c>
      <c r="Q17" s="6" t="str">
        <f aca="false">IF(P17="pass","No","Yes")</f>
        <v>No</v>
      </c>
      <c r="R17" s="6" t="s">
        <v>60</v>
      </c>
      <c r="S17" s="6"/>
      <c r="T17" s="6"/>
      <c r="U17" s="23" t="n">
        <v>3.678</v>
      </c>
      <c r="V17" s="6" t="s">
        <v>3547</v>
      </c>
      <c r="W17" s="6" t="s">
        <v>3548</v>
      </c>
      <c r="X17" s="6" t="s">
        <v>3549</v>
      </c>
      <c r="Y17" s="6" t="s">
        <v>60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0</v>
      </c>
      <c r="AE17" s="6" t="n">
        <v>0</v>
      </c>
      <c r="AF17" s="6" t="n">
        <v>0</v>
      </c>
      <c r="AG17" s="6" t="n">
        <v>0</v>
      </c>
      <c r="AH17" s="6" t="n">
        <v>0</v>
      </c>
      <c r="AI17" s="6" t="s">
        <v>84</v>
      </c>
    </row>
    <row r="18" customFormat="false" ht="15" hidden="false" customHeight="false" outlineLevel="0" collapsed="false">
      <c r="A18" s="6" t="n">
        <v>17</v>
      </c>
      <c r="B18" s="6" t="s">
        <v>3550</v>
      </c>
      <c r="C18" s="6" t="n">
        <v>1</v>
      </c>
      <c r="D18" s="6" t="s">
        <v>77</v>
      </c>
      <c r="E18" s="6" t="s">
        <v>81</v>
      </c>
      <c r="F18" s="6" t="n">
        <v>3</v>
      </c>
      <c r="G18" s="6" t="n">
        <v>74</v>
      </c>
      <c r="H18" s="6" t="s">
        <v>3551</v>
      </c>
      <c r="I18" s="22" t="n">
        <v>924700</v>
      </c>
      <c r="J18" s="22" t="n">
        <v>4000</v>
      </c>
      <c r="K18" s="22" t="n">
        <v>69652.5</v>
      </c>
      <c r="L18" s="22" t="n">
        <v>998352.5</v>
      </c>
      <c r="M18" s="6" t="s">
        <v>57</v>
      </c>
      <c r="N18" s="6" t="s">
        <v>58</v>
      </c>
      <c r="O18" s="6"/>
      <c r="P18" s="6" t="s">
        <v>69</v>
      </c>
      <c r="Q18" s="6" t="str">
        <f aca="false">IF(P18="pass","No","Yes")</f>
        <v>No</v>
      </c>
      <c r="R18" s="6" t="s">
        <v>60</v>
      </c>
      <c r="S18" s="6"/>
      <c r="T18" s="6"/>
      <c r="U18" s="23" t="n">
        <v>3.794</v>
      </c>
      <c r="V18" s="6" t="s">
        <v>3552</v>
      </c>
      <c r="W18" s="6" t="s">
        <v>3553</v>
      </c>
      <c r="X18" s="6" t="s">
        <v>3554</v>
      </c>
      <c r="Y18" s="6" t="s">
        <v>60</v>
      </c>
      <c r="Z18" s="6" t="n">
        <v>0</v>
      </c>
      <c r="AA18" s="6" t="n">
        <v>0</v>
      </c>
      <c r="AB18" s="6" t="n">
        <v>0</v>
      </c>
      <c r="AC18" s="6" t="n">
        <v>0</v>
      </c>
      <c r="AD18" s="6" t="n">
        <v>0</v>
      </c>
      <c r="AE18" s="6" t="n">
        <v>0</v>
      </c>
      <c r="AF18" s="6" t="n">
        <v>0</v>
      </c>
      <c r="AG18" s="6" t="n">
        <v>0</v>
      </c>
      <c r="AH18" s="6" t="n">
        <v>0</v>
      </c>
      <c r="AI18" s="6" t="s">
        <v>84</v>
      </c>
    </row>
    <row r="19" customFormat="false" ht="15" hidden="false" customHeight="false" outlineLevel="0" collapsed="false">
      <c r="A19" s="6" t="n">
        <v>18</v>
      </c>
      <c r="B19" s="6" t="s">
        <v>3555</v>
      </c>
      <c r="C19" s="6" t="n">
        <v>1</v>
      </c>
      <c r="D19" s="6" t="s">
        <v>154</v>
      </c>
      <c r="E19" s="6" t="s">
        <v>123</v>
      </c>
      <c r="F19" s="6" t="n">
        <v>4</v>
      </c>
      <c r="G19" s="6" t="n">
        <v>236</v>
      </c>
      <c r="H19" s="6" t="s">
        <v>3556</v>
      </c>
      <c r="I19" s="22" t="n">
        <v>2633200</v>
      </c>
      <c r="J19" s="22" t="n">
        <v>5000</v>
      </c>
      <c r="K19" s="22" t="n">
        <v>197865</v>
      </c>
      <c r="L19" s="22" t="n">
        <v>2836065</v>
      </c>
      <c r="M19" s="6" t="s">
        <v>927</v>
      </c>
      <c r="N19" s="6" t="s">
        <v>58</v>
      </c>
      <c r="O19" s="6"/>
      <c r="P19" s="6" t="s">
        <v>59</v>
      </c>
      <c r="Q19" s="6" t="str">
        <f aca="false">IF(P19="pass","No","Yes")</f>
        <v>Yes</v>
      </c>
      <c r="R19" s="6" t="s">
        <v>60</v>
      </c>
      <c r="S19" s="6" t="s">
        <v>915</v>
      </c>
      <c r="T19" s="6" t="s">
        <v>1026</v>
      </c>
      <c r="U19" s="23" t="n">
        <v>7.675</v>
      </c>
      <c r="V19" s="6" t="s">
        <v>3557</v>
      </c>
      <c r="W19" s="6" t="s">
        <v>3558</v>
      </c>
      <c r="X19" s="6" t="s">
        <v>3559</v>
      </c>
      <c r="Y19" s="6" t="s">
        <v>60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0</v>
      </c>
      <c r="AF19" s="6" t="n">
        <v>0</v>
      </c>
      <c r="AG19" s="6" t="n">
        <v>0</v>
      </c>
      <c r="AH19" s="6" t="n">
        <v>1</v>
      </c>
      <c r="AI19" s="6" t="s">
        <v>84</v>
      </c>
    </row>
    <row r="20" customFormat="false" ht="15" hidden="false" customHeight="false" outlineLevel="0" collapsed="false">
      <c r="A20" s="6" t="n">
        <v>19</v>
      </c>
      <c r="B20" s="6" t="s">
        <v>3560</v>
      </c>
      <c r="C20" s="6" t="n">
        <v>1</v>
      </c>
      <c r="D20" s="6" t="s">
        <v>100</v>
      </c>
      <c r="E20" s="6" t="s">
        <v>67</v>
      </c>
      <c r="F20" s="6" t="n">
        <v>2</v>
      </c>
      <c r="G20" s="6" t="n">
        <v>115</v>
      </c>
      <c r="H20" s="6" t="s">
        <v>3561</v>
      </c>
      <c r="I20" s="22" t="n">
        <v>1290000</v>
      </c>
      <c r="J20" s="22" t="n">
        <v>4500</v>
      </c>
      <c r="K20" s="22" t="n">
        <v>97087.5</v>
      </c>
      <c r="L20" s="22" t="n">
        <v>1391587.5</v>
      </c>
      <c r="M20" s="6" t="s">
        <v>57</v>
      </c>
      <c r="N20" s="6" t="s">
        <v>58</v>
      </c>
      <c r="O20" s="6"/>
      <c r="P20" s="6" t="s">
        <v>59</v>
      </c>
      <c r="Q20" s="6" t="str">
        <f aca="false">IF(P20="pass","No","Yes")</f>
        <v>Yes</v>
      </c>
      <c r="R20" s="6" t="s">
        <v>60</v>
      </c>
      <c r="S20" s="6" t="s">
        <v>915</v>
      </c>
      <c r="T20" s="6" t="s">
        <v>3562</v>
      </c>
      <c r="U20" s="23" t="n">
        <v>7.084</v>
      </c>
      <c r="V20" s="6" t="s">
        <v>3563</v>
      </c>
      <c r="W20" s="6" t="s">
        <v>3564</v>
      </c>
      <c r="X20" s="6" t="s">
        <v>3565</v>
      </c>
      <c r="Y20" s="6" t="s">
        <v>60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0</v>
      </c>
      <c r="AF20" s="6" t="n">
        <v>0</v>
      </c>
      <c r="AG20" s="6" t="n">
        <v>0</v>
      </c>
      <c r="AH20" s="6" t="n">
        <v>1</v>
      </c>
      <c r="AI20" s="6" t="s">
        <v>84</v>
      </c>
    </row>
    <row r="21" customFormat="false" ht="15" hidden="false" customHeight="false" outlineLevel="0" collapsed="false">
      <c r="A21" s="6" t="n">
        <v>20</v>
      </c>
      <c r="B21" s="6" t="s">
        <v>3566</v>
      </c>
      <c r="C21" s="6" t="n">
        <v>1</v>
      </c>
      <c r="D21" s="6" t="s">
        <v>191</v>
      </c>
      <c r="E21" s="6" t="s">
        <v>146</v>
      </c>
      <c r="F21" s="6" t="n">
        <v>1</v>
      </c>
      <c r="G21" s="6" t="n">
        <v>51</v>
      </c>
      <c r="H21" s="6" t="s">
        <v>3567</v>
      </c>
      <c r="I21" s="22" t="n">
        <v>438600</v>
      </c>
      <c r="J21" s="22" t="n">
        <v>0</v>
      </c>
      <c r="K21" s="22" t="n">
        <v>32895</v>
      </c>
      <c r="L21" s="22" t="n">
        <v>471495</v>
      </c>
      <c r="M21" s="6" t="s">
        <v>148</v>
      </c>
      <c r="N21" s="6" t="s">
        <v>84</v>
      </c>
      <c r="O21" s="6" t="s">
        <v>866</v>
      </c>
      <c r="P21" s="6" t="s">
        <v>85</v>
      </c>
      <c r="Q21" s="6" t="str">
        <f aca="false">IF(P21="pass","No","Yes")</f>
        <v>Yes</v>
      </c>
      <c r="R21" s="6" t="s">
        <v>86</v>
      </c>
      <c r="S21" s="6" t="s">
        <v>866</v>
      </c>
      <c r="T21" s="6" t="s">
        <v>150</v>
      </c>
      <c r="U21" s="23" t="n">
        <v>2.688</v>
      </c>
      <c r="V21" s="6" t="s">
        <v>3568</v>
      </c>
      <c r="W21" s="6" t="s">
        <v>3569</v>
      </c>
      <c r="X21" s="6" t="s">
        <v>3570</v>
      </c>
      <c r="Y21" s="6" t="s">
        <v>86</v>
      </c>
      <c r="Z21" s="6" t="n">
        <v>1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0</v>
      </c>
      <c r="AF21" s="6" t="n">
        <v>0</v>
      </c>
      <c r="AG21" s="6" t="n">
        <v>0</v>
      </c>
      <c r="AH21" s="6" t="n">
        <v>0</v>
      </c>
      <c r="AI21" s="6" t="s">
        <v>84</v>
      </c>
    </row>
    <row r="22" customFormat="false" ht="15" hidden="false" customHeight="false" outlineLevel="0" collapsed="false">
      <c r="A22" s="6" t="n">
        <v>21</v>
      </c>
      <c r="B22" s="6" t="s">
        <v>3571</v>
      </c>
      <c r="C22" s="6" t="n">
        <v>1</v>
      </c>
      <c r="D22" s="6" t="s">
        <v>119</v>
      </c>
      <c r="E22" s="6" t="s">
        <v>123</v>
      </c>
      <c r="F22" s="6" t="n">
        <v>3</v>
      </c>
      <c r="G22" s="6" t="n">
        <v>160</v>
      </c>
      <c r="H22" s="6" t="s">
        <v>3572</v>
      </c>
      <c r="I22" s="22" t="n">
        <v>1745700</v>
      </c>
      <c r="J22" s="22" t="n">
        <v>5000</v>
      </c>
      <c r="K22" s="22" t="n">
        <v>131302.5</v>
      </c>
      <c r="L22" s="22" t="n">
        <v>1882002.5</v>
      </c>
      <c r="M22" s="6" t="s">
        <v>57</v>
      </c>
      <c r="N22" s="6" t="s">
        <v>58</v>
      </c>
      <c r="O22" s="6"/>
      <c r="P22" s="6" t="s">
        <v>59</v>
      </c>
      <c r="Q22" s="6" t="str">
        <f aca="false">IF(P22="pass","No","Yes")</f>
        <v>Yes</v>
      </c>
      <c r="R22" s="6" t="s">
        <v>60</v>
      </c>
      <c r="S22" s="6" t="s">
        <v>915</v>
      </c>
      <c r="T22" s="6" t="s">
        <v>3573</v>
      </c>
      <c r="U22" s="23" t="n">
        <v>7.357</v>
      </c>
      <c r="V22" s="6" t="s">
        <v>3574</v>
      </c>
      <c r="W22" s="6" t="s">
        <v>3575</v>
      </c>
      <c r="X22" s="6" t="s">
        <v>3576</v>
      </c>
      <c r="Y22" s="6" t="s">
        <v>60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  <c r="AF22" s="6" t="n">
        <v>0</v>
      </c>
      <c r="AG22" s="6" t="n">
        <v>0</v>
      </c>
      <c r="AH22" s="6" t="n">
        <v>1</v>
      </c>
      <c r="AI22" s="6" t="s">
        <v>84</v>
      </c>
    </row>
    <row r="23" customFormat="false" ht="15" hidden="false" customHeight="false" outlineLevel="0" collapsed="false">
      <c r="A23" s="6" t="n">
        <v>22</v>
      </c>
      <c r="B23" s="6" t="s">
        <v>3577</v>
      </c>
      <c r="C23" s="6" t="n">
        <v>1</v>
      </c>
      <c r="D23" s="6" t="s">
        <v>186</v>
      </c>
      <c r="E23" s="6" t="s">
        <v>123</v>
      </c>
      <c r="F23" s="6" t="n">
        <v>2</v>
      </c>
      <c r="G23" s="6" t="n">
        <v>43</v>
      </c>
      <c r="H23" s="6" t="s">
        <v>3578</v>
      </c>
      <c r="I23" s="22" t="n">
        <v>612700</v>
      </c>
      <c r="J23" s="22" t="n">
        <v>5000</v>
      </c>
      <c r="K23" s="22" t="n">
        <v>46327.5</v>
      </c>
      <c r="L23" s="22" t="n">
        <v>664027.5</v>
      </c>
      <c r="M23" s="6" t="s">
        <v>83</v>
      </c>
      <c r="N23" s="6" t="s">
        <v>84</v>
      </c>
      <c r="O23" s="6" t="s">
        <v>886</v>
      </c>
      <c r="P23" s="6" t="s">
        <v>85</v>
      </c>
      <c r="Q23" s="6" t="str">
        <f aca="false">IF(P23="pass","No","Yes")</f>
        <v>Yes</v>
      </c>
      <c r="R23" s="6" t="s">
        <v>86</v>
      </c>
      <c r="S23" s="6" t="s">
        <v>886</v>
      </c>
      <c r="T23" s="6" t="s">
        <v>290</v>
      </c>
      <c r="U23" s="23" t="n">
        <v>3.079</v>
      </c>
      <c r="V23" s="6" t="s">
        <v>3579</v>
      </c>
      <c r="W23" s="6" t="s">
        <v>3580</v>
      </c>
      <c r="X23" s="6" t="s">
        <v>3581</v>
      </c>
      <c r="Y23" s="6" t="s">
        <v>86</v>
      </c>
      <c r="Z23" s="6" t="n">
        <v>0</v>
      </c>
      <c r="AA23" s="6" t="n">
        <v>0</v>
      </c>
      <c r="AB23" s="6" t="n">
        <v>1</v>
      </c>
      <c r="AC23" s="6" t="n">
        <v>0</v>
      </c>
      <c r="AD23" s="6" t="n">
        <v>0</v>
      </c>
      <c r="AE23" s="6" t="n">
        <v>0</v>
      </c>
      <c r="AF23" s="6" t="n">
        <v>0</v>
      </c>
      <c r="AG23" s="6" t="n">
        <v>0</v>
      </c>
      <c r="AH23" s="6" t="n">
        <v>0</v>
      </c>
      <c r="AI23" s="6" t="s">
        <v>84</v>
      </c>
    </row>
    <row r="24" customFormat="false" ht="15" hidden="false" customHeight="false" outlineLevel="0" collapsed="false">
      <c r="A24" s="6" t="n">
        <v>23</v>
      </c>
      <c r="B24" s="6" t="s">
        <v>3582</v>
      </c>
      <c r="C24" s="6" t="n">
        <v>1</v>
      </c>
      <c r="D24" s="6" t="s">
        <v>119</v>
      </c>
      <c r="E24" s="6" t="s">
        <v>123</v>
      </c>
      <c r="F24" s="6" t="n">
        <v>1</v>
      </c>
      <c r="G24" s="6" t="n">
        <v>14</v>
      </c>
      <c r="H24" s="6" t="s">
        <v>3583</v>
      </c>
      <c r="I24" s="22" t="n">
        <v>532000</v>
      </c>
      <c r="J24" s="22" t="n">
        <v>5000</v>
      </c>
      <c r="K24" s="22" t="n">
        <v>40275</v>
      </c>
      <c r="L24" s="22" t="n">
        <v>577275</v>
      </c>
      <c r="M24" s="6" t="s">
        <v>1042</v>
      </c>
      <c r="N24" s="6" t="s">
        <v>58</v>
      </c>
      <c r="O24" s="6"/>
      <c r="P24" s="6" t="s">
        <v>69</v>
      </c>
      <c r="Q24" s="6" t="str">
        <f aca="false">IF(P24="pass","No","Yes")</f>
        <v>No</v>
      </c>
      <c r="R24" s="6" t="s">
        <v>60</v>
      </c>
      <c r="S24" s="6"/>
      <c r="T24" s="6"/>
      <c r="U24" s="23" t="n">
        <v>3.404</v>
      </c>
      <c r="V24" s="6" t="s">
        <v>3584</v>
      </c>
      <c r="W24" s="6" t="s">
        <v>3585</v>
      </c>
      <c r="X24" s="6" t="s">
        <v>3586</v>
      </c>
      <c r="Y24" s="6" t="s">
        <v>60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0</v>
      </c>
      <c r="AF24" s="6" t="n">
        <v>0</v>
      </c>
      <c r="AG24" s="6" t="n">
        <v>0</v>
      </c>
      <c r="AH24" s="6" t="n">
        <v>0</v>
      </c>
      <c r="AI24" s="6" t="s">
        <v>84</v>
      </c>
    </row>
    <row r="25" customFormat="false" ht="15" hidden="false" customHeight="false" outlineLevel="0" collapsed="false">
      <c r="A25" s="6" t="n">
        <v>24</v>
      </c>
      <c r="B25" s="6" t="s">
        <v>3587</v>
      </c>
      <c r="C25" s="6" t="n">
        <v>1</v>
      </c>
      <c r="D25" s="6" t="s">
        <v>186</v>
      </c>
      <c r="E25" s="6" t="s">
        <v>123</v>
      </c>
      <c r="F25" s="6" t="n">
        <v>2</v>
      </c>
      <c r="G25" s="6" t="n">
        <v>10</v>
      </c>
      <c r="H25" s="6" t="s">
        <v>3588</v>
      </c>
      <c r="I25" s="22" t="n">
        <v>310000</v>
      </c>
      <c r="J25" s="22" t="n">
        <v>5000</v>
      </c>
      <c r="K25" s="22" t="n">
        <v>23625</v>
      </c>
      <c r="L25" s="22" t="n">
        <v>338625</v>
      </c>
      <c r="M25" s="6" t="s">
        <v>272</v>
      </c>
      <c r="N25" s="6" t="s">
        <v>84</v>
      </c>
      <c r="O25" s="6" t="s">
        <v>879</v>
      </c>
      <c r="P25" s="6" t="s">
        <v>85</v>
      </c>
      <c r="Q25" s="6" t="str">
        <f aca="false">IF(P25="pass","No","Yes")</f>
        <v>Yes</v>
      </c>
      <c r="R25" s="6" t="s">
        <v>86</v>
      </c>
      <c r="S25" s="6" t="s">
        <v>879</v>
      </c>
      <c r="T25" s="6" t="s">
        <v>3589</v>
      </c>
      <c r="U25" s="23" t="n">
        <v>2.98</v>
      </c>
      <c r="V25" s="6" t="s">
        <v>3590</v>
      </c>
      <c r="W25" s="6" t="s">
        <v>3591</v>
      </c>
      <c r="X25" s="6" t="s">
        <v>3592</v>
      </c>
      <c r="Y25" s="6" t="s">
        <v>86</v>
      </c>
      <c r="Z25" s="6" t="n">
        <v>0</v>
      </c>
      <c r="AA25" s="6" t="n">
        <v>1</v>
      </c>
      <c r="AB25" s="6" t="n">
        <v>0</v>
      </c>
      <c r="AC25" s="6" t="n">
        <v>0</v>
      </c>
      <c r="AD25" s="6" t="n">
        <v>0</v>
      </c>
      <c r="AE25" s="6" t="n">
        <v>0</v>
      </c>
      <c r="AF25" s="6" t="n">
        <v>0</v>
      </c>
      <c r="AG25" s="6" t="n">
        <v>0</v>
      </c>
      <c r="AH25" s="6" t="n">
        <v>0</v>
      </c>
      <c r="AI25" s="6" t="s">
        <v>84</v>
      </c>
    </row>
    <row r="26" customFormat="false" ht="15" hidden="false" customHeight="false" outlineLevel="0" collapsed="false">
      <c r="A26" s="6" t="n">
        <v>25</v>
      </c>
      <c r="B26" s="6" t="s">
        <v>3593</v>
      </c>
      <c r="C26" s="6" t="n">
        <v>1</v>
      </c>
      <c r="D26" s="6" t="s">
        <v>100</v>
      </c>
      <c r="E26" s="6" t="s">
        <v>67</v>
      </c>
      <c r="F26" s="6" t="n">
        <v>4</v>
      </c>
      <c r="G26" s="6" t="n">
        <v>90</v>
      </c>
      <c r="H26" s="6" t="s">
        <v>3594</v>
      </c>
      <c r="I26" s="22" t="n">
        <v>1400600</v>
      </c>
      <c r="J26" s="22" t="n">
        <v>4500</v>
      </c>
      <c r="K26" s="22" t="n">
        <v>105382.5</v>
      </c>
      <c r="L26" s="22" t="n">
        <v>1510482.5</v>
      </c>
      <c r="M26" s="6" t="s">
        <v>83</v>
      </c>
      <c r="N26" s="6" t="s">
        <v>84</v>
      </c>
      <c r="O26" s="6" t="s">
        <v>886</v>
      </c>
      <c r="P26" s="6" t="s">
        <v>85</v>
      </c>
      <c r="Q26" s="6" t="str">
        <f aca="false">IF(P26="pass","No","Yes")</f>
        <v>Yes</v>
      </c>
      <c r="R26" s="6" t="s">
        <v>86</v>
      </c>
      <c r="S26" s="6" t="s">
        <v>886</v>
      </c>
      <c r="T26" s="6" t="s">
        <v>438</v>
      </c>
      <c r="U26" s="23" t="n">
        <v>3.956</v>
      </c>
      <c r="V26" s="6" t="s">
        <v>3595</v>
      </c>
      <c r="W26" s="6" t="s">
        <v>3596</v>
      </c>
      <c r="X26" s="6" t="s">
        <v>3597</v>
      </c>
      <c r="Y26" s="6" t="s">
        <v>86</v>
      </c>
      <c r="Z26" s="6" t="n">
        <v>0</v>
      </c>
      <c r="AA26" s="6" t="n">
        <v>0</v>
      </c>
      <c r="AB26" s="6" t="n">
        <v>1</v>
      </c>
      <c r="AC26" s="6" t="n">
        <v>0</v>
      </c>
      <c r="AD26" s="6" t="n">
        <v>0</v>
      </c>
      <c r="AE26" s="6" t="n">
        <v>0</v>
      </c>
      <c r="AF26" s="6" t="n">
        <v>0</v>
      </c>
      <c r="AG26" s="6" t="n">
        <v>0</v>
      </c>
      <c r="AH26" s="6" t="n">
        <v>0</v>
      </c>
      <c r="AI26" s="6" t="s">
        <v>84</v>
      </c>
    </row>
    <row r="27" customFormat="false" ht="15" hidden="false" customHeight="false" outlineLevel="0" collapsed="false">
      <c r="A27" s="6" t="n">
        <v>26</v>
      </c>
      <c r="B27" s="6" t="s">
        <v>3598</v>
      </c>
      <c r="C27" s="6" t="n">
        <v>1</v>
      </c>
      <c r="D27" s="6" t="s">
        <v>77</v>
      </c>
      <c r="E27" s="6" t="s">
        <v>81</v>
      </c>
      <c r="F27" s="6" t="n">
        <v>3</v>
      </c>
      <c r="G27" s="6" t="n">
        <v>31</v>
      </c>
      <c r="H27" s="6" t="s">
        <v>3599</v>
      </c>
      <c r="I27" s="22" t="n">
        <v>1068200</v>
      </c>
      <c r="J27" s="22" t="n">
        <v>4000</v>
      </c>
      <c r="K27" s="22" t="n">
        <v>80415</v>
      </c>
      <c r="L27" s="22" t="n">
        <v>1152615</v>
      </c>
      <c r="M27" s="6" t="s">
        <v>984</v>
      </c>
      <c r="N27" s="6" t="s">
        <v>84</v>
      </c>
      <c r="O27" s="6" t="s">
        <v>985</v>
      </c>
      <c r="P27" s="6" t="s">
        <v>85</v>
      </c>
      <c r="Q27" s="6" t="str">
        <f aca="false">IF(P27="pass","No","Yes")</f>
        <v>Yes</v>
      </c>
      <c r="R27" s="6" t="s">
        <v>86</v>
      </c>
      <c r="S27" s="6" t="s">
        <v>985</v>
      </c>
      <c r="T27" s="6" t="s">
        <v>3600</v>
      </c>
      <c r="U27" s="23" t="n">
        <v>3.911</v>
      </c>
      <c r="V27" s="6" t="s">
        <v>3601</v>
      </c>
      <c r="W27" s="6" t="s">
        <v>3602</v>
      </c>
      <c r="X27" s="6" t="s">
        <v>3603</v>
      </c>
      <c r="Y27" s="6" t="s">
        <v>86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1</v>
      </c>
      <c r="AF27" s="6" t="n">
        <v>0</v>
      </c>
      <c r="AG27" s="6" t="n">
        <v>0</v>
      </c>
      <c r="AH27" s="6" t="n">
        <v>0</v>
      </c>
      <c r="AI27" s="6" t="s">
        <v>84</v>
      </c>
    </row>
    <row r="28" customFormat="false" ht="15" hidden="false" customHeight="false" outlineLevel="0" collapsed="false">
      <c r="A28" s="6" t="n">
        <v>27</v>
      </c>
      <c r="B28" s="6" t="s">
        <v>3604</v>
      </c>
      <c r="C28" s="6" t="n">
        <v>1</v>
      </c>
      <c r="D28" s="6" t="s">
        <v>166</v>
      </c>
      <c r="E28" s="6" t="s">
        <v>74</v>
      </c>
      <c r="F28" s="6" t="n">
        <v>3</v>
      </c>
      <c r="G28" s="6" t="n">
        <v>74</v>
      </c>
      <c r="H28" s="6" t="s">
        <v>3605</v>
      </c>
      <c r="I28" s="22" t="n">
        <v>1055600</v>
      </c>
      <c r="J28" s="22" t="n">
        <v>9000</v>
      </c>
      <c r="K28" s="22" t="n">
        <v>79845</v>
      </c>
      <c r="L28" s="22" t="n">
        <v>1144445</v>
      </c>
      <c r="M28" s="6" t="s">
        <v>57</v>
      </c>
      <c r="N28" s="6" t="s">
        <v>58</v>
      </c>
      <c r="O28" s="6"/>
      <c r="P28" s="6" t="s">
        <v>69</v>
      </c>
      <c r="Q28" s="6" t="str">
        <f aca="false">IF(P28="pass","No","Yes")</f>
        <v>No</v>
      </c>
      <c r="R28" s="6" t="s">
        <v>60</v>
      </c>
      <c r="S28" s="6"/>
      <c r="T28" s="6"/>
      <c r="U28" s="23" t="n">
        <v>7.926</v>
      </c>
      <c r="V28" s="6" t="s">
        <v>3606</v>
      </c>
      <c r="W28" s="6" t="s">
        <v>3607</v>
      </c>
      <c r="X28" s="6" t="s">
        <v>3608</v>
      </c>
      <c r="Y28" s="6" t="s">
        <v>60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0</v>
      </c>
      <c r="AF28" s="6" t="n">
        <v>0</v>
      </c>
      <c r="AG28" s="6" t="n">
        <v>0</v>
      </c>
      <c r="AH28" s="6" t="n">
        <v>0</v>
      </c>
      <c r="AI28" s="6" t="s">
        <v>84</v>
      </c>
    </row>
    <row r="29" customFormat="false" ht="15" hidden="false" customHeight="false" outlineLevel="0" collapsed="false">
      <c r="A29" s="6" t="n">
        <v>28</v>
      </c>
      <c r="B29" s="6" t="s">
        <v>3609</v>
      </c>
      <c r="C29" s="6" t="n">
        <v>1</v>
      </c>
      <c r="D29" s="6" t="s">
        <v>154</v>
      </c>
      <c r="E29" s="6" t="s">
        <v>123</v>
      </c>
      <c r="F29" s="6" t="n">
        <v>2</v>
      </c>
      <c r="G29" s="6" t="n">
        <v>20</v>
      </c>
      <c r="H29" s="6" t="s">
        <v>3610</v>
      </c>
      <c r="I29" s="22" t="n">
        <v>683000</v>
      </c>
      <c r="J29" s="22" t="n">
        <v>5000</v>
      </c>
      <c r="K29" s="22" t="n">
        <v>51600</v>
      </c>
      <c r="L29" s="22" t="n">
        <v>739600</v>
      </c>
      <c r="M29" s="6" t="s">
        <v>224</v>
      </c>
      <c r="N29" s="6" t="s">
        <v>84</v>
      </c>
      <c r="O29" s="6" t="s">
        <v>866</v>
      </c>
      <c r="P29" s="6" t="s">
        <v>85</v>
      </c>
      <c r="Q29" s="6" t="str">
        <f aca="false">IF(P29="pass","No","Yes")</f>
        <v>Yes</v>
      </c>
      <c r="R29" s="6" t="s">
        <v>86</v>
      </c>
      <c r="S29" s="6" t="s">
        <v>866</v>
      </c>
      <c r="T29" s="6" t="s">
        <v>225</v>
      </c>
      <c r="U29" s="23" t="n">
        <v>3.777</v>
      </c>
      <c r="V29" s="6" t="s">
        <v>3611</v>
      </c>
      <c r="W29" s="6" t="s">
        <v>3612</v>
      </c>
      <c r="X29" s="6" t="s">
        <v>3613</v>
      </c>
      <c r="Y29" s="6" t="s">
        <v>86</v>
      </c>
      <c r="Z29" s="6" t="n">
        <v>1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0</v>
      </c>
      <c r="AF29" s="6" t="n">
        <v>0</v>
      </c>
      <c r="AG29" s="6" t="n">
        <v>0</v>
      </c>
      <c r="AH29" s="6" t="n">
        <v>0</v>
      </c>
      <c r="AI29" s="6" t="s">
        <v>58</v>
      </c>
    </row>
    <row r="30" customFormat="false" ht="15" hidden="false" customHeight="false" outlineLevel="0" collapsed="false">
      <c r="A30" s="6" t="n">
        <v>29</v>
      </c>
      <c r="B30" s="6" t="s">
        <v>3614</v>
      </c>
      <c r="C30" s="6" t="n">
        <v>1</v>
      </c>
      <c r="D30" s="6" t="s">
        <v>77</v>
      </c>
      <c r="E30" s="6" t="s">
        <v>81</v>
      </c>
      <c r="F30" s="6" t="n">
        <v>2</v>
      </c>
      <c r="G30" s="6" t="n">
        <v>76</v>
      </c>
      <c r="H30" s="6" t="s">
        <v>3615</v>
      </c>
      <c r="I30" s="22" t="n">
        <v>881400</v>
      </c>
      <c r="J30" s="22" t="n">
        <v>4000</v>
      </c>
      <c r="K30" s="22" t="n">
        <v>66405</v>
      </c>
      <c r="L30" s="22" t="n">
        <v>951805</v>
      </c>
      <c r="M30" s="6" t="s">
        <v>57</v>
      </c>
      <c r="N30" s="6" t="s">
        <v>58</v>
      </c>
      <c r="O30" s="6"/>
      <c r="P30" s="6" t="s">
        <v>69</v>
      </c>
      <c r="Q30" s="6" t="str">
        <f aca="false">IF(P30="pass","No","Yes")</f>
        <v>No</v>
      </c>
      <c r="R30" s="6" t="s">
        <v>60</v>
      </c>
      <c r="S30" s="6"/>
      <c r="T30" s="6"/>
      <c r="U30" s="23" t="n">
        <v>3.976</v>
      </c>
      <c r="V30" s="6" t="s">
        <v>3616</v>
      </c>
      <c r="W30" s="6" t="s">
        <v>3617</v>
      </c>
      <c r="X30" s="6" t="s">
        <v>3618</v>
      </c>
      <c r="Y30" s="6" t="s">
        <v>60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0</v>
      </c>
      <c r="AF30" s="6" t="n">
        <v>0</v>
      </c>
      <c r="AG30" s="6" t="n">
        <v>0</v>
      </c>
      <c r="AH30" s="6" t="n">
        <v>0</v>
      </c>
      <c r="AI30" s="6" t="s">
        <v>84</v>
      </c>
    </row>
    <row r="31" customFormat="false" ht="15" hidden="false" customHeight="false" outlineLevel="0" collapsed="false">
      <c r="A31" s="6" t="n">
        <v>30</v>
      </c>
      <c r="B31" s="6" t="s">
        <v>3619</v>
      </c>
      <c r="C31" s="6" t="n">
        <v>1</v>
      </c>
      <c r="D31" s="6" t="s">
        <v>89</v>
      </c>
      <c r="E31" s="6" t="s">
        <v>67</v>
      </c>
      <c r="F31" s="6" t="n">
        <v>2</v>
      </c>
      <c r="G31" s="6" t="n">
        <v>25</v>
      </c>
      <c r="H31" s="6" t="s">
        <v>3620</v>
      </c>
      <c r="I31" s="22" t="n">
        <v>452200</v>
      </c>
      <c r="J31" s="22" t="n">
        <v>4500</v>
      </c>
      <c r="K31" s="22" t="n">
        <v>34252.5</v>
      </c>
      <c r="L31" s="22" t="n">
        <v>490952.5</v>
      </c>
      <c r="M31" s="6" t="s">
        <v>57</v>
      </c>
      <c r="N31" s="6" t="s">
        <v>58</v>
      </c>
      <c r="O31" s="6"/>
      <c r="P31" s="6" t="s">
        <v>69</v>
      </c>
      <c r="Q31" s="6" t="str">
        <f aca="false">IF(P31="pass","No","Yes")</f>
        <v>No</v>
      </c>
      <c r="R31" s="6" t="s">
        <v>60</v>
      </c>
      <c r="S31" s="6"/>
      <c r="T31" s="6"/>
      <c r="U31" s="23" t="n">
        <v>3.844</v>
      </c>
      <c r="V31" s="6" t="s">
        <v>3621</v>
      </c>
      <c r="W31" s="6" t="s">
        <v>3622</v>
      </c>
      <c r="X31" s="6" t="s">
        <v>3623</v>
      </c>
      <c r="Y31" s="6" t="s">
        <v>60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0</v>
      </c>
      <c r="AF31" s="6" t="n">
        <v>0</v>
      </c>
      <c r="AG31" s="6" t="n">
        <v>0</v>
      </c>
      <c r="AH31" s="6" t="n">
        <v>0</v>
      </c>
      <c r="AI31" s="6" t="s">
        <v>84</v>
      </c>
    </row>
    <row r="32" customFormat="false" ht="15" hidden="false" customHeight="false" outlineLevel="0" collapsed="false">
      <c r="A32" s="6" t="n">
        <v>31</v>
      </c>
      <c r="B32" s="6" t="s">
        <v>3624</v>
      </c>
      <c r="C32" s="6" t="n">
        <v>1</v>
      </c>
      <c r="D32" s="6" t="s">
        <v>198</v>
      </c>
      <c r="E32" s="6" t="s">
        <v>81</v>
      </c>
      <c r="F32" s="6" t="n">
        <v>4</v>
      </c>
      <c r="G32" s="6" t="n">
        <v>84</v>
      </c>
      <c r="H32" s="6" t="s">
        <v>3625</v>
      </c>
      <c r="I32" s="22" t="n">
        <v>1079700</v>
      </c>
      <c r="J32" s="22" t="n">
        <v>4000</v>
      </c>
      <c r="K32" s="22" t="n">
        <v>81277.5</v>
      </c>
      <c r="L32" s="22" t="n">
        <v>1164977.5</v>
      </c>
      <c r="M32" s="6" t="s">
        <v>1009</v>
      </c>
      <c r="N32" s="6" t="s">
        <v>58</v>
      </c>
      <c r="O32" s="6"/>
      <c r="P32" s="6" t="s">
        <v>69</v>
      </c>
      <c r="Q32" s="6" t="str">
        <f aca="false">IF(P32="pass","No","Yes")</f>
        <v>No</v>
      </c>
      <c r="R32" s="6" t="s">
        <v>60</v>
      </c>
      <c r="S32" s="6"/>
      <c r="T32" s="6"/>
      <c r="U32" s="23" t="n">
        <v>5.056</v>
      </c>
      <c r="V32" s="6" t="s">
        <v>3626</v>
      </c>
      <c r="W32" s="6" t="s">
        <v>3627</v>
      </c>
      <c r="X32" s="6" t="s">
        <v>3628</v>
      </c>
      <c r="Y32" s="6" t="s">
        <v>60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  <c r="AH32" s="6" t="n">
        <v>0</v>
      </c>
      <c r="AI32" s="6" t="s">
        <v>84</v>
      </c>
    </row>
    <row r="33" customFormat="false" ht="15" hidden="false" customHeight="false" outlineLevel="0" collapsed="false">
      <c r="A33" s="6" t="n">
        <v>32</v>
      </c>
      <c r="B33" s="6" t="s">
        <v>3629</v>
      </c>
      <c r="C33" s="6" t="n">
        <v>1</v>
      </c>
      <c r="D33" s="6" t="s">
        <v>191</v>
      </c>
      <c r="E33" s="6" t="s">
        <v>116</v>
      </c>
      <c r="F33" s="6" t="n">
        <v>4</v>
      </c>
      <c r="G33" s="6" t="n">
        <v>342</v>
      </c>
      <c r="H33" s="6" t="s">
        <v>3630</v>
      </c>
      <c r="I33" s="22" t="n">
        <v>3282900</v>
      </c>
      <c r="J33" s="22" t="n">
        <v>15000</v>
      </c>
      <c r="K33" s="22" t="n">
        <v>247342.5</v>
      </c>
      <c r="L33" s="22" t="n">
        <v>3545242.5</v>
      </c>
      <c r="M33" s="6" t="s">
        <v>927</v>
      </c>
      <c r="N33" s="6" t="s">
        <v>58</v>
      </c>
      <c r="O33" s="6"/>
      <c r="P33" s="6" t="s">
        <v>59</v>
      </c>
      <c r="Q33" s="6" t="str">
        <f aca="false">IF(P33="pass","No","Yes")</f>
        <v>Yes</v>
      </c>
      <c r="R33" s="6" t="s">
        <v>60</v>
      </c>
      <c r="S33" s="6" t="s">
        <v>915</v>
      </c>
      <c r="T33" s="6" t="s">
        <v>3631</v>
      </c>
      <c r="U33" s="23" t="n">
        <v>8.913</v>
      </c>
      <c r="V33" s="6" t="s">
        <v>3632</v>
      </c>
      <c r="W33" s="6" t="s">
        <v>3633</v>
      </c>
      <c r="X33" s="6" t="s">
        <v>3634</v>
      </c>
      <c r="Y33" s="6" t="s">
        <v>60</v>
      </c>
      <c r="Z33" s="6" t="n">
        <v>0</v>
      </c>
      <c r="AA33" s="6" t="n">
        <v>0</v>
      </c>
      <c r="AB33" s="6" t="n">
        <v>0</v>
      </c>
      <c r="AC33" s="6" t="n">
        <v>0</v>
      </c>
      <c r="AD33" s="6" t="n">
        <v>0</v>
      </c>
      <c r="AE33" s="6" t="n">
        <v>0</v>
      </c>
      <c r="AF33" s="6" t="n">
        <v>0</v>
      </c>
      <c r="AG33" s="6" t="n">
        <v>0</v>
      </c>
      <c r="AH33" s="6" t="n">
        <v>1</v>
      </c>
      <c r="AI33" s="6" t="s">
        <v>84</v>
      </c>
    </row>
    <row r="34" customFormat="false" ht="15" hidden="false" customHeight="false" outlineLevel="0" collapsed="false">
      <c r="A34" s="6" t="n">
        <v>33</v>
      </c>
      <c r="B34" s="6" t="s">
        <v>3635</v>
      </c>
      <c r="C34" s="6" t="n">
        <v>1</v>
      </c>
      <c r="D34" s="6" t="s">
        <v>77</v>
      </c>
      <c r="E34" s="6" t="s">
        <v>81</v>
      </c>
      <c r="F34" s="6" t="n">
        <v>4</v>
      </c>
      <c r="G34" s="6" t="n">
        <v>147</v>
      </c>
      <c r="H34" s="6" t="s">
        <v>3636</v>
      </c>
      <c r="I34" s="22" t="n">
        <v>1263600</v>
      </c>
      <c r="J34" s="22" t="n">
        <v>4000</v>
      </c>
      <c r="K34" s="22" t="n">
        <v>95070</v>
      </c>
      <c r="L34" s="22" t="n">
        <v>1362670</v>
      </c>
      <c r="M34" s="6" t="s">
        <v>132</v>
      </c>
      <c r="N34" s="6" t="s">
        <v>84</v>
      </c>
      <c r="O34" s="6" t="s">
        <v>879</v>
      </c>
      <c r="P34" s="6" t="s">
        <v>85</v>
      </c>
      <c r="Q34" s="6" t="str">
        <f aca="false">IF(P34="pass","No","Yes")</f>
        <v>Yes</v>
      </c>
      <c r="R34" s="6" t="s">
        <v>86</v>
      </c>
      <c r="S34" s="6" t="s">
        <v>3637</v>
      </c>
      <c r="T34" s="6" t="s">
        <v>3638</v>
      </c>
      <c r="U34" s="23" t="n">
        <v>8.34</v>
      </c>
      <c r="V34" s="6" t="s">
        <v>3639</v>
      </c>
      <c r="W34" s="6" t="s">
        <v>3640</v>
      </c>
      <c r="X34" s="6" t="s">
        <v>3641</v>
      </c>
      <c r="Y34" s="6" t="s">
        <v>86</v>
      </c>
      <c r="Z34" s="6" t="n">
        <v>0</v>
      </c>
      <c r="AA34" s="6" t="n">
        <v>1</v>
      </c>
      <c r="AB34" s="6" t="n">
        <v>0</v>
      </c>
      <c r="AC34" s="6" t="n">
        <v>1</v>
      </c>
      <c r="AD34" s="6" t="n">
        <v>0</v>
      </c>
      <c r="AE34" s="6" t="n">
        <v>0</v>
      </c>
      <c r="AF34" s="6" t="n">
        <v>0</v>
      </c>
      <c r="AG34" s="6" t="n">
        <v>0</v>
      </c>
      <c r="AH34" s="6" t="n">
        <v>1</v>
      </c>
      <c r="AI34" s="6" t="s">
        <v>84</v>
      </c>
    </row>
    <row r="35" customFormat="false" ht="15" hidden="false" customHeight="false" outlineLevel="0" collapsed="false">
      <c r="A35" s="6" t="n">
        <v>34</v>
      </c>
      <c r="B35" s="6" t="s">
        <v>3642</v>
      </c>
      <c r="C35" s="6" t="n">
        <v>1</v>
      </c>
      <c r="D35" s="6" t="s">
        <v>198</v>
      </c>
      <c r="E35" s="6" t="s">
        <v>81</v>
      </c>
      <c r="F35" s="6" t="n">
        <v>2</v>
      </c>
      <c r="G35" s="6" t="n">
        <v>171</v>
      </c>
      <c r="H35" s="6" t="s">
        <v>3643</v>
      </c>
      <c r="I35" s="22" t="n">
        <v>1602900</v>
      </c>
      <c r="J35" s="22" t="n">
        <v>4000</v>
      </c>
      <c r="K35" s="22" t="n">
        <v>120517.5</v>
      </c>
      <c r="L35" s="22" t="n">
        <v>1727417.5</v>
      </c>
      <c r="M35" s="6" t="s">
        <v>1009</v>
      </c>
      <c r="N35" s="6" t="s">
        <v>58</v>
      </c>
      <c r="O35" s="6"/>
      <c r="P35" s="6" t="s">
        <v>59</v>
      </c>
      <c r="Q35" s="6" t="str">
        <f aca="false">IF(P35="pass","No","Yes")</f>
        <v>Yes</v>
      </c>
      <c r="R35" s="6" t="s">
        <v>60</v>
      </c>
      <c r="S35" s="6" t="s">
        <v>915</v>
      </c>
      <c r="T35" s="6" t="s">
        <v>3644</v>
      </c>
      <c r="U35" s="23" t="n">
        <v>7.8</v>
      </c>
      <c r="V35" s="6" t="s">
        <v>3645</v>
      </c>
      <c r="W35" s="6" t="s">
        <v>3646</v>
      </c>
      <c r="X35" s="6" t="s">
        <v>3647</v>
      </c>
      <c r="Y35" s="6" t="s">
        <v>60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0</v>
      </c>
      <c r="AF35" s="6" t="n">
        <v>0</v>
      </c>
      <c r="AG35" s="6" t="n">
        <v>0</v>
      </c>
      <c r="AH35" s="6" t="n">
        <v>1</v>
      </c>
      <c r="AI35" s="6" t="s">
        <v>84</v>
      </c>
    </row>
    <row r="36" customFormat="false" ht="15" hidden="false" customHeight="false" outlineLevel="0" collapsed="false">
      <c r="A36" s="6" t="n">
        <v>35</v>
      </c>
      <c r="B36" s="6" t="s">
        <v>3648</v>
      </c>
      <c r="C36" s="6" t="n">
        <v>1</v>
      </c>
      <c r="D36" s="6" t="s">
        <v>100</v>
      </c>
      <c r="E36" s="6" t="s">
        <v>67</v>
      </c>
      <c r="F36" s="6" t="n">
        <v>3</v>
      </c>
      <c r="G36" s="6" t="n">
        <v>66</v>
      </c>
      <c r="H36" s="6" t="s">
        <v>3649</v>
      </c>
      <c r="I36" s="22" t="n">
        <v>772500</v>
      </c>
      <c r="J36" s="22" t="n">
        <v>4500</v>
      </c>
      <c r="K36" s="22" t="n">
        <v>58275</v>
      </c>
      <c r="L36" s="22" t="n">
        <v>835275</v>
      </c>
      <c r="M36" s="6" t="s">
        <v>57</v>
      </c>
      <c r="N36" s="6" t="s">
        <v>58</v>
      </c>
      <c r="O36" s="6"/>
      <c r="P36" s="6" t="s">
        <v>69</v>
      </c>
      <c r="Q36" s="6" t="str">
        <f aca="false">IF(P36="pass","No","Yes")</f>
        <v>No</v>
      </c>
      <c r="R36" s="6" t="s">
        <v>60</v>
      </c>
      <c r="S36" s="6"/>
      <c r="T36" s="6"/>
      <c r="U36" s="23" t="n">
        <v>4.769</v>
      </c>
      <c r="V36" s="6" t="s">
        <v>3650</v>
      </c>
      <c r="W36" s="6" t="s">
        <v>3651</v>
      </c>
      <c r="X36" s="6" t="s">
        <v>3652</v>
      </c>
      <c r="Y36" s="6" t="s">
        <v>60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0</v>
      </c>
      <c r="AF36" s="6" t="n">
        <v>0</v>
      </c>
      <c r="AG36" s="6" t="n">
        <v>0</v>
      </c>
      <c r="AH36" s="6" t="n">
        <v>0</v>
      </c>
      <c r="AI36" s="6" t="s">
        <v>84</v>
      </c>
    </row>
    <row r="37" customFormat="false" ht="15" hidden="false" customHeight="false" outlineLevel="0" collapsed="false">
      <c r="A37" s="6" t="n">
        <v>36</v>
      </c>
      <c r="B37" s="6" t="s">
        <v>3653</v>
      </c>
      <c r="C37" s="6" t="n">
        <v>1</v>
      </c>
      <c r="D37" s="6" t="s">
        <v>198</v>
      </c>
      <c r="E37" s="6" t="s">
        <v>81</v>
      </c>
      <c r="F37" s="6" t="n">
        <v>1</v>
      </c>
      <c r="G37" s="6" t="n">
        <v>4</v>
      </c>
      <c r="H37" s="6" t="s">
        <v>3654</v>
      </c>
      <c r="I37" s="22" t="n">
        <v>124000</v>
      </c>
      <c r="J37" s="22" t="n">
        <v>4000</v>
      </c>
      <c r="K37" s="22" t="n">
        <v>9600</v>
      </c>
      <c r="L37" s="22" t="n">
        <v>137600</v>
      </c>
      <c r="M37" s="6" t="s">
        <v>224</v>
      </c>
      <c r="N37" s="6" t="s">
        <v>84</v>
      </c>
      <c r="O37" s="6" t="s">
        <v>866</v>
      </c>
      <c r="P37" s="6" t="s">
        <v>85</v>
      </c>
      <c r="Q37" s="6" t="str">
        <f aca="false">IF(P37="pass","No","Yes")</f>
        <v>Yes</v>
      </c>
      <c r="R37" s="6" t="s">
        <v>86</v>
      </c>
      <c r="S37" s="6" t="s">
        <v>866</v>
      </c>
      <c r="T37" s="6" t="s">
        <v>225</v>
      </c>
      <c r="U37" s="23" t="n">
        <v>3.431</v>
      </c>
      <c r="V37" s="6" t="s">
        <v>3655</v>
      </c>
      <c r="W37" s="6" t="s">
        <v>3656</v>
      </c>
      <c r="X37" s="6" t="s">
        <v>3657</v>
      </c>
      <c r="Y37" s="6" t="s">
        <v>86</v>
      </c>
      <c r="Z37" s="6" t="n">
        <v>1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0</v>
      </c>
      <c r="AF37" s="6" t="n">
        <v>0</v>
      </c>
      <c r="AG37" s="6" t="n">
        <v>0</v>
      </c>
      <c r="AH37" s="6" t="n">
        <v>0</v>
      </c>
      <c r="AI37" s="6" t="s">
        <v>58</v>
      </c>
    </row>
    <row r="38" customFormat="false" ht="15" hidden="false" customHeight="false" outlineLevel="0" collapsed="false">
      <c r="A38" s="6" t="n">
        <v>37</v>
      </c>
      <c r="B38" s="6" t="s">
        <v>3658</v>
      </c>
      <c r="C38" s="6" t="n">
        <v>1</v>
      </c>
      <c r="D38" s="6" t="s">
        <v>213</v>
      </c>
      <c r="E38" s="6" t="s">
        <v>67</v>
      </c>
      <c r="F38" s="6" t="n">
        <v>3</v>
      </c>
      <c r="G38" s="6" t="n">
        <v>71</v>
      </c>
      <c r="H38" s="6" t="s">
        <v>3659</v>
      </c>
      <c r="I38" s="22" t="n">
        <v>907700</v>
      </c>
      <c r="J38" s="22" t="n">
        <v>4500</v>
      </c>
      <c r="K38" s="22" t="n">
        <v>68415</v>
      </c>
      <c r="L38" s="22" t="n">
        <v>980615</v>
      </c>
      <c r="M38" s="6" t="s">
        <v>57</v>
      </c>
      <c r="N38" s="6" t="s">
        <v>58</v>
      </c>
      <c r="O38" s="6"/>
      <c r="P38" s="6" t="s">
        <v>69</v>
      </c>
      <c r="Q38" s="6" t="str">
        <f aca="false">IF(P38="pass","No","Yes")</f>
        <v>No</v>
      </c>
      <c r="R38" s="6" t="s">
        <v>60</v>
      </c>
      <c r="S38" s="6"/>
      <c r="T38" s="6"/>
      <c r="U38" s="23" t="n">
        <v>5.002</v>
      </c>
      <c r="V38" s="6" t="s">
        <v>3660</v>
      </c>
      <c r="W38" s="6" t="s">
        <v>3661</v>
      </c>
      <c r="X38" s="6" t="s">
        <v>3662</v>
      </c>
      <c r="Y38" s="6" t="s">
        <v>60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  <c r="AE38" s="6" t="n">
        <v>0</v>
      </c>
      <c r="AF38" s="6" t="n">
        <v>0</v>
      </c>
      <c r="AG38" s="6" t="n">
        <v>0</v>
      </c>
      <c r="AH38" s="6" t="n">
        <v>0</v>
      </c>
      <c r="AI38" s="6" t="s">
        <v>84</v>
      </c>
    </row>
    <row r="39" customFormat="false" ht="15" hidden="false" customHeight="false" outlineLevel="0" collapsed="false">
      <c r="A39" s="6" t="n">
        <v>38</v>
      </c>
      <c r="B39" s="6" t="s">
        <v>3663</v>
      </c>
      <c r="C39" s="6" t="n">
        <v>1</v>
      </c>
      <c r="D39" s="6" t="s">
        <v>142</v>
      </c>
      <c r="E39" s="6" t="s">
        <v>74</v>
      </c>
      <c r="F39" s="6" t="n">
        <v>2</v>
      </c>
      <c r="G39" s="6" t="n">
        <v>75</v>
      </c>
      <c r="H39" s="6" t="s">
        <v>3664</v>
      </c>
      <c r="I39" s="22" t="n">
        <v>785800</v>
      </c>
      <c r="J39" s="22" t="n">
        <v>9000</v>
      </c>
      <c r="K39" s="22" t="n">
        <v>59610</v>
      </c>
      <c r="L39" s="22" t="n">
        <v>854410</v>
      </c>
      <c r="M39" s="6" t="s">
        <v>984</v>
      </c>
      <c r="N39" s="6" t="s">
        <v>84</v>
      </c>
      <c r="O39" s="6" t="s">
        <v>985</v>
      </c>
      <c r="P39" s="6" t="s">
        <v>85</v>
      </c>
      <c r="Q39" s="6" t="str">
        <f aca="false">IF(P39="pass","No","Yes")</f>
        <v>Yes</v>
      </c>
      <c r="R39" s="6" t="s">
        <v>86</v>
      </c>
      <c r="S39" s="6" t="s">
        <v>985</v>
      </c>
      <c r="T39" s="6" t="s">
        <v>3394</v>
      </c>
      <c r="U39" s="23" t="n">
        <v>3.837</v>
      </c>
      <c r="V39" s="6" t="s">
        <v>3665</v>
      </c>
      <c r="W39" s="6" t="s">
        <v>3666</v>
      </c>
      <c r="X39" s="6" t="s">
        <v>3667</v>
      </c>
      <c r="Y39" s="6" t="s">
        <v>86</v>
      </c>
      <c r="Z39" s="6" t="n">
        <v>0</v>
      </c>
      <c r="AA39" s="6" t="n">
        <v>0</v>
      </c>
      <c r="AB39" s="6" t="n">
        <v>0</v>
      </c>
      <c r="AC39" s="6" t="n">
        <v>0</v>
      </c>
      <c r="AD39" s="6" t="n">
        <v>0</v>
      </c>
      <c r="AE39" s="6" t="n">
        <v>1</v>
      </c>
      <c r="AF39" s="6" t="n">
        <v>0</v>
      </c>
      <c r="AG39" s="6" t="n">
        <v>0</v>
      </c>
      <c r="AH39" s="6" t="n">
        <v>0</v>
      </c>
      <c r="AI39" s="6" t="s">
        <v>84</v>
      </c>
    </row>
    <row r="40" customFormat="false" ht="15" hidden="false" customHeight="false" outlineLevel="0" collapsed="false">
      <c r="A40" s="6" t="n">
        <v>39</v>
      </c>
      <c r="B40" s="6" t="s">
        <v>3668</v>
      </c>
      <c r="C40" s="6" t="n">
        <v>1</v>
      </c>
      <c r="D40" s="6" t="s">
        <v>127</v>
      </c>
      <c r="E40" s="6" t="s">
        <v>55</v>
      </c>
      <c r="F40" s="6" t="n">
        <v>3</v>
      </c>
      <c r="G40" s="6" t="n">
        <v>39</v>
      </c>
      <c r="H40" s="6" t="s">
        <v>3669</v>
      </c>
      <c r="I40" s="22" t="n">
        <v>632200</v>
      </c>
      <c r="J40" s="22" t="n">
        <v>6000</v>
      </c>
      <c r="K40" s="22" t="n">
        <v>47865</v>
      </c>
      <c r="L40" s="22" t="n">
        <v>686065</v>
      </c>
      <c r="M40" s="6" t="s">
        <v>57</v>
      </c>
      <c r="N40" s="6" t="s">
        <v>58</v>
      </c>
      <c r="O40" s="6"/>
      <c r="P40" s="6" t="s">
        <v>69</v>
      </c>
      <c r="Q40" s="6" t="str">
        <f aca="false">IF(P40="pass","No","Yes")</f>
        <v>No</v>
      </c>
      <c r="R40" s="6" t="s">
        <v>60</v>
      </c>
      <c r="S40" s="6"/>
      <c r="T40" s="6"/>
      <c r="U40" s="23" t="n">
        <v>5.006</v>
      </c>
      <c r="V40" s="6" t="s">
        <v>3670</v>
      </c>
      <c r="W40" s="6" t="s">
        <v>3671</v>
      </c>
      <c r="X40" s="6" t="s">
        <v>3672</v>
      </c>
      <c r="Y40" s="6" t="s">
        <v>60</v>
      </c>
      <c r="Z40" s="6" t="n">
        <v>0</v>
      </c>
      <c r="AA40" s="6" t="n">
        <v>0</v>
      </c>
      <c r="AB40" s="6" t="n">
        <v>0</v>
      </c>
      <c r="AC40" s="6" t="n">
        <v>0</v>
      </c>
      <c r="AD40" s="6" t="n">
        <v>0</v>
      </c>
      <c r="AE40" s="6" t="n">
        <v>0</v>
      </c>
      <c r="AF40" s="6" t="n">
        <v>0</v>
      </c>
      <c r="AG40" s="6" t="n">
        <v>0</v>
      </c>
      <c r="AH40" s="6" t="n">
        <v>0</v>
      </c>
      <c r="AI40" s="6" t="s">
        <v>84</v>
      </c>
    </row>
    <row r="41" customFormat="false" ht="15" hidden="false" customHeight="false" outlineLevel="0" collapsed="false">
      <c r="A41" s="6" t="n">
        <v>40</v>
      </c>
      <c r="B41" s="6" t="s">
        <v>3673</v>
      </c>
      <c r="C41" s="6" t="n">
        <v>1</v>
      </c>
      <c r="D41" s="6" t="s">
        <v>127</v>
      </c>
      <c r="E41" s="6" t="s">
        <v>55</v>
      </c>
      <c r="F41" s="6" t="n">
        <v>3</v>
      </c>
      <c r="G41" s="6" t="n">
        <v>1088</v>
      </c>
      <c r="H41" s="6" t="s">
        <v>3674</v>
      </c>
      <c r="I41" s="22" t="n">
        <v>13514000</v>
      </c>
      <c r="J41" s="22" t="n">
        <v>6000</v>
      </c>
      <c r="K41" s="22" t="n">
        <v>1014000</v>
      </c>
      <c r="L41" s="22" t="n">
        <v>14534000</v>
      </c>
      <c r="M41" s="6" t="s">
        <v>159</v>
      </c>
      <c r="N41" s="6" t="s">
        <v>84</v>
      </c>
      <c r="O41" s="6" t="s">
        <v>886</v>
      </c>
      <c r="P41" s="6" t="s">
        <v>85</v>
      </c>
      <c r="Q41" s="6" t="str">
        <f aca="false">IF(P41="pass","No","Yes")</f>
        <v>Yes</v>
      </c>
      <c r="R41" s="6" t="s">
        <v>86</v>
      </c>
      <c r="S41" s="6" t="s">
        <v>934</v>
      </c>
      <c r="T41" s="6" t="s">
        <v>491</v>
      </c>
      <c r="U41" s="23" t="n">
        <v>5.08</v>
      </c>
      <c r="V41" s="6" t="s">
        <v>3675</v>
      </c>
      <c r="W41" s="6" t="s">
        <v>3676</v>
      </c>
      <c r="X41" s="6" t="s">
        <v>3677</v>
      </c>
      <c r="Y41" s="6" t="s">
        <v>86</v>
      </c>
      <c r="Z41" s="6" t="n">
        <v>0</v>
      </c>
      <c r="AA41" s="6" t="n">
        <v>0</v>
      </c>
      <c r="AB41" s="6" t="n">
        <v>1</v>
      </c>
      <c r="AC41" s="6" t="n">
        <v>1</v>
      </c>
      <c r="AD41" s="6" t="n">
        <v>0</v>
      </c>
      <c r="AE41" s="6" t="n">
        <v>0</v>
      </c>
      <c r="AF41" s="6" t="n">
        <v>0</v>
      </c>
      <c r="AG41" s="6" t="n">
        <v>0</v>
      </c>
      <c r="AH41" s="6" t="n">
        <v>0</v>
      </c>
      <c r="AI41" s="6" t="s">
        <v>84</v>
      </c>
    </row>
    <row r="42" customFormat="false" ht="15" hidden="false" customHeight="false" outlineLevel="0" collapsed="false">
      <c r="A42" s="6" t="n">
        <v>41</v>
      </c>
      <c r="B42" s="6" t="s">
        <v>3678</v>
      </c>
      <c r="C42" s="6" t="n">
        <v>1</v>
      </c>
      <c r="D42" s="6" t="s">
        <v>112</v>
      </c>
      <c r="E42" s="6" t="s">
        <v>116</v>
      </c>
      <c r="F42" s="6" t="n">
        <v>3</v>
      </c>
      <c r="G42" s="6" t="n">
        <v>68</v>
      </c>
      <c r="H42" s="6" t="s">
        <v>3679</v>
      </c>
      <c r="I42" s="22" t="n">
        <v>1354000</v>
      </c>
      <c r="J42" s="22" t="n">
        <v>15000</v>
      </c>
      <c r="K42" s="22" t="n">
        <v>102675</v>
      </c>
      <c r="L42" s="22" t="n">
        <v>1471675</v>
      </c>
      <c r="M42" s="6" t="s">
        <v>57</v>
      </c>
      <c r="N42" s="6" t="s">
        <v>58</v>
      </c>
      <c r="O42" s="6"/>
      <c r="P42" s="6" t="s">
        <v>69</v>
      </c>
      <c r="Q42" s="6" t="str">
        <f aca="false">IF(P42="pass","No","Yes")</f>
        <v>No</v>
      </c>
      <c r="R42" s="6" t="s">
        <v>60</v>
      </c>
      <c r="S42" s="6"/>
      <c r="T42" s="6"/>
      <c r="U42" s="23" t="n">
        <v>9.271</v>
      </c>
      <c r="V42" s="6" t="s">
        <v>3680</v>
      </c>
      <c r="W42" s="6" t="s">
        <v>3681</v>
      </c>
      <c r="X42" s="6" t="s">
        <v>3682</v>
      </c>
      <c r="Y42" s="6" t="s">
        <v>60</v>
      </c>
      <c r="Z42" s="6" t="n">
        <v>0</v>
      </c>
      <c r="AA42" s="6" t="n">
        <v>0</v>
      </c>
      <c r="AB42" s="6" t="n">
        <v>0</v>
      </c>
      <c r="AC42" s="6" t="n">
        <v>0</v>
      </c>
      <c r="AD42" s="6" t="n">
        <v>0</v>
      </c>
      <c r="AE42" s="6" t="n">
        <v>0</v>
      </c>
      <c r="AF42" s="6" t="n">
        <v>0</v>
      </c>
      <c r="AG42" s="6" t="n">
        <v>0</v>
      </c>
      <c r="AH42" s="6" t="n">
        <v>0</v>
      </c>
      <c r="AI42" s="6" t="s">
        <v>84</v>
      </c>
    </row>
    <row r="43" customFormat="false" ht="15" hidden="false" customHeight="false" outlineLevel="0" collapsed="false">
      <c r="A43" s="6" t="n">
        <v>42</v>
      </c>
      <c r="B43" s="6" t="s">
        <v>3683</v>
      </c>
      <c r="C43" s="6" t="n">
        <v>1</v>
      </c>
      <c r="D43" s="6" t="s">
        <v>112</v>
      </c>
      <c r="E43" s="6" t="s">
        <v>116</v>
      </c>
      <c r="F43" s="6" t="n">
        <v>4</v>
      </c>
      <c r="G43" s="6" t="n">
        <v>68</v>
      </c>
      <c r="H43" s="6" t="s">
        <v>3684</v>
      </c>
      <c r="I43" s="22" t="n">
        <v>1078700</v>
      </c>
      <c r="J43" s="22" t="n">
        <v>15000</v>
      </c>
      <c r="K43" s="22" t="n">
        <v>82027.5</v>
      </c>
      <c r="L43" s="22" t="n">
        <v>1175727.5</v>
      </c>
      <c r="M43" s="6" t="s">
        <v>83</v>
      </c>
      <c r="N43" s="6" t="s">
        <v>84</v>
      </c>
      <c r="O43" s="6" t="s">
        <v>886</v>
      </c>
      <c r="P43" s="6" t="s">
        <v>85</v>
      </c>
      <c r="Q43" s="6" t="str">
        <f aca="false">IF(P43="pass","No","Yes")</f>
        <v>Yes</v>
      </c>
      <c r="R43" s="6" t="s">
        <v>86</v>
      </c>
      <c r="S43" s="6" t="s">
        <v>886</v>
      </c>
      <c r="T43" s="6" t="s">
        <v>517</v>
      </c>
      <c r="U43" s="23" t="n">
        <v>5.271</v>
      </c>
      <c r="V43" s="6" t="s">
        <v>3685</v>
      </c>
      <c r="W43" s="6" t="s">
        <v>3686</v>
      </c>
      <c r="X43" s="6" t="s">
        <v>3687</v>
      </c>
      <c r="Y43" s="6" t="s">
        <v>86</v>
      </c>
      <c r="Z43" s="6" t="n">
        <v>0</v>
      </c>
      <c r="AA43" s="6" t="n">
        <v>0</v>
      </c>
      <c r="AB43" s="6" t="n">
        <v>1</v>
      </c>
      <c r="AC43" s="6" t="n">
        <v>0</v>
      </c>
      <c r="AD43" s="6" t="n">
        <v>0</v>
      </c>
      <c r="AE43" s="6" t="n">
        <v>0</v>
      </c>
      <c r="AF43" s="6" t="n">
        <v>0</v>
      </c>
      <c r="AG43" s="6" t="n">
        <v>0</v>
      </c>
      <c r="AH43" s="6" t="n">
        <v>0</v>
      </c>
      <c r="AI43" s="6" t="s">
        <v>84</v>
      </c>
    </row>
    <row r="44" customFormat="false" ht="15" hidden="false" customHeight="false" outlineLevel="0" collapsed="false">
      <c r="A44" s="6" t="n">
        <v>43</v>
      </c>
      <c r="B44" s="6" t="s">
        <v>3688</v>
      </c>
      <c r="C44" s="6" t="n">
        <v>1</v>
      </c>
      <c r="D44" s="6" t="s">
        <v>112</v>
      </c>
      <c r="E44" s="6" t="s">
        <v>116</v>
      </c>
      <c r="F44" s="6" t="n">
        <v>3</v>
      </c>
      <c r="G44" s="6" t="n">
        <v>196</v>
      </c>
      <c r="H44" s="6" t="s">
        <v>3689</v>
      </c>
      <c r="I44" s="22" t="n">
        <v>1716500</v>
      </c>
      <c r="J44" s="22" t="n">
        <v>15000</v>
      </c>
      <c r="K44" s="22" t="n">
        <v>129862.5</v>
      </c>
      <c r="L44" s="22" t="n">
        <v>1861362.5</v>
      </c>
      <c r="M44" s="6" t="s">
        <v>927</v>
      </c>
      <c r="N44" s="6" t="s">
        <v>58</v>
      </c>
      <c r="O44" s="6"/>
      <c r="P44" s="6" t="s">
        <v>59</v>
      </c>
      <c r="Q44" s="6" t="str">
        <f aca="false">IF(P44="pass","No","Yes")</f>
        <v>Yes</v>
      </c>
      <c r="R44" s="6" t="s">
        <v>60</v>
      </c>
      <c r="S44" s="6" t="s">
        <v>915</v>
      </c>
      <c r="T44" s="6" t="s">
        <v>3690</v>
      </c>
      <c r="U44" s="23" t="n">
        <v>13.272</v>
      </c>
      <c r="V44" s="6" t="s">
        <v>3691</v>
      </c>
      <c r="W44" s="6" t="s">
        <v>3692</v>
      </c>
      <c r="X44" s="6" t="s">
        <v>3693</v>
      </c>
      <c r="Y44" s="6" t="s">
        <v>60</v>
      </c>
      <c r="Z44" s="6" t="n">
        <v>0</v>
      </c>
      <c r="AA44" s="6" t="n">
        <v>0</v>
      </c>
      <c r="AB44" s="6" t="n">
        <v>0</v>
      </c>
      <c r="AC44" s="6" t="n">
        <v>0</v>
      </c>
      <c r="AD44" s="6" t="n">
        <v>0</v>
      </c>
      <c r="AE44" s="6" t="n">
        <v>0</v>
      </c>
      <c r="AF44" s="6" t="n">
        <v>0</v>
      </c>
      <c r="AG44" s="6" t="n">
        <v>0</v>
      </c>
      <c r="AH44" s="6" t="n">
        <v>1</v>
      </c>
      <c r="AI44" s="6" t="s">
        <v>84</v>
      </c>
    </row>
    <row r="45" customFormat="false" ht="15" hidden="false" customHeight="false" outlineLevel="0" collapsed="false">
      <c r="A45" s="6" t="n">
        <v>44</v>
      </c>
      <c r="B45" s="6" t="s">
        <v>3694</v>
      </c>
      <c r="C45" s="6" t="n">
        <v>1</v>
      </c>
      <c r="D45" s="6" t="s">
        <v>119</v>
      </c>
      <c r="E45" s="6" t="s">
        <v>123</v>
      </c>
      <c r="F45" s="6" t="n">
        <v>1</v>
      </c>
      <c r="G45" s="6" t="n">
        <v>1</v>
      </c>
      <c r="H45" s="6" t="s">
        <v>3695</v>
      </c>
      <c r="I45" s="22" t="n">
        <v>52000</v>
      </c>
      <c r="J45" s="22" t="n">
        <v>5000</v>
      </c>
      <c r="K45" s="22" t="n">
        <v>4275</v>
      </c>
      <c r="L45" s="22" t="n">
        <v>61275</v>
      </c>
      <c r="M45" s="6" t="s">
        <v>57</v>
      </c>
      <c r="N45" s="6" t="s">
        <v>58</v>
      </c>
      <c r="O45" s="6"/>
      <c r="P45" s="6" t="s">
        <v>69</v>
      </c>
      <c r="Q45" s="6" t="str">
        <f aca="false">IF(P45="pass","No","Yes")</f>
        <v>No</v>
      </c>
      <c r="R45" s="6" t="s">
        <v>60</v>
      </c>
      <c r="S45" s="6"/>
      <c r="T45" s="6"/>
      <c r="U45" s="23" t="n">
        <v>3.653</v>
      </c>
      <c r="V45" s="6" t="s">
        <v>3696</v>
      </c>
      <c r="W45" s="6" t="s">
        <v>3697</v>
      </c>
      <c r="X45" s="6" t="s">
        <v>3698</v>
      </c>
      <c r="Y45" s="6" t="s">
        <v>60</v>
      </c>
      <c r="Z45" s="6" t="n">
        <v>0</v>
      </c>
      <c r="AA45" s="6" t="n">
        <v>0</v>
      </c>
      <c r="AB45" s="6" t="n">
        <v>0</v>
      </c>
      <c r="AC45" s="6" t="n">
        <v>0</v>
      </c>
      <c r="AD45" s="6" t="n">
        <v>0</v>
      </c>
      <c r="AE45" s="6" t="n">
        <v>0</v>
      </c>
      <c r="AF45" s="6" t="n">
        <v>0</v>
      </c>
      <c r="AG45" s="6" t="n">
        <v>0</v>
      </c>
      <c r="AH45" s="6" t="n">
        <v>0</v>
      </c>
      <c r="AI45" s="6" t="s">
        <v>84</v>
      </c>
    </row>
    <row r="46" customFormat="false" ht="15" hidden="false" customHeight="false" outlineLevel="0" collapsed="false">
      <c r="A46" s="6" t="n">
        <v>45</v>
      </c>
      <c r="B46" s="6" t="s">
        <v>3699</v>
      </c>
      <c r="C46" s="6" t="n">
        <v>1</v>
      </c>
      <c r="D46" s="6" t="s">
        <v>154</v>
      </c>
      <c r="E46" s="6" t="s">
        <v>123</v>
      </c>
      <c r="F46" s="6" t="n">
        <v>2</v>
      </c>
      <c r="G46" s="6" t="n">
        <v>20</v>
      </c>
      <c r="H46" s="6" t="s">
        <v>3700</v>
      </c>
      <c r="I46" s="22" t="n">
        <v>866400</v>
      </c>
      <c r="J46" s="22" t="n">
        <v>5000</v>
      </c>
      <c r="K46" s="22" t="n">
        <v>65355</v>
      </c>
      <c r="L46" s="22" t="n">
        <v>936755</v>
      </c>
      <c r="M46" s="6" t="s">
        <v>984</v>
      </c>
      <c r="N46" s="6" t="s">
        <v>84</v>
      </c>
      <c r="O46" s="6" t="s">
        <v>985</v>
      </c>
      <c r="P46" s="6" t="s">
        <v>85</v>
      </c>
      <c r="Q46" s="6" t="str">
        <f aca="false">IF(P46="pass","No","Yes")</f>
        <v>Yes</v>
      </c>
      <c r="R46" s="6" t="s">
        <v>86</v>
      </c>
      <c r="S46" s="6" t="s">
        <v>985</v>
      </c>
      <c r="T46" s="6" t="s">
        <v>3394</v>
      </c>
      <c r="U46" s="23" t="n">
        <v>4.145</v>
      </c>
      <c r="V46" s="6" t="s">
        <v>3701</v>
      </c>
      <c r="W46" s="6" t="s">
        <v>3702</v>
      </c>
      <c r="X46" s="6" t="s">
        <v>3703</v>
      </c>
      <c r="Y46" s="6" t="s">
        <v>86</v>
      </c>
      <c r="Z46" s="6" t="n">
        <v>0</v>
      </c>
      <c r="AA46" s="6" t="n">
        <v>0</v>
      </c>
      <c r="AB46" s="6" t="n">
        <v>0</v>
      </c>
      <c r="AC46" s="6" t="n">
        <v>0</v>
      </c>
      <c r="AD46" s="6" t="n">
        <v>0</v>
      </c>
      <c r="AE46" s="6" t="n">
        <v>1</v>
      </c>
      <c r="AF46" s="6" t="n">
        <v>0</v>
      </c>
      <c r="AG46" s="6" t="n">
        <v>0</v>
      </c>
      <c r="AH46" s="6" t="n">
        <v>0</v>
      </c>
      <c r="AI46" s="6" t="s">
        <v>84</v>
      </c>
    </row>
    <row r="47" customFormat="false" ht="15" hidden="false" customHeight="false" outlineLevel="0" collapsed="false">
      <c r="A47" s="6" t="n">
        <v>46</v>
      </c>
      <c r="B47" s="6" t="s">
        <v>3704</v>
      </c>
      <c r="C47" s="6" t="n">
        <v>1</v>
      </c>
      <c r="D47" s="6" t="s">
        <v>105</v>
      </c>
      <c r="E47" s="6" t="s">
        <v>81</v>
      </c>
      <c r="F47" s="6" t="n">
        <v>3</v>
      </c>
      <c r="G47" s="6" t="n">
        <v>101</v>
      </c>
      <c r="H47" s="6" t="s">
        <v>3705</v>
      </c>
      <c r="I47" s="22" t="n">
        <v>1172700</v>
      </c>
      <c r="J47" s="22" t="n">
        <v>4000</v>
      </c>
      <c r="K47" s="22" t="n">
        <v>88252.5</v>
      </c>
      <c r="L47" s="22" t="n">
        <v>1264952.5</v>
      </c>
      <c r="M47" s="6" t="s">
        <v>57</v>
      </c>
      <c r="N47" s="6" t="s">
        <v>58</v>
      </c>
      <c r="O47" s="6"/>
      <c r="P47" s="6" t="s">
        <v>69</v>
      </c>
      <c r="Q47" s="6" t="str">
        <f aca="false">IF(P47="pass","No","Yes")</f>
        <v>No</v>
      </c>
      <c r="R47" s="6" t="s">
        <v>60</v>
      </c>
      <c r="S47" s="6"/>
      <c r="T47" s="6"/>
      <c r="U47" s="23" t="n">
        <v>5.995</v>
      </c>
      <c r="V47" s="6" t="s">
        <v>3706</v>
      </c>
      <c r="W47" s="6" t="s">
        <v>3707</v>
      </c>
      <c r="X47" s="6" t="s">
        <v>3708</v>
      </c>
      <c r="Y47" s="6" t="s">
        <v>60</v>
      </c>
      <c r="Z47" s="6" t="n">
        <v>0</v>
      </c>
      <c r="AA47" s="6" t="n">
        <v>0</v>
      </c>
      <c r="AB47" s="6" t="n">
        <v>0</v>
      </c>
      <c r="AC47" s="6" t="n">
        <v>0</v>
      </c>
      <c r="AD47" s="6" t="n">
        <v>0</v>
      </c>
      <c r="AE47" s="6" t="n">
        <v>0</v>
      </c>
      <c r="AF47" s="6" t="n">
        <v>0</v>
      </c>
      <c r="AG47" s="6" t="n">
        <v>0</v>
      </c>
      <c r="AH47" s="6" t="n">
        <v>0</v>
      </c>
      <c r="AI47" s="6" t="s">
        <v>84</v>
      </c>
    </row>
    <row r="48" customFormat="false" ht="15" hidden="false" customHeight="false" outlineLevel="0" collapsed="false">
      <c r="A48" s="6" t="n">
        <v>47</v>
      </c>
      <c r="B48" s="6" t="s">
        <v>3709</v>
      </c>
      <c r="C48" s="6" t="n">
        <v>1</v>
      </c>
      <c r="D48" s="6" t="s">
        <v>105</v>
      </c>
      <c r="E48" s="6" t="s">
        <v>81</v>
      </c>
      <c r="F48" s="6" t="n">
        <v>3</v>
      </c>
      <c r="G48" s="6" t="n">
        <v>101</v>
      </c>
      <c r="H48" s="6" t="s">
        <v>3705</v>
      </c>
      <c r="I48" s="22" t="n">
        <v>1172700</v>
      </c>
      <c r="J48" s="22" t="n">
        <v>4000</v>
      </c>
      <c r="K48" s="22" t="n">
        <v>88252.5</v>
      </c>
      <c r="L48" s="22" t="n">
        <v>1264952.5</v>
      </c>
      <c r="M48" s="6" t="s">
        <v>97</v>
      </c>
      <c r="N48" s="6" t="s">
        <v>84</v>
      </c>
      <c r="O48" s="6" t="s">
        <v>1185</v>
      </c>
      <c r="P48" s="6" t="s">
        <v>59</v>
      </c>
      <c r="Q48" s="6" t="str">
        <f aca="false">IF(P48="pass","No","Yes")</f>
        <v>Yes</v>
      </c>
      <c r="R48" s="6" t="s">
        <v>98</v>
      </c>
      <c r="S48" s="6" t="s">
        <v>1185</v>
      </c>
      <c r="T48" s="6" t="s">
        <v>3710</v>
      </c>
      <c r="U48" s="23" t="n">
        <v>4.464</v>
      </c>
      <c r="V48" s="6" t="s">
        <v>3711</v>
      </c>
      <c r="W48" s="6"/>
      <c r="X48" s="6" t="s">
        <v>3711</v>
      </c>
      <c r="Y48" s="6" t="s">
        <v>98</v>
      </c>
      <c r="Z48" s="6" t="n">
        <v>0</v>
      </c>
      <c r="AA48" s="6" t="n">
        <v>0</v>
      </c>
      <c r="AB48" s="6" t="n">
        <v>0</v>
      </c>
      <c r="AC48" s="6" t="n">
        <v>0</v>
      </c>
      <c r="AD48" s="6" t="n">
        <v>0</v>
      </c>
      <c r="AE48" s="6" t="n">
        <v>0</v>
      </c>
      <c r="AF48" s="6" t="n">
        <v>0</v>
      </c>
      <c r="AG48" s="6" t="n">
        <v>1</v>
      </c>
      <c r="AH48" s="6" t="n">
        <v>0</v>
      </c>
      <c r="AI48" s="6" t="s">
        <v>84</v>
      </c>
    </row>
    <row r="49" customFormat="false" ht="15" hidden="false" customHeight="false" outlineLevel="0" collapsed="false">
      <c r="A49" s="6" t="n">
        <v>48</v>
      </c>
      <c r="B49" s="6" t="s">
        <v>3712</v>
      </c>
      <c r="C49" s="6" t="n">
        <v>1</v>
      </c>
      <c r="D49" s="6" t="s">
        <v>105</v>
      </c>
      <c r="E49" s="6" t="s">
        <v>81</v>
      </c>
      <c r="F49" s="6" t="n">
        <v>3</v>
      </c>
      <c r="G49" s="6" t="n">
        <v>101</v>
      </c>
      <c r="H49" s="6" t="s">
        <v>3705</v>
      </c>
      <c r="I49" s="22" t="n">
        <v>1172700</v>
      </c>
      <c r="J49" s="22" t="n">
        <v>4000</v>
      </c>
      <c r="K49" s="22" t="n">
        <v>88252.5</v>
      </c>
      <c r="L49" s="22" t="n">
        <v>1264952.5</v>
      </c>
      <c r="M49" s="6" t="s">
        <v>97</v>
      </c>
      <c r="N49" s="6" t="s">
        <v>84</v>
      </c>
      <c r="O49" s="6" t="s">
        <v>1185</v>
      </c>
      <c r="P49" s="6" t="s">
        <v>59</v>
      </c>
      <c r="Q49" s="6" t="str">
        <f aca="false">IF(P49="pass","No","Yes")</f>
        <v>Yes</v>
      </c>
      <c r="R49" s="6" t="s">
        <v>98</v>
      </c>
      <c r="S49" s="6" t="s">
        <v>1185</v>
      </c>
      <c r="T49" s="6" t="s">
        <v>3710</v>
      </c>
      <c r="U49" s="23" t="n">
        <v>4.692</v>
      </c>
      <c r="V49" s="6" t="s">
        <v>3713</v>
      </c>
      <c r="W49" s="6"/>
      <c r="X49" s="6" t="s">
        <v>3713</v>
      </c>
      <c r="Y49" s="6" t="s">
        <v>98</v>
      </c>
      <c r="Z49" s="6" t="n">
        <v>0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0</v>
      </c>
      <c r="AF49" s="6" t="n">
        <v>0</v>
      </c>
      <c r="AG49" s="6" t="n">
        <v>1</v>
      </c>
      <c r="AH49" s="6" t="n">
        <v>0</v>
      </c>
      <c r="AI49" s="6" t="s">
        <v>84</v>
      </c>
    </row>
    <row r="50" customFormat="false" ht="15" hidden="false" customHeight="false" outlineLevel="0" collapsed="false">
      <c r="A50" s="6" t="n">
        <v>49</v>
      </c>
      <c r="B50" s="6" t="s">
        <v>3714</v>
      </c>
      <c r="C50" s="6" t="n">
        <v>1</v>
      </c>
      <c r="D50" s="6" t="s">
        <v>119</v>
      </c>
      <c r="E50" s="6" t="s">
        <v>123</v>
      </c>
      <c r="F50" s="6" t="n">
        <v>2</v>
      </c>
      <c r="G50" s="6" t="n">
        <v>27</v>
      </c>
      <c r="H50" s="6" t="s">
        <v>3715</v>
      </c>
      <c r="I50" s="22" t="n">
        <v>261600</v>
      </c>
      <c r="J50" s="22" t="n">
        <v>5000</v>
      </c>
      <c r="K50" s="22" t="n">
        <v>19995</v>
      </c>
      <c r="L50" s="22" t="n">
        <v>286595</v>
      </c>
      <c r="M50" s="6" t="s">
        <v>57</v>
      </c>
      <c r="N50" s="6" t="s">
        <v>58</v>
      </c>
      <c r="O50" s="6"/>
      <c r="P50" s="6" t="s">
        <v>69</v>
      </c>
      <c r="Q50" s="6" t="str">
        <f aca="false">IF(P50="pass","No","Yes")</f>
        <v>No</v>
      </c>
      <c r="R50" s="6" t="s">
        <v>60</v>
      </c>
      <c r="S50" s="6"/>
      <c r="T50" s="6"/>
      <c r="U50" s="23" t="n">
        <v>5.247</v>
      </c>
      <c r="V50" s="6" t="s">
        <v>3716</v>
      </c>
      <c r="W50" s="6" t="s">
        <v>3717</v>
      </c>
      <c r="X50" s="6" t="s">
        <v>3718</v>
      </c>
      <c r="Y50" s="6" t="s">
        <v>60</v>
      </c>
      <c r="Z50" s="6" t="n">
        <v>0</v>
      </c>
      <c r="AA50" s="6" t="n">
        <v>0</v>
      </c>
      <c r="AB50" s="6" t="n">
        <v>0</v>
      </c>
      <c r="AC50" s="6" t="n">
        <v>0</v>
      </c>
      <c r="AD50" s="6" t="n">
        <v>0</v>
      </c>
      <c r="AE50" s="6" t="n">
        <v>0</v>
      </c>
      <c r="AF50" s="6" t="n">
        <v>0</v>
      </c>
      <c r="AG50" s="6" t="n">
        <v>0</v>
      </c>
      <c r="AH50" s="6" t="n">
        <v>0</v>
      </c>
      <c r="AI50" s="6" t="s">
        <v>84</v>
      </c>
    </row>
    <row r="51" customFormat="false" ht="15" hidden="false" customHeight="false" outlineLevel="0" collapsed="false">
      <c r="A51" s="6" t="n">
        <v>50</v>
      </c>
      <c r="B51" s="6" t="s">
        <v>3719</v>
      </c>
      <c r="C51" s="6" t="n">
        <v>1</v>
      </c>
      <c r="D51" s="6" t="s">
        <v>127</v>
      </c>
      <c r="E51" s="6" t="s">
        <v>55</v>
      </c>
      <c r="F51" s="6" t="n">
        <v>2</v>
      </c>
      <c r="G51" s="6" t="n">
        <v>18</v>
      </c>
      <c r="H51" s="6" t="s">
        <v>3720</v>
      </c>
      <c r="I51" s="22" t="n">
        <v>217200</v>
      </c>
      <c r="J51" s="22" t="n">
        <v>6000</v>
      </c>
      <c r="K51" s="22" t="n">
        <v>16740</v>
      </c>
      <c r="L51" s="22" t="n">
        <v>239940</v>
      </c>
      <c r="M51" s="6" t="s">
        <v>57</v>
      </c>
      <c r="N51" s="6" t="s">
        <v>58</v>
      </c>
      <c r="O51" s="6"/>
      <c r="P51" s="6" t="s">
        <v>69</v>
      </c>
      <c r="Q51" s="6" t="str">
        <f aca="false">IF(P51="pass","No","Yes")</f>
        <v>No</v>
      </c>
      <c r="R51" s="6" t="s">
        <v>60</v>
      </c>
      <c r="S51" s="6"/>
      <c r="T51" s="6"/>
      <c r="U51" s="23" t="n">
        <v>9.489</v>
      </c>
      <c r="V51" s="6" t="s">
        <v>3721</v>
      </c>
      <c r="W51" s="6" t="s">
        <v>3722</v>
      </c>
      <c r="X51" s="6" t="s">
        <v>3723</v>
      </c>
      <c r="Y51" s="6" t="s">
        <v>60</v>
      </c>
      <c r="Z51" s="6" t="n">
        <v>0</v>
      </c>
      <c r="AA51" s="6" t="n">
        <v>0</v>
      </c>
      <c r="AB51" s="6" t="n">
        <v>0</v>
      </c>
      <c r="AC51" s="6" t="n">
        <v>0</v>
      </c>
      <c r="AD51" s="6" t="n">
        <v>0</v>
      </c>
      <c r="AE51" s="6" t="n">
        <v>0</v>
      </c>
      <c r="AF51" s="6" t="n">
        <v>0</v>
      </c>
      <c r="AG51" s="6" t="n">
        <v>0</v>
      </c>
      <c r="AH51" s="6" t="n">
        <v>0</v>
      </c>
      <c r="AI51" s="6" t="s">
        <v>84</v>
      </c>
    </row>
    <row r="52" customFormat="false" ht="15" hidden="false" customHeight="false" outlineLevel="0" collapsed="false">
      <c r="A52" s="6" t="n">
        <v>51</v>
      </c>
      <c r="B52" s="6" t="s">
        <v>3724</v>
      </c>
      <c r="C52" s="6" t="n">
        <v>2</v>
      </c>
      <c r="D52" s="6" t="s">
        <v>237</v>
      </c>
      <c r="E52" s="6" t="s">
        <v>116</v>
      </c>
      <c r="F52" s="6" t="n">
        <v>1</v>
      </c>
      <c r="G52" s="6" t="n">
        <v>97</v>
      </c>
      <c r="H52" s="6" t="s">
        <v>3725</v>
      </c>
      <c r="I52" s="22" t="n">
        <v>698400</v>
      </c>
      <c r="J52" s="22" t="n">
        <v>15000</v>
      </c>
      <c r="K52" s="22" t="n">
        <v>53505</v>
      </c>
      <c r="L52" s="22" t="n">
        <v>766905</v>
      </c>
      <c r="M52" s="6" t="s">
        <v>57</v>
      </c>
      <c r="N52" s="6" t="s">
        <v>58</v>
      </c>
      <c r="O52" s="6"/>
      <c r="P52" s="6" t="s">
        <v>59</v>
      </c>
      <c r="Q52" s="6" t="str">
        <f aca="false">IF(P52="pass","No","Yes")</f>
        <v>Yes</v>
      </c>
      <c r="R52" s="6" t="s">
        <v>60</v>
      </c>
      <c r="S52" s="6" t="s">
        <v>915</v>
      </c>
      <c r="T52" s="6" t="s">
        <v>1174</v>
      </c>
      <c r="U52" s="23" t="n">
        <v>13.323</v>
      </c>
      <c r="V52" s="6" t="s">
        <v>3726</v>
      </c>
      <c r="W52" s="6" t="s">
        <v>3727</v>
      </c>
      <c r="X52" s="6" t="s">
        <v>3728</v>
      </c>
      <c r="Y52" s="6" t="s">
        <v>60</v>
      </c>
      <c r="Z52" s="6" t="n">
        <v>0</v>
      </c>
      <c r="AA52" s="6" t="n">
        <v>0</v>
      </c>
      <c r="AB52" s="6" t="n">
        <v>0</v>
      </c>
      <c r="AC52" s="6" t="n">
        <v>0</v>
      </c>
      <c r="AD52" s="6" t="n">
        <v>0</v>
      </c>
      <c r="AE52" s="6" t="n">
        <v>0</v>
      </c>
      <c r="AF52" s="6" t="n">
        <v>0</v>
      </c>
      <c r="AG52" s="6" t="n">
        <v>0</v>
      </c>
      <c r="AH52" s="6" t="n">
        <v>1</v>
      </c>
      <c r="AI52" s="6" t="s">
        <v>84</v>
      </c>
    </row>
    <row r="53" customFormat="false" ht="15" hidden="false" customHeight="false" outlineLevel="0" collapsed="false">
      <c r="A53" s="6" t="n">
        <v>52</v>
      </c>
      <c r="B53" s="6" t="s">
        <v>3729</v>
      </c>
      <c r="C53" s="6" t="n">
        <v>2</v>
      </c>
      <c r="D53" s="6" t="s">
        <v>100</v>
      </c>
      <c r="E53" s="6" t="s">
        <v>67</v>
      </c>
      <c r="F53" s="6" t="n">
        <v>3</v>
      </c>
      <c r="G53" s="6" t="n">
        <v>71</v>
      </c>
      <c r="H53" s="6" t="s">
        <v>3730</v>
      </c>
      <c r="I53" s="22" t="n">
        <v>1195900</v>
      </c>
      <c r="J53" s="22" t="n">
        <v>4500</v>
      </c>
      <c r="K53" s="22" t="n">
        <v>90030</v>
      </c>
      <c r="L53" s="22" t="n">
        <v>1290430</v>
      </c>
      <c r="M53" s="6" t="s">
        <v>57</v>
      </c>
      <c r="N53" s="6" t="s">
        <v>58</v>
      </c>
      <c r="O53" s="6"/>
      <c r="P53" s="6" t="s">
        <v>69</v>
      </c>
      <c r="Q53" s="6" t="str">
        <f aca="false">IF(P53="pass","No","Yes")</f>
        <v>No</v>
      </c>
      <c r="R53" s="6" t="s">
        <v>60</v>
      </c>
      <c r="S53" s="6"/>
      <c r="T53" s="6"/>
      <c r="U53" s="23" t="n">
        <v>5.803</v>
      </c>
      <c r="V53" s="6" t="s">
        <v>3731</v>
      </c>
      <c r="W53" s="6" t="s">
        <v>3732</v>
      </c>
      <c r="X53" s="6" t="s">
        <v>3733</v>
      </c>
      <c r="Y53" s="6" t="s">
        <v>60</v>
      </c>
      <c r="Z53" s="6" t="n">
        <v>0</v>
      </c>
      <c r="AA53" s="6" t="n">
        <v>0</v>
      </c>
      <c r="AB53" s="6" t="n">
        <v>0</v>
      </c>
      <c r="AC53" s="6" t="n">
        <v>0</v>
      </c>
      <c r="AD53" s="6" t="n">
        <v>0</v>
      </c>
      <c r="AE53" s="6" t="n">
        <v>0</v>
      </c>
      <c r="AF53" s="6" t="n">
        <v>0</v>
      </c>
      <c r="AG53" s="6" t="n">
        <v>0</v>
      </c>
      <c r="AH53" s="6" t="n">
        <v>0</v>
      </c>
      <c r="AI53" s="6" t="s">
        <v>84</v>
      </c>
    </row>
    <row r="54" customFormat="false" ht="15" hidden="false" customHeight="false" outlineLevel="0" collapsed="false">
      <c r="A54" s="6" t="n">
        <v>53</v>
      </c>
      <c r="B54" s="6" t="s">
        <v>3734</v>
      </c>
      <c r="C54" s="6" t="n">
        <v>2</v>
      </c>
      <c r="D54" s="6" t="s">
        <v>89</v>
      </c>
      <c r="E54" s="6" t="s">
        <v>67</v>
      </c>
      <c r="F54" s="6" t="n">
        <v>2</v>
      </c>
      <c r="G54" s="6" t="n">
        <v>2</v>
      </c>
      <c r="H54" s="6" t="s">
        <v>3735</v>
      </c>
      <c r="I54" s="22" t="n">
        <v>237000</v>
      </c>
      <c r="J54" s="22" t="n">
        <v>4500</v>
      </c>
      <c r="K54" s="22" t="n">
        <v>18112.5</v>
      </c>
      <c r="L54" s="22" t="n">
        <v>259612.5</v>
      </c>
      <c r="M54" s="6" t="s">
        <v>132</v>
      </c>
      <c r="N54" s="6" t="s">
        <v>84</v>
      </c>
      <c r="O54" s="6" t="s">
        <v>879</v>
      </c>
      <c r="P54" s="6" t="s">
        <v>85</v>
      </c>
      <c r="Q54" s="6" t="str">
        <f aca="false">IF(P54="pass","No","Yes")</f>
        <v>Yes</v>
      </c>
      <c r="R54" s="6" t="s">
        <v>86</v>
      </c>
      <c r="S54" s="6" t="s">
        <v>880</v>
      </c>
      <c r="T54" s="6" t="s">
        <v>134</v>
      </c>
      <c r="U54" s="23" t="n">
        <v>3.767</v>
      </c>
      <c r="V54" s="6" t="s">
        <v>3736</v>
      </c>
      <c r="W54" s="6" t="s">
        <v>3737</v>
      </c>
      <c r="X54" s="6" t="s">
        <v>3738</v>
      </c>
      <c r="Y54" s="6" t="s">
        <v>86</v>
      </c>
      <c r="Z54" s="6" t="n">
        <v>0</v>
      </c>
      <c r="AA54" s="6" t="n">
        <v>1</v>
      </c>
      <c r="AB54" s="6" t="n">
        <v>0</v>
      </c>
      <c r="AC54" s="6" t="n">
        <v>1</v>
      </c>
      <c r="AD54" s="6" t="n">
        <v>0</v>
      </c>
      <c r="AE54" s="6" t="n">
        <v>0</v>
      </c>
      <c r="AF54" s="6" t="n">
        <v>0</v>
      </c>
      <c r="AG54" s="6" t="n">
        <v>0</v>
      </c>
      <c r="AH54" s="6" t="n">
        <v>0</v>
      </c>
      <c r="AI54" s="6" t="s">
        <v>84</v>
      </c>
    </row>
    <row r="55" customFormat="false" ht="15" hidden="false" customHeight="false" outlineLevel="0" collapsed="false">
      <c r="A55" s="6" t="n">
        <v>54</v>
      </c>
      <c r="B55" s="6" t="s">
        <v>3739</v>
      </c>
      <c r="C55" s="6" t="n">
        <v>2</v>
      </c>
      <c r="D55" s="6" t="s">
        <v>166</v>
      </c>
      <c r="E55" s="6" t="s">
        <v>74</v>
      </c>
      <c r="F55" s="6" t="n">
        <v>2</v>
      </c>
      <c r="G55" s="6" t="n">
        <v>21</v>
      </c>
      <c r="H55" s="6" t="s">
        <v>3740</v>
      </c>
      <c r="I55" s="22" t="n">
        <v>414500</v>
      </c>
      <c r="J55" s="22" t="n">
        <v>9000</v>
      </c>
      <c r="K55" s="22" t="n">
        <v>31762.5</v>
      </c>
      <c r="L55" s="22" t="n">
        <v>455262.5</v>
      </c>
      <c r="M55" s="6" t="s">
        <v>57</v>
      </c>
      <c r="N55" s="6" t="s">
        <v>58</v>
      </c>
      <c r="O55" s="6"/>
      <c r="P55" s="6" t="s">
        <v>69</v>
      </c>
      <c r="Q55" s="6" t="str">
        <f aca="false">IF(P55="pass","No","Yes")</f>
        <v>No</v>
      </c>
      <c r="R55" s="6" t="s">
        <v>60</v>
      </c>
      <c r="S55" s="6"/>
      <c r="T55" s="6"/>
      <c r="U55" s="23" t="n">
        <v>9.197</v>
      </c>
      <c r="V55" s="6" t="s">
        <v>3741</v>
      </c>
      <c r="W55" s="6" t="s">
        <v>3742</v>
      </c>
      <c r="X55" s="6" t="s">
        <v>3743</v>
      </c>
      <c r="Y55" s="6" t="s">
        <v>60</v>
      </c>
      <c r="Z55" s="6" t="n">
        <v>0</v>
      </c>
      <c r="AA55" s="6" t="n">
        <v>0</v>
      </c>
      <c r="AB55" s="6" t="n">
        <v>0</v>
      </c>
      <c r="AC55" s="6" t="n">
        <v>0</v>
      </c>
      <c r="AD55" s="6" t="n">
        <v>0</v>
      </c>
      <c r="AE55" s="6" t="n">
        <v>0</v>
      </c>
      <c r="AF55" s="6" t="n">
        <v>0</v>
      </c>
      <c r="AG55" s="6" t="n">
        <v>0</v>
      </c>
      <c r="AH55" s="6" t="n">
        <v>0</v>
      </c>
      <c r="AI55" s="6" t="s">
        <v>84</v>
      </c>
    </row>
    <row r="56" customFormat="false" ht="15" hidden="false" customHeight="false" outlineLevel="0" collapsed="false">
      <c r="A56" s="6" t="n">
        <v>55</v>
      </c>
      <c r="B56" s="6" t="s">
        <v>3744</v>
      </c>
      <c r="C56" s="6" t="n">
        <v>2</v>
      </c>
      <c r="D56" s="6" t="s">
        <v>142</v>
      </c>
      <c r="E56" s="6" t="s">
        <v>74</v>
      </c>
      <c r="F56" s="6" t="n">
        <v>1</v>
      </c>
      <c r="G56" s="6" t="n">
        <v>7</v>
      </c>
      <c r="H56" s="6" t="s">
        <v>2882</v>
      </c>
      <c r="I56" s="22" t="n">
        <v>217000</v>
      </c>
      <c r="J56" s="22" t="n">
        <v>9000</v>
      </c>
      <c r="K56" s="22" t="n">
        <v>16950</v>
      </c>
      <c r="L56" s="22" t="n">
        <v>242950</v>
      </c>
      <c r="M56" s="6" t="s">
        <v>224</v>
      </c>
      <c r="N56" s="6" t="s">
        <v>84</v>
      </c>
      <c r="O56" s="6" t="s">
        <v>866</v>
      </c>
      <c r="P56" s="6" t="s">
        <v>85</v>
      </c>
      <c r="Q56" s="6" t="str">
        <f aca="false">IF(P56="pass","No","Yes")</f>
        <v>Yes</v>
      </c>
      <c r="R56" s="6" t="s">
        <v>86</v>
      </c>
      <c r="S56" s="6" t="s">
        <v>866</v>
      </c>
      <c r="T56" s="6" t="s">
        <v>225</v>
      </c>
      <c r="U56" s="23" t="n">
        <v>3.724</v>
      </c>
      <c r="V56" s="6" t="s">
        <v>3745</v>
      </c>
      <c r="W56" s="6" t="s">
        <v>3746</v>
      </c>
      <c r="X56" s="6" t="s">
        <v>3747</v>
      </c>
      <c r="Y56" s="6" t="s">
        <v>86</v>
      </c>
      <c r="Z56" s="6" t="n">
        <v>1</v>
      </c>
      <c r="AA56" s="6" t="n">
        <v>0</v>
      </c>
      <c r="AB56" s="6" t="n">
        <v>0</v>
      </c>
      <c r="AC56" s="6" t="n">
        <v>0</v>
      </c>
      <c r="AD56" s="6" t="n">
        <v>0</v>
      </c>
      <c r="AE56" s="6" t="n">
        <v>0</v>
      </c>
      <c r="AF56" s="6" t="n">
        <v>0</v>
      </c>
      <c r="AG56" s="6" t="n">
        <v>0</v>
      </c>
      <c r="AH56" s="6" t="n">
        <v>0</v>
      </c>
      <c r="AI56" s="6" t="s">
        <v>58</v>
      </c>
    </row>
    <row r="57" customFormat="false" ht="15" hidden="false" customHeight="false" outlineLevel="0" collapsed="false">
      <c r="A57" s="6" t="n">
        <v>56</v>
      </c>
      <c r="B57" s="6" t="s">
        <v>3748</v>
      </c>
      <c r="C57" s="6" t="n">
        <v>2</v>
      </c>
      <c r="D57" s="6" t="s">
        <v>63</v>
      </c>
      <c r="E57" s="6" t="s">
        <v>67</v>
      </c>
      <c r="F57" s="6" t="n">
        <v>3</v>
      </c>
      <c r="G57" s="6" t="n">
        <v>56</v>
      </c>
      <c r="H57" s="6" t="s">
        <v>3749</v>
      </c>
      <c r="I57" s="22" t="n">
        <v>1249500</v>
      </c>
      <c r="J57" s="22" t="n">
        <v>4500</v>
      </c>
      <c r="K57" s="22" t="n">
        <v>94050</v>
      </c>
      <c r="L57" s="22" t="n">
        <v>1348050</v>
      </c>
      <c r="M57" s="6" t="s">
        <v>1042</v>
      </c>
      <c r="N57" s="6" t="s">
        <v>58</v>
      </c>
      <c r="O57" s="6"/>
      <c r="P57" s="6" t="s">
        <v>69</v>
      </c>
      <c r="Q57" s="6" t="str">
        <f aca="false">IF(P57="pass","No","Yes")</f>
        <v>No</v>
      </c>
      <c r="R57" s="6" t="s">
        <v>60</v>
      </c>
      <c r="S57" s="6"/>
      <c r="T57" s="6"/>
      <c r="U57" s="23" t="n">
        <v>5.787</v>
      </c>
      <c r="V57" s="6" t="s">
        <v>3750</v>
      </c>
      <c r="W57" s="6" t="s">
        <v>3751</v>
      </c>
      <c r="X57" s="6" t="s">
        <v>3752</v>
      </c>
      <c r="Y57" s="6" t="s">
        <v>60</v>
      </c>
      <c r="Z57" s="6" t="n">
        <v>0</v>
      </c>
      <c r="AA57" s="6" t="n">
        <v>0</v>
      </c>
      <c r="AB57" s="6" t="n">
        <v>0</v>
      </c>
      <c r="AC57" s="6" t="n">
        <v>0</v>
      </c>
      <c r="AD57" s="6" t="n">
        <v>0</v>
      </c>
      <c r="AE57" s="6" t="n">
        <v>0</v>
      </c>
      <c r="AF57" s="6" t="n">
        <v>0</v>
      </c>
      <c r="AG57" s="6" t="n">
        <v>0</v>
      </c>
      <c r="AH57" s="6" t="n">
        <v>0</v>
      </c>
      <c r="AI57" s="6" t="s">
        <v>84</v>
      </c>
    </row>
    <row r="58" customFormat="false" ht="15" hidden="false" customHeight="false" outlineLevel="0" collapsed="false">
      <c r="A58" s="6" t="n">
        <v>57</v>
      </c>
      <c r="B58" s="6" t="s">
        <v>3753</v>
      </c>
      <c r="C58" s="6" t="n">
        <v>2</v>
      </c>
      <c r="D58" s="6" t="s">
        <v>191</v>
      </c>
      <c r="E58" s="6" t="s">
        <v>116</v>
      </c>
      <c r="F58" s="6" t="n">
        <v>2</v>
      </c>
      <c r="G58" s="6" t="n">
        <v>10</v>
      </c>
      <c r="H58" s="6" t="s">
        <v>3754</v>
      </c>
      <c r="I58" s="22" t="n">
        <v>356500</v>
      </c>
      <c r="J58" s="22" t="n">
        <v>15000</v>
      </c>
      <c r="K58" s="22" t="n">
        <v>27862.5</v>
      </c>
      <c r="L58" s="22" t="n">
        <v>399362.5</v>
      </c>
      <c r="M58" s="6" t="s">
        <v>83</v>
      </c>
      <c r="N58" s="6" t="s">
        <v>84</v>
      </c>
      <c r="O58" s="6" t="s">
        <v>886</v>
      </c>
      <c r="P58" s="6" t="s">
        <v>85</v>
      </c>
      <c r="Q58" s="6" t="str">
        <f aca="false">IF(P58="pass","No","Yes")</f>
        <v>Yes</v>
      </c>
      <c r="R58" s="6" t="s">
        <v>86</v>
      </c>
      <c r="S58" s="6" t="s">
        <v>886</v>
      </c>
      <c r="T58" s="6" t="s">
        <v>517</v>
      </c>
      <c r="U58" s="23" t="n">
        <v>4.63</v>
      </c>
      <c r="V58" s="6" t="s">
        <v>3755</v>
      </c>
      <c r="W58" s="6" t="s">
        <v>3756</v>
      </c>
      <c r="X58" s="6" t="s">
        <v>3757</v>
      </c>
      <c r="Y58" s="6" t="s">
        <v>86</v>
      </c>
      <c r="Z58" s="6" t="n">
        <v>0</v>
      </c>
      <c r="AA58" s="6" t="n">
        <v>0</v>
      </c>
      <c r="AB58" s="6" t="n">
        <v>1</v>
      </c>
      <c r="AC58" s="6" t="n">
        <v>0</v>
      </c>
      <c r="AD58" s="6" t="n">
        <v>0</v>
      </c>
      <c r="AE58" s="6" t="n">
        <v>0</v>
      </c>
      <c r="AF58" s="6" t="n">
        <v>0</v>
      </c>
      <c r="AG58" s="6" t="n">
        <v>0</v>
      </c>
      <c r="AH58" s="6" t="n">
        <v>0</v>
      </c>
      <c r="AI58" s="6" t="s">
        <v>84</v>
      </c>
    </row>
    <row r="59" customFormat="false" ht="15" hidden="false" customHeight="false" outlineLevel="0" collapsed="false">
      <c r="A59" s="6" t="n">
        <v>58</v>
      </c>
      <c r="B59" s="6" t="s">
        <v>3758</v>
      </c>
      <c r="C59" s="6" t="n">
        <v>2</v>
      </c>
      <c r="D59" s="6" t="s">
        <v>105</v>
      </c>
      <c r="E59" s="6" t="s">
        <v>81</v>
      </c>
      <c r="F59" s="6" t="n">
        <v>3</v>
      </c>
      <c r="G59" s="6" t="n">
        <v>93</v>
      </c>
      <c r="H59" s="6" t="s">
        <v>3759</v>
      </c>
      <c r="I59" s="22" t="n">
        <v>1115600</v>
      </c>
      <c r="J59" s="22" t="n">
        <v>4000</v>
      </c>
      <c r="K59" s="22" t="n">
        <v>83970</v>
      </c>
      <c r="L59" s="22" t="n">
        <v>1203570</v>
      </c>
      <c r="M59" s="6" t="s">
        <v>1042</v>
      </c>
      <c r="N59" s="6" t="s">
        <v>58</v>
      </c>
      <c r="O59" s="6"/>
      <c r="P59" s="6" t="s">
        <v>69</v>
      </c>
      <c r="Q59" s="6" t="str">
        <f aca="false">IF(P59="pass","No","Yes")</f>
        <v>No</v>
      </c>
      <c r="R59" s="6" t="s">
        <v>60</v>
      </c>
      <c r="S59" s="6"/>
      <c r="T59" s="6"/>
      <c r="U59" s="23" t="n">
        <v>6.603</v>
      </c>
      <c r="V59" s="6" t="s">
        <v>3760</v>
      </c>
      <c r="W59" s="6" t="s">
        <v>3761</v>
      </c>
      <c r="X59" s="6" t="s">
        <v>3762</v>
      </c>
      <c r="Y59" s="6" t="s">
        <v>60</v>
      </c>
      <c r="Z59" s="6" t="n">
        <v>0</v>
      </c>
      <c r="AA59" s="6" t="n">
        <v>0</v>
      </c>
      <c r="AB59" s="6" t="n">
        <v>0</v>
      </c>
      <c r="AC59" s="6" t="n">
        <v>0</v>
      </c>
      <c r="AD59" s="6" t="n">
        <v>0</v>
      </c>
      <c r="AE59" s="6" t="n">
        <v>0</v>
      </c>
      <c r="AF59" s="6" t="n">
        <v>0</v>
      </c>
      <c r="AG59" s="6" t="n">
        <v>0</v>
      </c>
      <c r="AH59" s="6" t="n">
        <v>0</v>
      </c>
      <c r="AI59" s="6" t="s">
        <v>84</v>
      </c>
    </row>
    <row r="60" customFormat="false" ht="15" hidden="false" customHeight="false" outlineLevel="0" collapsed="false">
      <c r="A60" s="6" t="n">
        <v>59</v>
      </c>
      <c r="B60" s="6" t="s">
        <v>3763</v>
      </c>
      <c r="C60" s="6" t="n">
        <v>2</v>
      </c>
      <c r="D60" s="6" t="s">
        <v>63</v>
      </c>
      <c r="E60" s="6" t="s">
        <v>67</v>
      </c>
      <c r="F60" s="6" t="n">
        <v>1</v>
      </c>
      <c r="G60" s="6" t="n">
        <v>13</v>
      </c>
      <c r="H60" s="6" t="s">
        <v>1682</v>
      </c>
      <c r="I60" s="22" t="n">
        <v>676000</v>
      </c>
      <c r="J60" s="22" t="n">
        <v>4500</v>
      </c>
      <c r="K60" s="22" t="n">
        <v>51037.5</v>
      </c>
      <c r="L60" s="22" t="n">
        <v>731537.5</v>
      </c>
      <c r="M60" s="6" t="s">
        <v>57</v>
      </c>
      <c r="N60" s="6" t="s">
        <v>58</v>
      </c>
      <c r="O60" s="6"/>
      <c r="P60" s="6" t="s">
        <v>69</v>
      </c>
      <c r="Q60" s="6" t="str">
        <f aca="false">IF(P60="pass","No","Yes")</f>
        <v>No</v>
      </c>
      <c r="R60" s="6" t="s">
        <v>60</v>
      </c>
      <c r="S60" s="6"/>
      <c r="T60" s="6"/>
      <c r="U60" s="23" t="n">
        <v>4.009</v>
      </c>
      <c r="V60" s="6" t="s">
        <v>3764</v>
      </c>
      <c r="W60" s="6" t="s">
        <v>3765</v>
      </c>
      <c r="X60" s="6" t="s">
        <v>3766</v>
      </c>
      <c r="Y60" s="6" t="s">
        <v>60</v>
      </c>
      <c r="Z60" s="6" t="n">
        <v>0</v>
      </c>
      <c r="AA60" s="6" t="n">
        <v>0</v>
      </c>
      <c r="AB60" s="6" t="n">
        <v>0</v>
      </c>
      <c r="AC60" s="6" t="n">
        <v>0</v>
      </c>
      <c r="AD60" s="6" t="n">
        <v>0</v>
      </c>
      <c r="AE60" s="6" t="n">
        <v>0</v>
      </c>
      <c r="AF60" s="6" t="n">
        <v>0</v>
      </c>
      <c r="AG60" s="6" t="n">
        <v>0</v>
      </c>
      <c r="AH60" s="6" t="n">
        <v>0</v>
      </c>
      <c r="AI60" s="6" t="s">
        <v>84</v>
      </c>
    </row>
    <row r="61" customFormat="false" ht="15" hidden="false" customHeight="false" outlineLevel="0" collapsed="false">
      <c r="A61" s="6" t="n">
        <v>60</v>
      </c>
      <c r="B61" s="6" t="s">
        <v>3767</v>
      </c>
      <c r="C61" s="6" t="n">
        <v>2</v>
      </c>
      <c r="D61" s="6" t="s">
        <v>51</v>
      </c>
      <c r="E61" s="6" t="s">
        <v>55</v>
      </c>
      <c r="F61" s="6" t="n">
        <v>3</v>
      </c>
      <c r="G61" s="6" t="n">
        <v>103</v>
      </c>
      <c r="H61" s="6" t="s">
        <v>3768</v>
      </c>
      <c r="I61" s="22" t="n">
        <v>1578800</v>
      </c>
      <c r="J61" s="22" t="n">
        <v>6000</v>
      </c>
      <c r="K61" s="22" t="n">
        <v>118860</v>
      </c>
      <c r="L61" s="22" t="n">
        <v>1703660</v>
      </c>
      <c r="M61" s="6" t="s">
        <v>1009</v>
      </c>
      <c r="N61" s="6" t="s">
        <v>58</v>
      </c>
      <c r="O61" s="6"/>
      <c r="P61" s="6" t="s">
        <v>69</v>
      </c>
      <c r="Q61" s="6" t="str">
        <f aca="false">IF(P61="pass","No","Yes")</f>
        <v>No</v>
      </c>
      <c r="R61" s="6" t="s">
        <v>60</v>
      </c>
      <c r="S61" s="6"/>
      <c r="T61" s="6"/>
      <c r="U61" s="23" t="n">
        <v>6.775</v>
      </c>
      <c r="V61" s="6" t="s">
        <v>3769</v>
      </c>
      <c r="W61" s="6" t="s">
        <v>3770</v>
      </c>
      <c r="X61" s="6" t="s">
        <v>3771</v>
      </c>
      <c r="Y61" s="6" t="s">
        <v>60</v>
      </c>
      <c r="Z61" s="6" t="n">
        <v>0</v>
      </c>
      <c r="AA61" s="6" t="n">
        <v>0</v>
      </c>
      <c r="AB61" s="6" t="n">
        <v>0</v>
      </c>
      <c r="AC61" s="6" t="n">
        <v>0</v>
      </c>
      <c r="AD61" s="6" t="n">
        <v>0</v>
      </c>
      <c r="AE61" s="6" t="n">
        <v>0</v>
      </c>
      <c r="AF61" s="6" t="n">
        <v>0</v>
      </c>
      <c r="AG61" s="6" t="n">
        <v>0</v>
      </c>
      <c r="AH61" s="6" t="n">
        <v>0</v>
      </c>
      <c r="AI61" s="6" t="s">
        <v>84</v>
      </c>
    </row>
    <row r="62" customFormat="false" ht="15" hidden="false" customHeight="false" outlineLevel="0" collapsed="false">
      <c r="A62" s="6" t="n">
        <v>61</v>
      </c>
      <c r="B62" s="6" t="s">
        <v>3772</v>
      </c>
      <c r="C62" s="6" t="n">
        <v>2</v>
      </c>
      <c r="D62" s="6" t="s">
        <v>213</v>
      </c>
      <c r="E62" s="6" t="s">
        <v>67</v>
      </c>
      <c r="F62" s="6" t="n">
        <v>2</v>
      </c>
      <c r="G62" s="6" t="n">
        <v>265</v>
      </c>
      <c r="H62" s="6" t="s">
        <v>3773</v>
      </c>
      <c r="I62" s="22" t="n">
        <v>2730000</v>
      </c>
      <c r="J62" s="22" t="n">
        <v>4500</v>
      </c>
      <c r="K62" s="22" t="n">
        <v>205087.5</v>
      </c>
      <c r="L62" s="22" t="n">
        <v>2939587.5</v>
      </c>
      <c r="M62" s="6" t="s">
        <v>927</v>
      </c>
      <c r="N62" s="6" t="s">
        <v>58</v>
      </c>
      <c r="O62" s="6"/>
      <c r="P62" s="6" t="s">
        <v>59</v>
      </c>
      <c r="Q62" s="6" t="str">
        <f aca="false">IF(P62="pass","No","Yes")</f>
        <v>Yes</v>
      </c>
      <c r="R62" s="6" t="s">
        <v>60</v>
      </c>
      <c r="S62" s="6" t="s">
        <v>915</v>
      </c>
      <c r="T62" s="6" t="s">
        <v>3774</v>
      </c>
      <c r="U62" s="23" t="n">
        <v>9.639</v>
      </c>
      <c r="V62" s="6" t="s">
        <v>3775</v>
      </c>
      <c r="W62" s="6" t="s">
        <v>3776</v>
      </c>
      <c r="X62" s="6" t="s">
        <v>3777</v>
      </c>
      <c r="Y62" s="6" t="s">
        <v>60</v>
      </c>
      <c r="Z62" s="6" t="n">
        <v>0</v>
      </c>
      <c r="AA62" s="6" t="n">
        <v>0</v>
      </c>
      <c r="AB62" s="6" t="n">
        <v>0</v>
      </c>
      <c r="AC62" s="6" t="n">
        <v>0</v>
      </c>
      <c r="AD62" s="6" t="n">
        <v>0</v>
      </c>
      <c r="AE62" s="6" t="n">
        <v>0</v>
      </c>
      <c r="AF62" s="6" t="n">
        <v>0</v>
      </c>
      <c r="AG62" s="6" t="n">
        <v>0</v>
      </c>
      <c r="AH62" s="6" t="n">
        <v>1</v>
      </c>
      <c r="AI62" s="6" t="s">
        <v>84</v>
      </c>
    </row>
    <row r="63" customFormat="false" ht="15" hidden="false" customHeight="false" outlineLevel="0" collapsed="false">
      <c r="A63" s="6" t="n">
        <v>62</v>
      </c>
      <c r="B63" s="6" t="s">
        <v>3778</v>
      </c>
      <c r="C63" s="6" t="n">
        <v>2</v>
      </c>
      <c r="D63" s="6" t="s">
        <v>112</v>
      </c>
      <c r="E63" s="6" t="s">
        <v>116</v>
      </c>
      <c r="F63" s="6" t="n">
        <v>3</v>
      </c>
      <c r="G63" s="6" t="n">
        <v>97</v>
      </c>
      <c r="H63" s="6" t="s">
        <v>3779</v>
      </c>
      <c r="I63" s="22" t="n">
        <v>1168400</v>
      </c>
      <c r="J63" s="22" t="n">
        <v>15000</v>
      </c>
      <c r="K63" s="22" t="n">
        <v>88755</v>
      </c>
      <c r="L63" s="22" t="n">
        <v>1272155</v>
      </c>
      <c r="M63" s="6" t="s">
        <v>1042</v>
      </c>
      <c r="N63" s="6" t="s">
        <v>58</v>
      </c>
      <c r="O63" s="6"/>
      <c r="P63" s="6" t="s">
        <v>69</v>
      </c>
      <c r="Q63" s="6" t="str">
        <f aca="false">IF(P63="pass","No","Yes")</f>
        <v>No</v>
      </c>
      <c r="R63" s="6" t="s">
        <v>60</v>
      </c>
      <c r="S63" s="6"/>
      <c r="T63" s="6"/>
      <c r="U63" s="23" t="n">
        <v>6.445</v>
      </c>
      <c r="V63" s="6" t="s">
        <v>3780</v>
      </c>
      <c r="W63" s="6" t="s">
        <v>3781</v>
      </c>
      <c r="X63" s="6" t="s">
        <v>3782</v>
      </c>
      <c r="Y63" s="6" t="s">
        <v>60</v>
      </c>
      <c r="Z63" s="6" t="n">
        <v>0</v>
      </c>
      <c r="AA63" s="6" t="n">
        <v>0</v>
      </c>
      <c r="AB63" s="6" t="n">
        <v>0</v>
      </c>
      <c r="AC63" s="6" t="n">
        <v>0</v>
      </c>
      <c r="AD63" s="6" t="n">
        <v>0</v>
      </c>
      <c r="AE63" s="6" t="n">
        <v>0</v>
      </c>
      <c r="AF63" s="6" t="n">
        <v>0</v>
      </c>
      <c r="AG63" s="6" t="n">
        <v>0</v>
      </c>
      <c r="AH63" s="6" t="n">
        <v>0</v>
      </c>
      <c r="AI63" s="6" t="s">
        <v>84</v>
      </c>
    </row>
    <row r="64" customFormat="false" ht="15" hidden="false" customHeight="false" outlineLevel="0" collapsed="false">
      <c r="A64" s="6" t="n">
        <v>63</v>
      </c>
      <c r="B64" s="6" t="s">
        <v>3783</v>
      </c>
      <c r="C64" s="6" t="n">
        <v>2</v>
      </c>
      <c r="D64" s="6" t="s">
        <v>77</v>
      </c>
      <c r="E64" s="6" t="s">
        <v>81</v>
      </c>
      <c r="F64" s="6" t="n">
        <v>1</v>
      </c>
      <c r="G64" s="6" t="n">
        <v>10</v>
      </c>
      <c r="H64" s="6" t="s">
        <v>865</v>
      </c>
      <c r="I64" s="22" t="n">
        <v>520000</v>
      </c>
      <c r="J64" s="22" t="n">
        <v>4000</v>
      </c>
      <c r="K64" s="22" t="n">
        <v>39300</v>
      </c>
      <c r="L64" s="22" t="n">
        <v>563300</v>
      </c>
      <c r="M64" s="6" t="s">
        <v>57</v>
      </c>
      <c r="N64" s="6" t="s">
        <v>58</v>
      </c>
      <c r="O64" s="6"/>
      <c r="P64" s="6" t="s">
        <v>69</v>
      </c>
      <c r="Q64" s="6" t="str">
        <f aca="false">IF(P64="pass","No","Yes")</f>
        <v>No</v>
      </c>
      <c r="R64" s="6" t="s">
        <v>60</v>
      </c>
      <c r="S64" s="6"/>
      <c r="T64" s="6"/>
      <c r="U64" s="23" t="n">
        <v>4.499</v>
      </c>
      <c r="V64" s="6" t="s">
        <v>3784</v>
      </c>
      <c r="W64" s="6" t="s">
        <v>3785</v>
      </c>
      <c r="X64" s="6" t="s">
        <v>3786</v>
      </c>
      <c r="Y64" s="6" t="s">
        <v>60</v>
      </c>
      <c r="Z64" s="6" t="n">
        <v>0</v>
      </c>
      <c r="AA64" s="6" t="n">
        <v>0</v>
      </c>
      <c r="AB64" s="6" t="n">
        <v>0</v>
      </c>
      <c r="AC64" s="6" t="n">
        <v>0</v>
      </c>
      <c r="AD64" s="6" t="n">
        <v>0</v>
      </c>
      <c r="AE64" s="6" t="n">
        <v>0</v>
      </c>
      <c r="AF64" s="6" t="n">
        <v>0</v>
      </c>
      <c r="AG64" s="6" t="n">
        <v>0</v>
      </c>
      <c r="AH64" s="6" t="n">
        <v>0</v>
      </c>
      <c r="AI64" s="6" t="s">
        <v>84</v>
      </c>
    </row>
    <row r="65" customFormat="false" ht="15" hidden="false" customHeight="false" outlineLevel="0" collapsed="false">
      <c r="A65" s="6" t="n">
        <v>64</v>
      </c>
      <c r="B65" s="6" t="s">
        <v>3787</v>
      </c>
      <c r="C65" s="6" t="n">
        <v>2</v>
      </c>
      <c r="D65" s="6" t="s">
        <v>142</v>
      </c>
      <c r="E65" s="6" t="s">
        <v>74</v>
      </c>
      <c r="F65" s="6" t="n">
        <v>3</v>
      </c>
      <c r="G65" s="6" t="n">
        <v>330</v>
      </c>
      <c r="H65" s="6" t="s">
        <v>3788</v>
      </c>
      <c r="I65" s="22" t="n">
        <v>2974000</v>
      </c>
      <c r="J65" s="22" t="n">
        <v>9000</v>
      </c>
      <c r="K65" s="22" t="n">
        <v>223725</v>
      </c>
      <c r="L65" s="22" t="n">
        <v>3206725</v>
      </c>
      <c r="M65" s="6" t="s">
        <v>57</v>
      </c>
      <c r="N65" s="6" t="s">
        <v>58</v>
      </c>
      <c r="O65" s="6"/>
      <c r="P65" s="6" t="s">
        <v>59</v>
      </c>
      <c r="Q65" s="6" t="str">
        <f aca="false">IF(P65="pass","No","Yes")</f>
        <v>Yes</v>
      </c>
      <c r="R65" s="6" t="s">
        <v>60</v>
      </c>
      <c r="S65" s="6" t="s">
        <v>915</v>
      </c>
      <c r="T65" s="6" t="s">
        <v>3789</v>
      </c>
      <c r="U65" s="23" t="n">
        <v>15.881</v>
      </c>
      <c r="V65" s="6" t="s">
        <v>3790</v>
      </c>
      <c r="W65" s="6" t="s">
        <v>3791</v>
      </c>
      <c r="X65" s="6" t="s">
        <v>3792</v>
      </c>
      <c r="Y65" s="6" t="s">
        <v>60</v>
      </c>
      <c r="Z65" s="6" t="n">
        <v>0</v>
      </c>
      <c r="AA65" s="6" t="n">
        <v>0</v>
      </c>
      <c r="AB65" s="6" t="n">
        <v>0</v>
      </c>
      <c r="AC65" s="6" t="n">
        <v>0</v>
      </c>
      <c r="AD65" s="6" t="n">
        <v>0</v>
      </c>
      <c r="AE65" s="6" t="n">
        <v>0</v>
      </c>
      <c r="AF65" s="6" t="n">
        <v>0</v>
      </c>
      <c r="AG65" s="6" t="n">
        <v>0</v>
      </c>
      <c r="AH65" s="6" t="n">
        <v>1</v>
      </c>
      <c r="AI65" s="6" t="s">
        <v>84</v>
      </c>
    </row>
    <row r="66" customFormat="false" ht="15" hidden="false" customHeight="false" outlineLevel="0" collapsed="false">
      <c r="A66" s="6" t="n">
        <v>65</v>
      </c>
      <c r="B66" s="6" t="s">
        <v>3793</v>
      </c>
      <c r="C66" s="6" t="n">
        <v>2</v>
      </c>
      <c r="D66" s="6" t="s">
        <v>119</v>
      </c>
      <c r="E66" s="6" t="s">
        <v>123</v>
      </c>
      <c r="F66" s="6" t="n">
        <v>1</v>
      </c>
      <c r="G66" s="6" t="n">
        <v>6</v>
      </c>
      <c r="H66" s="6" t="s">
        <v>1783</v>
      </c>
      <c r="I66" s="22" t="n">
        <v>186000</v>
      </c>
      <c r="J66" s="22" t="n">
        <v>5000</v>
      </c>
      <c r="K66" s="22" t="n">
        <v>14325</v>
      </c>
      <c r="L66" s="22" t="n">
        <v>205325</v>
      </c>
      <c r="M66" s="6" t="s">
        <v>1042</v>
      </c>
      <c r="N66" s="6" t="s">
        <v>58</v>
      </c>
      <c r="O66" s="6"/>
      <c r="P66" s="6" t="s">
        <v>69</v>
      </c>
      <c r="Q66" s="6" t="str">
        <f aca="false">IF(P66="pass","No","Yes")</f>
        <v>No</v>
      </c>
      <c r="R66" s="6" t="s">
        <v>60</v>
      </c>
      <c r="S66" s="6"/>
      <c r="T66" s="6"/>
      <c r="U66" s="23" t="n">
        <v>4.618</v>
      </c>
      <c r="V66" s="6" t="s">
        <v>3794</v>
      </c>
      <c r="W66" s="6" t="s">
        <v>3795</v>
      </c>
      <c r="X66" s="6" t="s">
        <v>3796</v>
      </c>
      <c r="Y66" s="6" t="s">
        <v>60</v>
      </c>
      <c r="Z66" s="6" t="n">
        <v>0</v>
      </c>
      <c r="AA66" s="6" t="n">
        <v>0</v>
      </c>
      <c r="AB66" s="6" t="n">
        <v>0</v>
      </c>
      <c r="AC66" s="6" t="n">
        <v>0</v>
      </c>
      <c r="AD66" s="6" t="n">
        <v>0</v>
      </c>
      <c r="AE66" s="6" t="n">
        <v>0</v>
      </c>
      <c r="AF66" s="6" t="n">
        <v>0</v>
      </c>
      <c r="AG66" s="6" t="n">
        <v>0</v>
      </c>
      <c r="AH66" s="6" t="n">
        <v>0</v>
      </c>
      <c r="AI66" s="6" t="s">
        <v>84</v>
      </c>
    </row>
    <row r="67" customFormat="false" ht="15" hidden="false" customHeight="false" outlineLevel="0" collapsed="false">
      <c r="A67" s="6" t="n">
        <v>66</v>
      </c>
      <c r="B67" s="6" t="s">
        <v>3797</v>
      </c>
      <c r="C67" s="6" t="n">
        <v>2</v>
      </c>
      <c r="D67" s="6" t="s">
        <v>89</v>
      </c>
      <c r="E67" s="6" t="s">
        <v>67</v>
      </c>
      <c r="F67" s="6" t="n">
        <v>2</v>
      </c>
      <c r="G67" s="6" t="n">
        <v>121</v>
      </c>
      <c r="H67" s="6" t="s">
        <v>3798</v>
      </c>
      <c r="I67" s="22" t="n">
        <v>1138700</v>
      </c>
      <c r="J67" s="22" t="n">
        <v>4500</v>
      </c>
      <c r="K67" s="22" t="n">
        <v>85740</v>
      </c>
      <c r="L67" s="22" t="n">
        <v>1228940</v>
      </c>
      <c r="M67" s="6" t="s">
        <v>57</v>
      </c>
      <c r="N67" s="6" t="s">
        <v>58</v>
      </c>
      <c r="O67" s="6"/>
      <c r="P67" s="6" t="s">
        <v>59</v>
      </c>
      <c r="Q67" s="6" t="str">
        <f aca="false">IF(P67="pass","No","Yes")</f>
        <v>Yes</v>
      </c>
      <c r="R67" s="6" t="s">
        <v>60</v>
      </c>
      <c r="S67" s="6" t="s">
        <v>915</v>
      </c>
      <c r="T67" s="6" t="s">
        <v>125</v>
      </c>
      <c r="U67" s="23" t="n">
        <v>10.155</v>
      </c>
      <c r="V67" s="6" t="s">
        <v>3799</v>
      </c>
      <c r="W67" s="6" t="s">
        <v>3800</v>
      </c>
      <c r="X67" s="6" t="s">
        <v>3801</v>
      </c>
      <c r="Y67" s="6" t="s">
        <v>60</v>
      </c>
      <c r="Z67" s="6" t="n">
        <v>0</v>
      </c>
      <c r="AA67" s="6" t="n">
        <v>0</v>
      </c>
      <c r="AB67" s="6" t="n">
        <v>0</v>
      </c>
      <c r="AC67" s="6" t="n">
        <v>0</v>
      </c>
      <c r="AD67" s="6" t="n">
        <v>0</v>
      </c>
      <c r="AE67" s="6" t="n">
        <v>0</v>
      </c>
      <c r="AF67" s="6" t="n">
        <v>0</v>
      </c>
      <c r="AG67" s="6" t="n">
        <v>0</v>
      </c>
      <c r="AH67" s="6" t="n">
        <v>1</v>
      </c>
      <c r="AI67" s="6" t="s">
        <v>84</v>
      </c>
    </row>
    <row r="68" customFormat="false" ht="15" hidden="false" customHeight="false" outlineLevel="0" collapsed="false">
      <c r="A68" s="6" t="n">
        <v>67</v>
      </c>
      <c r="B68" s="6" t="s">
        <v>3802</v>
      </c>
      <c r="C68" s="6" t="n">
        <v>2</v>
      </c>
      <c r="D68" s="6" t="s">
        <v>237</v>
      </c>
      <c r="E68" s="6" t="s">
        <v>146</v>
      </c>
      <c r="F68" s="6" t="n">
        <v>3</v>
      </c>
      <c r="G68" s="6" t="n">
        <v>43</v>
      </c>
      <c r="H68" s="6" t="s">
        <v>3803</v>
      </c>
      <c r="I68" s="22" t="n">
        <v>1627000</v>
      </c>
      <c r="J68" s="22" t="n">
        <v>0</v>
      </c>
      <c r="K68" s="22" t="n">
        <v>122025</v>
      </c>
      <c r="L68" s="22" t="n">
        <v>1749025</v>
      </c>
      <c r="M68" s="6" t="s">
        <v>148</v>
      </c>
      <c r="N68" s="6" t="s">
        <v>84</v>
      </c>
      <c r="O68" s="6" t="s">
        <v>866</v>
      </c>
      <c r="P68" s="6" t="s">
        <v>85</v>
      </c>
      <c r="Q68" s="6" t="str">
        <f aca="false">IF(P68="pass","No","Yes")</f>
        <v>Yes</v>
      </c>
      <c r="R68" s="6" t="s">
        <v>86</v>
      </c>
      <c r="S68" s="6" t="s">
        <v>866</v>
      </c>
      <c r="T68" s="6" t="s">
        <v>150</v>
      </c>
      <c r="U68" s="23" t="n">
        <v>5.905</v>
      </c>
      <c r="V68" s="6" t="s">
        <v>3804</v>
      </c>
      <c r="W68" s="6" t="s">
        <v>3805</v>
      </c>
      <c r="X68" s="6" t="s">
        <v>3806</v>
      </c>
      <c r="Y68" s="6" t="s">
        <v>86</v>
      </c>
      <c r="Z68" s="6" t="n">
        <v>1</v>
      </c>
      <c r="AA68" s="6" t="n">
        <v>0</v>
      </c>
      <c r="AB68" s="6" t="n">
        <v>0</v>
      </c>
      <c r="AC68" s="6" t="n">
        <v>0</v>
      </c>
      <c r="AD68" s="6" t="n">
        <v>0</v>
      </c>
      <c r="AE68" s="6" t="n">
        <v>0</v>
      </c>
      <c r="AF68" s="6" t="n">
        <v>0</v>
      </c>
      <c r="AG68" s="6" t="n">
        <v>0</v>
      </c>
      <c r="AH68" s="6" t="n">
        <v>0</v>
      </c>
      <c r="AI68" s="6" t="s">
        <v>84</v>
      </c>
    </row>
    <row r="69" customFormat="false" ht="15" hidden="false" customHeight="false" outlineLevel="0" collapsed="false">
      <c r="A69" s="6" t="n">
        <v>68</v>
      </c>
      <c r="B69" s="6" t="s">
        <v>3807</v>
      </c>
      <c r="C69" s="6" t="n">
        <v>2</v>
      </c>
      <c r="D69" s="6" t="s">
        <v>198</v>
      </c>
      <c r="E69" s="6" t="s">
        <v>81</v>
      </c>
      <c r="F69" s="6" t="n">
        <v>1</v>
      </c>
      <c r="G69" s="6" t="n">
        <v>47</v>
      </c>
      <c r="H69" s="6" t="s">
        <v>3808</v>
      </c>
      <c r="I69" s="22" t="n">
        <v>554600</v>
      </c>
      <c r="J69" s="22" t="n">
        <v>4000</v>
      </c>
      <c r="K69" s="22" t="n">
        <v>41895</v>
      </c>
      <c r="L69" s="22" t="n">
        <v>600495</v>
      </c>
      <c r="M69" s="6" t="s">
        <v>984</v>
      </c>
      <c r="N69" s="6" t="s">
        <v>84</v>
      </c>
      <c r="O69" s="6" t="s">
        <v>985</v>
      </c>
      <c r="P69" s="6" t="s">
        <v>85</v>
      </c>
      <c r="Q69" s="6" t="str">
        <f aca="false">IF(P69="pass","No","Yes")</f>
        <v>Yes</v>
      </c>
      <c r="R69" s="6" t="s">
        <v>86</v>
      </c>
      <c r="S69" s="6" t="s">
        <v>985</v>
      </c>
      <c r="T69" s="6" t="s">
        <v>3809</v>
      </c>
      <c r="U69" s="23" t="n">
        <v>4.206</v>
      </c>
      <c r="V69" s="6" t="s">
        <v>3810</v>
      </c>
      <c r="W69" s="6" t="s">
        <v>3811</v>
      </c>
      <c r="X69" s="6" t="s">
        <v>3812</v>
      </c>
      <c r="Y69" s="6" t="s">
        <v>86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1</v>
      </c>
      <c r="AF69" s="6" t="n">
        <v>0</v>
      </c>
      <c r="AG69" s="6" t="n">
        <v>0</v>
      </c>
      <c r="AH69" s="6" t="n">
        <v>0</v>
      </c>
      <c r="AI69" s="6" t="s">
        <v>84</v>
      </c>
    </row>
    <row r="70" customFormat="false" ht="15" hidden="false" customHeight="false" outlineLevel="0" collapsed="false">
      <c r="A70" s="6" t="n">
        <v>69</v>
      </c>
      <c r="B70" s="6" t="s">
        <v>3813</v>
      </c>
      <c r="C70" s="6" t="n">
        <v>2</v>
      </c>
      <c r="D70" s="6" t="s">
        <v>112</v>
      </c>
      <c r="E70" s="6" t="s">
        <v>116</v>
      </c>
      <c r="F70" s="6" t="n">
        <v>1</v>
      </c>
      <c r="G70" s="6" t="n">
        <v>137</v>
      </c>
      <c r="H70" s="6" t="s">
        <v>3814</v>
      </c>
      <c r="I70" s="22" t="n">
        <v>1301500</v>
      </c>
      <c r="J70" s="22" t="n">
        <v>15000</v>
      </c>
      <c r="K70" s="22" t="n">
        <v>98737.5</v>
      </c>
      <c r="L70" s="22" t="n">
        <v>1415237.5</v>
      </c>
      <c r="M70" s="6" t="s">
        <v>984</v>
      </c>
      <c r="N70" s="6" t="s">
        <v>84</v>
      </c>
      <c r="O70" s="6" t="s">
        <v>985</v>
      </c>
      <c r="P70" s="6" t="s">
        <v>85</v>
      </c>
      <c r="Q70" s="6" t="str">
        <f aca="false">IF(P70="pass","No","Yes")</f>
        <v>Yes</v>
      </c>
      <c r="R70" s="6" t="s">
        <v>86</v>
      </c>
      <c r="S70" s="6" t="s">
        <v>1885</v>
      </c>
      <c r="T70" s="6" t="s">
        <v>3815</v>
      </c>
      <c r="U70" s="23" t="n">
        <v>9.289</v>
      </c>
      <c r="V70" s="6" t="s">
        <v>3816</v>
      </c>
      <c r="W70" s="6" t="s">
        <v>3817</v>
      </c>
      <c r="X70" s="6" t="s">
        <v>3818</v>
      </c>
      <c r="Y70" s="6" t="s">
        <v>86</v>
      </c>
      <c r="Z70" s="6" t="n">
        <v>0</v>
      </c>
      <c r="AA70" s="6" t="n">
        <v>0</v>
      </c>
      <c r="AB70" s="6" t="n">
        <v>0</v>
      </c>
      <c r="AC70" s="6" t="n">
        <v>0</v>
      </c>
      <c r="AD70" s="6" t="n">
        <v>0</v>
      </c>
      <c r="AE70" s="6" t="n">
        <v>1</v>
      </c>
      <c r="AF70" s="6" t="n">
        <v>0</v>
      </c>
      <c r="AG70" s="6" t="n">
        <v>0</v>
      </c>
      <c r="AH70" s="6" t="n">
        <v>1</v>
      </c>
      <c r="AI70" s="6" t="s">
        <v>84</v>
      </c>
    </row>
    <row r="71" customFormat="false" ht="15" hidden="false" customHeight="false" outlineLevel="0" collapsed="false">
      <c r="A71" s="6" t="n">
        <v>70</v>
      </c>
      <c r="B71" s="6" t="s">
        <v>3819</v>
      </c>
      <c r="C71" s="6" t="n">
        <v>2</v>
      </c>
      <c r="D71" s="6" t="s">
        <v>127</v>
      </c>
      <c r="E71" s="6" t="s">
        <v>55</v>
      </c>
      <c r="F71" s="6" t="n">
        <v>2</v>
      </c>
      <c r="G71" s="6" t="n">
        <v>202</v>
      </c>
      <c r="H71" s="6" t="s">
        <v>3820</v>
      </c>
      <c r="I71" s="22" t="n">
        <v>1448200</v>
      </c>
      <c r="J71" s="22" t="n">
        <v>6000</v>
      </c>
      <c r="K71" s="22" t="n">
        <v>109065</v>
      </c>
      <c r="L71" s="22" t="n">
        <v>1563265</v>
      </c>
      <c r="M71" s="6" t="s">
        <v>927</v>
      </c>
      <c r="N71" s="6" t="s">
        <v>58</v>
      </c>
      <c r="O71" s="6"/>
      <c r="P71" s="6" t="s">
        <v>59</v>
      </c>
      <c r="Q71" s="6" t="str">
        <f aca="false">IF(P71="pass","No","Yes")</f>
        <v>Yes</v>
      </c>
      <c r="R71" s="6" t="s">
        <v>60</v>
      </c>
      <c r="S71" s="6" t="s">
        <v>915</v>
      </c>
      <c r="T71" s="6" t="s">
        <v>3821</v>
      </c>
      <c r="U71" s="23" t="n">
        <v>10.735</v>
      </c>
      <c r="V71" s="6" t="s">
        <v>3822</v>
      </c>
      <c r="W71" s="6" t="s">
        <v>3823</v>
      </c>
      <c r="X71" s="6" t="s">
        <v>3824</v>
      </c>
      <c r="Y71" s="6" t="s">
        <v>60</v>
      </c>
      <c r="Z71" s="6" t="n">
        <v>0</v>
      </c>
      <c r="AA71" s="6" t="n">
        <v>0</v>
      </c>
      <c r="AB71" s="6" t="n">
        <v>0</v>
      </c>
      <c r="AC71" s="6" t="n">
        <v>0</v>
      </c>
      <c r="AD71" s="6" t="n">
        <v>0</v>
      </c>
      <c r="AE71" s="6" t="n">
        <v>0</v>
      </c>
      <c r="AF71" s="6" t="n">
        <v>0</v>
      </c>
      <c r="AG71" s="6" t="n">
        <v>0</v>
      </c>
      <c r="AH71" s="6" t="n">
        <v>1</v>
      </c>
      <c r="AI71" s="6" t="s">
        <v>84</v>
      </c>
    </row>
    <row r="72" customFormat="false" ht="15" hidden="false" customHeight="false" outlineLevel="0" collapsed="false">
      <c r="A72" s="6" t="n">
        <v>71</v>
      </c>
      <c r="B72" s="6" t="s">
        <v>3825</v>
      </c>
      <c r="C72" s="6" t="n">
        <v>2</v>
      </c>
      <c r="D72" s="6" t="s">
        <v>100</v>
      </c>
      <c r="E72" s="6" t="s">
        <v>67</v>
      </c>
      <c r="F72" s="6" t="n">
        <v>3</v>
      </c>
      <c r="G72" s="6" t="n">
        <v>267</v>
      </c>
      <c r="H72" s="6" t="s">
        <v>3826</v>
      </c>
      <c r="I72" s="22" t="n">
        <v>2805800</v>
      </c>
      <c r="J72" s="22" t="n">
        <v>4500</v>
      </c>
      <c r="K72" s="22" t="n">
        <v>210772.5</v>
      </c>
      <c r="L72" s="22" t="n">
        <v>3021072.5</v>
      </c>
      <c r="M72" s="6" t="s">
        <v>57</v>
      </c>
      <c r="N72" s="6" t="s">
        <v>58</v>
      </c>
      <c r="O72" s="6"/>
      <c r="P72" s="6" t="s">
        <v>59</v>
      </c>
      <c r="Q72" s="6" t="str">
        <f aca="false">IF(P72="pass","No","Yes")</f>
        <v>Yes</v>
      </c>
      <c r="R72" s="6" t="s">
        <v>60</v>
      </c>
      <c r="S72" s="6" t="s">
        <v>915</v>
      </c>
      <c r="T72" s="6" t="s">
        <v>3827</v>
      </c>
      <c r="U72" s="23" t="n">
        <v>12.332</v>
      </c>
      <c r="V72" s="6" t="s">
        <v>3828</v>
      </c>
      <c r="W72" s="6" t="s">
        <v>3829</v>
      </c>
      <c r="X72" s="6" t="s">
        <v>3830</v>
      </c>
      <c r="Y72" s="6" t="s">
        <v>60</v>
      </c>
      <c r="Z72" s="6" t="n">
        <v>0</v>
      </c>
      <c r="AA72" s="6" t="n">
        <v>0</v>
      </c>
      <c r="AB72" s="6" t="n">
        <v>0</v>
      </c>
      <c r="AC72" s="6" t="n">
        <v>0</v>
      </c>
      <c r="AD72" s="6" t="n">
        <v>0</v>
      </c>
      <c r="AE72" s="6" t="n">
        <v>0</v>
      </c>
      <c r="AF72" s="6" t="n">
        <v>0</v>
      </c>
      <c r="AG72" s="6" t="n">
        <v>0</v>
      </c>
      <c r="AH72" s="6" t="n">
        <v>1</v>
      </c>
      <c r="AI72" s="6" t="s">
        <v>84</v>
      </c>
    </row>
    <row r="73" customFormat="false" ht="15" hidden="false" customHeight="false" outlineLevel="0" collapsed="false">
      <c r="A73" s="6" t="n">
        <v>72</v>
      </c>
      <c r="B73" s="6" t="s">
        <v>3831</v>
      </c>
      <c r="C73" s="6" t="n">
        <v>2</v>
      </c>
      <c r="D73" s="6" t="s">
        <v>119</v>
      </c>
      <c r="E73" s="6" t="s">
        <v>123</v>
      </c>
      <c r="F73" s="6" t="n">
        <v>1</v>
      </c>
      <c r="G73" s="6" t="n">
        <v>7</v>
      </c>
      <c r="H73" s="6" t="s">
        <v>1207</v>
      </c>
      <c r="I73" s="22" t="n">
        <v>266000</v>
      </c>
      <c r="J73" s="22" t="n">
        <v>5000</v>
      </c>
      <c r="K73" s="22" t="n">
        <v>20325</v>
      </c>
      <c r="L73" s="22" t="n">
        <v>291325</v>
      </c>
      <c r="M73" s="6" t="s">
        <v>57</v>
      </c>
      <c r="N73" s="6" t="s">
        <v>58</v>
      </c>
      <c r="O73" s="6"/>
      <c r="P73" s="6" t="s">
        <v>69</v>
      </c>
      <c r="Q73" s="6" t="str">
        <f aca="false">IF(P73="pass","No","Yes")</f>
        <v>No</v>
      </c>
      <c r="R73" s="6" t="s">
        <v>60</v>
      </c>
      <c r="S73" s="6"/>
      <c r="T73" s="6"/>
      <c r="U73" s="23" t="n">
        <v>4.653</v>
      </c>
      <c r="V73" s="6" t="s">
        <v>3832</v>
      </c>
      <c r="W73" s="6" t="s">
        <v>3833</v>
      </c>
      <c r="X73" s="6" t="s">
        <v>3834</v>
      </c>
      <c r="Y73" s="6" t="s">
        <v>60</v>
      </c>
      <c r="Z73" s="6" t="n">
        <v>0</v>
      </c>
      <c r="AA73" s="6" t="n">
        <v>0</v>
      </c>
      <c r="AB73" s="6" t="n">
        <v>0</v>
      </c>
      <c r="AC73" s="6" t="n">
        <v>0</v>
      </c>
      <c r="AD73" s="6" t="n">
        <v>0</v>
      </c>
      <c r="AE73" s="6" t="n">
        <v>0</v>
      </c>
      <c r="AF73" s="6" t="n">
        <v>0</v>
      </c>
      <c r="AG73" s="6" t="n">
        <v>0</v>
      </c>
      <c r="AH73" s="6" t="n">
        <v>0</v>
      </c>
      <c r="AI73" s="6" t="s">
        <v>84</v>
      </c>
    </row>
    <row r="74" customFormat="false" ht="15" hidden="false" customHeight="false" outlineLevel="0" collapsed="false">
      <c r="A74" s="6" t="n">
        <v>73</v>
      </c>
      <c r="B74" s="6" t="s">
        <v>3835</v>
      </c>
      <c r="C74" s="6" t="n">
        <v>2</v>
      </c>
      <c r="D74" s="6" t="s">
        <v>63</v>
      </c>
      <c r="E74" s="6" t="s">
        <v>67</v>
      </c>
      <c r="F74" s="6" t="n">
        <v>3</v>
      </c>
      <c r="G74" s="6" t="n">
        <v>140</v>
      </c>
      <c r="H74" s="6" t="s">
        <v>3836</v>
      </c>
      <c r="I74" s="22" t="n">
        <v>1961600</v>
      </c>
      <c r="J74" s="22" t="n">
        <v>4500</v>
      </c>
      <c r="K74" s="22" t="n">
        <v>147457.5</v>
      </c>
      <c r="L74" s="22" t="n">
        <v>2113557.5</v>
      </c>
      <c r="M74" s="6" t="s">
        <v>57</v>
      </c>
      <c r="N74" s="6" t="s">
        <v>58</v>
      </c>
      <c r="O74" s="6"/>
      <c r="P74" s="6" t="s">
        <v>69</v>
      </c>
      <c r="Q74" s="6" t="str">
        <f aca="false">IF(P74="pass","No","Yes")</f>
        <v>No</v>
      </c>
      <c r="R74" s="6" t="s">
        <v>60</v>
      </c>
      <c r="S74" s="6"/>
      <c r="T74" s="6"/>
      <c r="U74" s="23" t="n">
        <v>7.375</v>
      </c>
      <c r="V74" s="6" t="s">
        <v>3837</v>
      </c>
      <c r="W74" s="6" t="s">
        <v>3838</v>
      </c>
      <c r="X74" s="6" t="s">
        <v>3839</v>
      </c>
      <c r="Y74" s="6" t="s">
        <v>60</v>
      </c>
      <c r="Z74" s="6" t="n">
        <v>0</v>
      </c>
      <c r="AA74" s="6" t="n">
        <v>0</v>
      </c>
      <c r="AB74" s="6" t="n">
        <v>0</v>
      </c>
      <c r="AC74" s="6" t="n">
        <v>0</v>
      </c>
      <c r="AD74" s="6" t="n">
        <v>0</v>
      </c>
      <c r="AE74" s="6" t="n">
        <v>0</v>
      </c>
      <c r="AF74" s="6" t="n">
        <v>0</v>
      </c>
      <c r="AG74" s="6" t="n">
        <v>0</v>
      </c>
      <c r="AH74" s="6" t="n">
        <v>0</v>
      </c>
      <c r="AI74" s="6" t="s">
        <v>84</v>
      </c>
    </row>
    <row r="75" customFormat="false" ht="15" hidden="false" customHeight="false" outlineLevel="0" collapsed="false">
      <c r="A75" s="6" t="n">
        <v>74</v>
      </c>
      <c r="B75" s="6" t="s">
        <v>3840</v>
      </c>
      <c r="C75" s="6" t="n">
        <v>2</v>
      </c>
      <c r="D75" s="6" t="s">
        <v>237</v>
      </c>
      <c r="E75" s="6" t="s">
        <v>116</v>
      </c>
      <c r="F75" s="6" t="n">
        <v>3</v>
      </c>
      <c r="G75" s="6" t="n">
        <v>19</v>
      </c>
      <c r="H75" s="6" t="s">
        <v>3841</v>
      </c>
      <c r="I75" s="22" t="n">
        <v>836200</v>
      </c>
      <c r="J75" s="22" t="n">
        <v>15000</v>
      </c>
      <c r="K75" s="22" t="n">
        <v>63840</v>
      </c>
      <c r="L75" s="22" t="n">
        <v>915040</v>
      </c>
      <c r="M75" s="6" t="s">
        <v>57</v>
      </c>
      <c r="N75" s="6" t="s">
        <v>58</v>
      </c>
      <c r="O75" s="6"/>
      <c r="P75" s="6" t="s">
        <v>69</v>
      </c>
      <c r="Q75" s="6" t="str">
        <f aca="false">IF(P75="pass","No","Yes")</f>
        <v>No</v>
      </c>
      <c r="R75" s="6" t="s">
        <v>60</v>
      </c>
      <c r="S75" s="6"/>
      <c r="T75" s="6"/>
      <c r="U75" s="23" t="n">
        <v>6.77</v>
      </c>
      <c r="V75" s="6" t="s">
        <v>3842</v>
      </c>
      <c r="W75" s="6" t="s">
        <v>3843</v>
      </c>
      <c r="X75" s="6" t="s">
        <v>3844</v>
      </c>
      <c r="Y75" s="6" t="s">
        <v>60</v>
      </c>
      <c r="Z75" s="6" t="n">
        <v>0</v>
      </c>
      <c r="AA75" s="6" t="n">
        <v>0</v>
      </c>
      <c r="AB75" s="6" t="n">
        <v>0</v>
      </c>
      <c r="AC75" s="6" t="n">
        <v>0</v>
      </c>
      <c r="AD75" s="6" t="n">
        <v>0</v>
      </c>
      <c r="AE75" s="6" t="n">
        <v>0</v>
      </c>
      <c r="AF75" s="6" t="n">
        <v>0</v>
      </c>
      <c r="AG75" s="6" t="n">
        <v>0</v>
      </c>
      <c r="AH75" s="6" t="n">
        <v>0</v>
      </c>
      <c r="AI75" s="6" t="s">
        <v>84</v>
      </c>
    </row>
    <row r="76" customFormat="false" ht="15" hidden="false" customHeight="false" outlineLevel="0" collapsed="false">
      <c r="A76" s="6" t="n">
        <v>75</v>
      </c>
      <c r="B76" s="6" t="s">
        <v>3845</v>
      </c>
      <c r="C76" s="6" t="n">
        <v>2</v>
      </c>
      <c r="D76" s="6" t="s">
        <v>142</v>
      </c>
      <c r="E76" s="6" t="s">
        <v>74</v>
      </c>
      <c r="F76" s="6" t="n">
        <v>1</v>
      </c>
      <c r="G76" s="6" t="n">
        <v>2</v>
      </c>
      <c r="H76" s="6" t="s">
        <v>959</v>
      </c>
      <c r="I76" s="22" t="n">
        <v>8200</v>
      </c>
      <c r="J76" s="22" t="n">
        <v>9000</v>
      </c>
      <c r="K76" s="22" t="n">
        <v>1290</v>
      </c>
      <c r="L76" s="22" t="n">
        <v>18490</v>
      </c>
      <c r="M76" s="6" t="s">
        <v>984</v>
      </c>
      <c r="N76" s="6" t="s">
        <v>84</v>
      </c>
      <c r="O76" s="6" t="s">
        <v>985</v>
      </c>
      <c r="P76" s="6" t="s">
        <v>85</v>
      </c>
      <c r="Q76" s="6" t="str">
        <f aca="false">IF(P76="pass","No","Yes")</f>
        <v>Yes</v>
      </c>
      <c r="R76" s="6" t="s">
        <v>86</v>
      </c>
      <c r="S76" s="6" t="s">
        <v>985</v>
      </c>
      <c r="T76" s="6" t="s">
        <v>3244</v>
      </c>
      <c r="U76" s="23" t="n">
        <v>4.05</v>
      </c>
      <c r="V76" s="6" t="s">
        <v>3846</v>
      </c>
      <c r="W76" s="6" t="s">
        <v>3847</v>
      </c>
      <c r="X76" s="6" t="s">
        <v>3848</v>
      </c>
      <c r="Y76" s="6" t="s">
        <v>86</v>
      </c>
      <c r="Z76" s="6" t="n">
        <v>0</v>
      </c>
      <c r="AA76" s="6" t="n">
        <v>0</v>
      </c>
      <c r="AB76" s="6" t="n">
        <v>0</v>
      </c>
      <c r="AC76" s="6" t="n">
        <v>0</v>
      </c>
      <c r="AD76" s="6" t="n">
        <v>0</v>
      </c>
      <c r="AE76" s="6" t="n">
        <v>1</v>
      </c>
      <c r="AF76" s="6" t="n">
        <v>0</v>
      </c>
      <c r="AG76" s="6" t="n">
        <v>0</v>
      </c>
      <c r="AH76" s="6" t="n">
        <v>0</v>
      </c>
      <c r="AI76" s="6" t="s">
        <v>84</v>
      </c>
    </row>
    <row r="77" customFormat="false" ht="15" hidden="false" customHeight="false" outlineLevel="0" collapsed="false">
      <c r="A77" s="6" t="n">
        <v>76</v>
      </c>
      <c r="B77" s="6" t="s">
        <v>3849</v>
      </c>
      <c r="C77" s="6" t="n">
        <v>2</v>
      </c>
      <c r="D77" s="6" t="s">
        <v>51</v>
      </c>
      <c r="E77" s="6" t="s">
        <v>55</v>
      </c>
      <c r="F77" s="6" t="n">
        <v>1</v>
      </c>
      <c r="G77" s="6" t="n">
        <v>26</v>
      </c>
      <c r="H77" s="6" t="s">
        <v>3850</v>
      </c>
      <c r="I77" s="22" t="n">
        <v>306800</v>
      </c>
      <c r="J77" s="22" t="n">
        <v>6000</v>
      </c>
      <c r="K77" s="22" t="n">
        <v>23460</v>
      </c>
      <c r="L77" s="22" t="n">
        <v>336260</v>
      </c>
      <c r="M77" s="6" t="s">
        <v>960</v>
      </c>
      <c r="N77" s="6" t="s">
        <v>84</v>
      </c>
      <c r="O77" s="6" t="s">
        <v>961</v>
      </c>
      <c r="P77" s="6" t="s">
        <v>85</v>
      </c>
      <c r="Q77" s="6" t="str">
        <f aca="false">IF(P77="pass","No","Yes")</f>
        <v>Yes</v>
      </c>
      <c r="R77" s="6" t="s">
        <v>86</v>
      </c>
      <c r="S77" s="6" t="s">
        <v>961</v>
      </c>
      <c r="T77" s="6" t="s">
        <v>962</v>
      </c>
      <c r="U77" s="23" t="n">
        <v>4.451</v>
      </c>
      <c r="V77" s="6" t="s">
        <v>3851</v>
      </c>
      <c r="W77" s="6" t="s">
        <v>3852</v>
      </c>
      <c r="X77" s="6" t="s">
        <v>3853</v>
      </c>
      <c r="Y77" s="6" t="s">
        <v>86</v>
      </c>
      <c r="Z77" s="6" t="n">
        <v>0</v>
      </c>
      <c r="AA77" s="6" t="n">
        <v>0</v>
      </c>
      <c r="AB77" s="6" t="n">
        <v>0</v>
      </c>
      <c r="AC77" s="6" t="n">
        <v>0</v>
      </c>
      <c r="AD77" s="6" t="n">
        <v>1</v>
      </c>
      <c r="AE77" s="6" t="n">
        <v>0</v>
      </c>
      <c r="AF77" s="6" t="n">
        <v>0</v>
      </c>
      <c r="AG77" s="6" t="n">
        <v>0</v>
      </c>
      <c r="AH77" s="6" t="n">
        <v>0</v>
      </c>
      <c r="AI77" s="6" t="s">
        <v>84</v>
      </c>
    </row>
    <row r="78" customFormat="false" ht="15" hidden="false" customHeight="false" outlineLevel="0" collapsed="false">
      <c r="A78" s="6" t="n">
        <v>77</v>
      </c>
      <c r="B78" s="6" t="s">
        <v>3854</v>
      </c>
      <c r="C78" s="6" t="n">
        <v>2</v>
      </c>
      <c r="D78" s="6" t="s">
        <v>70</v>
      </c>
      <c r="E78" s="6" t="s">
        <v>74</v>
      </c>
      <c r="F78" s="6" t="n">
        <v>3</v>
      </c>
      <c r="G78" s="6" t="n">
        <v>214</v>
      </c>
      <c r="H78" s="6" t="s">
        <v>3855</v>
      </c>
      <c r="I78" s="22" t="n">
        <v>2359100</v>
      </c>
      <c r="J78" s="22" t="n">
        <v>9000</v>
      </c>
      <c r="K78" s="22" t="n">
        <v>177607.5</v>
      </c>
      <c r="L78" s="22" t="n">
        <v>2545707.5</v>
      </c>
      <c r="M78" s="6" t="s">
        <v>57</v>
      </c>
      <c r="N78" s="6" t="s">
        <v>58</v>
      </c>
      <c r="O78" s="6"/>
      <c r="P78" s="6" t="s">
        <v>59</v>
      </c>
      <c r="Q78" s="6" t="str">
        <f aca="false">IF(P78="pass","No","Yes")</f>
        <v>Yes</v>
      </c>
      <c r="R78" s="6" t="s">
        <v>60</v>
      </c>
      <c r="S78" s="6" t="s">
        <v>915</v>
      </c>
      <c r="T78" s="6" t="s">
        <v>3856</v>
      </c>
      <c r="U78" s="23" t="n">
        <v>17.918</v>
      </c>
      <c r="V78" s="6" t="s">
        <v>3857</v>
      </c>
      <c r="W78" s="6" t="s">
        <v>3858</v>
      </c>
      <c r="X78" s="6" t="s">
        <v>3859</v>
      </c>
      <c r="Y78" s="6" t="s">
        <v>60</v>
      </c>
      <c r="Z78" s="6" t="n">
        <v>0</v>
      </c>
      <c r="AA78" s="6" t="n">
        <v>0</v>
      </c>
      <c r="AB78" s="6" t="n">
        <v>0</v>
      </c>
      <c r="AC78" s="6" t="n">
        <v>0</v>
      </c>
      <c r="AD78" s="6" t="n">
        <v>0</v>
      </c>
      <c r="AE78" s="6" t="n">
        <v>0</v>
      </c>
      <c r="AF78" s="6" t="n">
        <v>0</v>
      </c>
      <c r="AG78" s="6" t="n">
        <v>0</v>
      </c>
      <c r="AH78" s="6" t="n">
        <v>1</v>
      </c>
      <c r="AI78" s="6" t="s">
        <v>84</v>
      </c>
    </row>
    <row r="79" customFormat="false" ht="15" hidden="false" customHeight="false" outlineLevel="0" collapsed="false">
      <c r="A79" s="6" t="n">
        <v>78</v>
      </c>
      <c r="B79" s="6" t="s">
        <v>3860</v>
      </c>
      <c r="C79" s="6" t="n">
        <v>2</v>
      </c>
      <c r="D79" s="6" t="s">
        <v>191</v>
      </c>
      <c r="E79" s="6" t="s">
        <v>116</v>
      </c>
      <c r="F79" s="6" t="n">
        <v>4</v>
      </c>
      <c r="G79" s="6" t="n">
        <v>119</v>
      </c>
      <c r="H79" s="6" t="s">
        <v>3861</v>
      </c>
      <c r="I79" s="22" t="n">
        <v>1297600</v>
      </c>
      <c r="J79" s="22" t="n">
        <v>15000</v>
      </c>
      <c r="K79" s="22" t="n">
        <v>98445</v>
      </c>
      <c r="L79" s="22" t="n">
        <v>1411045</v>
      </c>
      <c r="M79" s="6" t="s">
        <v>83</v>
      </c>
      <c r="N79" s="6" t="s">
        <v>84</v>
      </c>
      <c r="O79" s="6" t="s">
        <v>886</v>
      </c>
      <c r="P79" s="6" t="s">
        <v>85</v>
      </c>
      <c r="Q79" s="6" t="str">
        <f aca="false">IF(P79="pass","No","Yes")</f>
        <v>Yes</v>
      </c>
      <c r="R79" s="6" t="s">
        <v>86</v>
      </c>
      <c r="S79" s="6" t="s">
        <v>886</v>
      </c>
      <c r="T79" s="6" t="s">
        <v>488</v>
      </c>
      <c r="U79" s="23" t="n">
        <v>13.758</v>
      </c>
      <c r="V79" s="6" t="s">
        <v>3862</v>
      </c>
      <c r="W79" s="6" t="s">
        <v>3863</v>
      </c>
      <c r="X79" s="6" t="s">
        <v>3864</v>
      </c>
      <c r="Y79" s="6" t="s">
        <v>86</v>
      </c>
      <c r="Z79" s="6" t="n">
        <v>0</v>
      </c>
      <c r="AA79" s="6" t="n">
        <v>0</v>
      </c>
      <c r="AB79" s="6" t="n">
        <v>1</v>
      </c>
      <c r="AC79" s="6" t="n">
        <v>0</v>
      </c>
      <c r="AD79" s="6" t="n">
        <v>0</v>
      </c>
      <c r="AE79" s="6" t="n">
        <v>0</v>
      </c>
      <c r="AF79" s="6" t="n">
        <v>0</v>
      </c>
      <c r="AG79" s="6" t="n">
        <v>0</v>
      </c>
      <c r="AH79" s="6" t="n">
        <v>0</v>
      </c>
      <c r="AI79" s="6" t="s">
        <v>84</v>
      </c>
    </row>
    <row r="80" customFormat="false" ht="15" hidden="false" customHeight="false" outlineLevel="0" collapsed="false">
      <c r="A80" s="6" t="n">
        <v>79</v>
      </c>
      <c r="B80" s="6" t="s">
        <v>3865</v>
      </c>
      <c r="C80" s="6" t="n">
        <v>2</v>
      </c>
      <c r="D80" s="6" t="s">
        <v>191</v>
      </c>
      <c r="E80" s="6" t="s">
        <v>116</v>
      </c>
      <c r="F80" s="6" t="n">
        <v>1</v>
      </c>
      <c r="G80" s="6" t="n">
        <v>54</v>
      </c>
      <c r="H80" s="6" t="s">
        <v>3866</v>
      </c>
      <c r="I80" s="22" t="n">
        <v>675000</v>
      </c>
      <c r="J80" s="22" t="n">
        <v>15000</v>
      </c>
      <c r="K80" s="22" t="n">
        <v>51750</v>
      </c>
      <c r="L80" s="22" t="n">
        <v>741750</v>
      </c>
      <c r="M80" s="6" t="s">
        <v>224</v>
      </c>
      <c r="N80" s="6" t="s">
        <v>84</v>
      </c>
      <c r="O80" s="6" t="s">
        <v>866</v>
      </c>
      <c r="P80" s="6" t="s">
        <v>85</v>
      </c>
      <c r="Q80" s="6" t="str">
        <f aca="false">IF(P80="pass","No","Yes")</f>
        <v>Yes</v>
      </c>
      <c r="R80" s="6" t="s">
        <v>86</v>
      </c>
      <c r="S80" s="6" t="s">
        <v>866</v>
      </c>
      <c r="T80" s="6" t="s">
        <v>225</v>
      </c>
      <c r="U80" s="23" t="n">
        <v>4.538</v>
      </c>
      <c r="V80" s="6" t="s">
        <v>3867</v>
      </c>
      <c r="W80" s="6" t="s">
        <v>3868</v>
      </c>
      <c r="X80" s="6" t="s">
        <v>3869</v>
      </c>
      <c r="Y80" s="6" t="s">
        <v>86</v>
      </c>
      <c r="Z80" s="6" t="n">
        <v>1</v>
      </c>
      <c r="AA80" s="6" t="n">
        <v>0</v>
      </c>
      <c r="AB80" s="6" t="n">
        <v>0</v>
      </c>
      <c r="AC80" s="6" t="n">
        <v>0</v>
      </c>
      <c r="AD80" s="6" t="n">
        <v>0</v>
      </c>
      <c r="AE80" s="6" t="n">
        <v>0</v>
      </c>
      <c r="AF80" s="6" t="n">
        <v>0</v>
      </c>
      <c r="AG80" s="6" t="n">
        <v>0</v>
      </c>
      <c r="AH80" s="6" t="n">
        <v>0</v>
      </c>
      <c r="AI80" s="6" t="s">
        <v>58</v>
      </c>
    </row>
    <row r="81" customFormat="false" ht="15" hidden="false" customHeight="false" outlineLevel="0" collapsed="false">
      <c r="A81" s="6" t="n">
        <v>80</v>
      </c>
      <c r="B81" s="6" t="s">
        <v>3870</v>
      </c>
      <c r="C81" s="6" t="n">
        <v>2</v>
      </c>
      <c r="D81" s="6" t="s">
        <v>105</v>
      </c>
      <c r="E81" s="6" t="s">
        <v>81</v>
      </c>
      <c r="F81" s="6" t="n">
        <v>3</v>
      </c>
      <c r="G81" s="6" t="n">
        <v>98</v>
      </c>
      <c r="H81" s="6" t="s">
        <v>3871</v>
      </c>
      <c r="I81" s="22" t="n">
        <v>1417300</v>
      </c>
      <c r="J81" s="22" t="n">
        <v>4000</v>
      </c>
      <c r="K81" s="22" t="n">
        <v>106597.5</v>
      </c>
      <c r="L81" s="22" t="n">
        <v>1527897.5</v>
      </c>
      <c r="M81" s="6" t="s">
        <v>960</v>
      </c>
      <c r="N81" s="6" t="s">
        <v>84</v>
      </c>
      <c r="O81" s="6" t="s">
        <v>961</v>
      </c>
      <c r="P81" s="6" t="s">
        <v>85</v>
      </c>
      <c r="Q81" s="6" t="str">
        <f aca="false">IF(P81="pass","No","Yes")</f>
        <v>Yes</v>
      </c>
      <c r="R81" s="6" t="s">
        <v>86</v>
      </c>
      <c r="S81" s="6" t="s">
        <v>961</v>
      </c>
      <c r="T81" s="6" t="s">
        <v>962</v>
      </c>
      <c r="U81" s="23" t="n">
        <v>7.291</v>
      </c>
      <c r="V81" s="6" t="s">
        <v>3872</v>
      </c>
      <c r="W81" s="6" t="s">
        <v>3873</v>
      </c>
      <c r="X81" s="6" t="s">
        <v>3874</v>
      </c>
      <c r="Y81" s="6" t="s">
        <v>86</v>
      </c>
      <c r="Z81" s="6" t="n">
        <v>0</v>
      </c>
      <c r="AA81" s="6" t="n">
        <v>0</v>
      </c>
      <c r="AB81" s="6" t="n">
        <v>0</v>
      </c>
      <c r="AC81" s="6" t="n">
        <v>0</v>
      </c>
      <c r="AD81" s="6" t="n">
        <v>1</v>
      </c>
      <c r="AE81" s="6" t="n">
        <v>0</v>
      </c>
      <c r="AF81" s="6" t="n">
        <v>0</v>
      </c>
      <c r="AG81" s="6" t="n">
        <v>0</v>
      </c>
      <c r="AH81" s="6" t="n">
        <v>0</v>
      </c>
      <c r="AI81" s="6" t="s">
        <v>84</v>
      </c>
    </row>
    <row r="82" customFormat="false" ht="15" hidden="false" customHeight="false" outlineLevel="0" collapsed="false">
      <c r="A82" s="6" t="n">
        <v>81</v>
      </c>
      <c r="B82" s="6" t="s">
        <v>3875</v>
      </c>
      <c r="C82" s="6" t="n">
        <v>2</v>
      </c>
      <c r="D82" s="6" t="s">
        <v>154</v>
      </c>
      <c r="E82" s="6" t="s">
        <v>146</v>
      </c>
      <c r="F82" s="6" t="n">
        <v>2</v>
      </c>
      <c r="G82" s="6" t="n">
        <v>27</v>
      </c>
      <c r="H82" s="6" t="s">
        <v>3876</v>
      </c>
      <c r="I82" s="22" t="n">
        <v>456000</v>
      </c>
      <c r="J82" s="22" t="n">
        <v>0</v>
      </c>
      <c r="K82" s="22" t="n">
        <v>34200</v>
      </c>
      <c r="L82" s="22" t="n">
        <v>490200</v>
      </c>
      <c r="M82" s="6" t="s">
        <v>148</v>
      </c>
      <c r="N82" s="6" t="s">
        <v>84</v>
      </c>
      <c r="O82" s="6" t="s">
        <v>866</v>
      </c>
      <c r="P82" s="6" t="s">
        <v>85</v>
      </c>
      <c r="Q82" s="6" t="str">
        <f aca="false">IF(P82="pass","No","Yes")</f>
        <v>Yes</v>
      </c>
      <c r="R82" s="6" t="s">
        <v>86</v>
      </c>
      <c r="S82" s="6" t="s">
        <v>866</v>
      </c>
      <c r="T82" s="6" t="s">
        <v>150</v>
      </c>
      <c r="U82" s="23" t="n">
        <v>5.801</v>
      </c>
      <c r="V82" s="6" t="s">
        <v>3877</v>
      </c>
      <c r="W82" s="6" t="s">
        <v>3878</v>
      </c>
      <c r="X82" s="6" t="s">
        <v>3879</v>
      </c>
      <c r="Y82" s="6" t="s">
        <v>86</v>
      </c>
      <c r="Z82" s="6" t="n">
        <v>1</v>
      </c>
      <c r="AA82" s="6" t="n">
        <v>0</v>
      </c>
      <c r="AB82" s="6" t="n">
        <v>0</v>
      </c>
      <c r="AC82" s="6" t="n">
        <v>0</v>
      </c>
      <c r="AD82" s="6" t="n">
        <v>0</v>
      </c>
      <c r="AE82" s="6" t="n">
        <v>0</v>
      </c>
      <c r="AF82" s="6" t="n">
        <v>0</v>
      </c>
      <c r="AG82" s="6" t="n">
        <v>0</v>
      </c>
      <c r="AH82" s="6" t="n">
        <v>0</v>
      </c>
      <c r="AI82" s="6" t="s">
        <v>84</v>
      </c>
    </row>
    <row r="83" customFormat="false" ht="15" hidden="false" customHeight="false" outlineLevel="0" collapsed="false">
      <c r="A83" s="6" t="n">
        <v>82</v>
      </c>
      <c r="B83" s="6" t="s">
        <v>3880</v>
      </c>
      <c r="C83" s="6" t="n">
        <v>2</v>
      </c>
      <c r="D83" s="6" t="s">
        <v>127</v>
      </c>
      <c r="E83" s="6" t="s">
        <v>55</v>
      </c>
      <c r="F83" s="6" t="n">
        <v>3</v>
      </c>
      <c r="G83" s="6" t="n">
        <v>68</v>
      </c>
      <c r="H83" s="6" t="s">
        <v>3881</v>
      </c>
      <c r="I83" s="22" t="n">
        <v>1284800</v>
      </c>
      <c r="J83" s="22" t="n">
        <v>6000</v>
      </c>
      <c r="K83" s="22" t="n">
        <v>96810</v>
      </c>
      <c r="L83" s="22" t="n">
        <v>1387610</v>
      </c>
      <c r="M83" s="6" t="s">
        <v>94</v>
      </c>
      <c r="N83" s="6" t="s">
        <v>84</v>
      </c>
      <c r="O83" s="6" t="s">
        <v>909</v>
      </c>
      <c r="P83" s="6" t="s">
        <v>85</v>
      </c>
      <c r="Q83" s="6" t="str">
        <f aca="false">IF(P83="pass","No","Yes")</f>
        <v>Yes</v>
      </c>
      <c r="R83" s="6" t="s">
        <v>86</v>
      </c>
      <c r="S83" s="6" t="s">
        <v>909</v>
      </c>
      <c r="T83" s="6" t="s">
        <v>254</v>
      </c>
      <c r="U83" s="23" t="n">
        <v>7.24</v>
      </c>
      <c r="V83" s="6" t="s">
        <v>3882</v>
      </c>
      <c r="W83" s="6" t="s">
        <v>3883</v>
      </c>
      <c r="X83" s="6" t="s">
        <v>3884</v>
      </c>
      <c r="Y83" s="6" t="s">
        <v>86</v>
      </c>
      <c r="Z83" s="6" t="n">
        <v>0</v>
      </c>
      <c r="AA83" s="6" t="n">
        <v>0</v>
      </c>
      <c r="AB83" s="6" t="n">
        <v>0</v>
      </c>
      <c r="AC83" s="6" t="n">
        <v>0</v>
      </c>
      <c r="AD83" s="6" t="n">
        <v>0</v>
      </c>
      <c r="AE83" s="6" t="n">
        <v>0</v>
      </c>
      <c r="AF83" s="6" t="n">
        <v>1</v>
      </c>
      <c r="AG83" s="6" t="n">
        <v>0</v>
      </c>
      <c r="AH83" s="6" t="n">
        <v>0</v>
      </c>
      <c r="AI83" s="6" t="s">
        <v>84</v>
      </c>
    </row>
    <row r="84" customFormat="false" ht="15" hidden="false" customHeight="false" outlineLevel="0" collapsed="false">
      <c r="A84" s="6" t="n">
        <v>83</v>
      </c>
      <c r="B84" s="6" t="s">
        <v>3885</v>
      </c>
      <c r="C84" s="6" t="n">
        <v>2</v>
      </c>
      <c r="D84" s="6" t="s">
        <v>112</v>
      </c>
      <c r="E84" s="6" t="s">
        <v>116</v>
      </c>
      <c r="F84" s="6" t="n">
        <v>1</v>
      </c>
      <c r="G84" s="6" t="n">
        <v>35</v>
      </c>
      <c r="H84" s="6" t="s">
        <v>3886</v>
      </c>
      <c r="I84" s="22" t="n">
        <v>507500</v>
      </c>
      <c r="J84" s="22" t="n">
        <v>15000</v>
      </c>
      <c r="K84" s="22" t="n">
        <v>39187.5</v>
      </c>
      <c r="L84" s="22" t="n">
        <v>561687.5</v>
      </c>
      <c r="M84" s="6" t="s">
        <v>57</v>
      </c>
      <c r="N84" s="6" t="s">
        <v>58</v>
      </c>
      <c r="O84" s="6"/>
      <c r="P84" s="6" t="s">
        <v>69</v>
      </c>
      <c r="Q84" s="6" t="str">
        <f aca="false">IF(P84="pass","No","Yes")</f>
        <v>No</v>
      </c>
      <c r="R84" s="6" t="s">
        <v>60</v>
      </c>
      <c r="S84" s="6"/>
      <c r="T84" s="6"/>
      <c r="U84" s="23" t="n">
        <v>5.161</v>
      </c>
      <c r="V84" s="6" t="s">
        <v>3887</v>
      </c>
      <c r="W84" s="6" t="s">
        <v>3888</v>
      </c>
      <c r="X84" s="6" t="s">
        <v>3889</v>
      </c>
      <c r="Y84" s="6" t="s">
        <v>60</v>
      </c>
      <c r="Z84" s="6" t="n">
        <v>0</v>
      </c>
      <c r="AA84" s="6" t="n">
        <v>0</v>
      </c>
      <c r="AB84" s="6" t="n">
        <v>0</v>
      </c>
      <c r="AC84" s="6" t="n">
        <v>0</v>
      </c>
      <c r="AD84" s="6" t="n">
        <v>0</v>
      </c>
      <c r="AE84" s="6" t="n">
        <v>0</v>
      </c>
      <c r="AF84" s="6" t="n">
        <v>0</v>
      </c>
      <c r="AG84" s="6" t="n">
        <v>0</v>
      </c>
      <c r="AH84" s="6" t="n">
        <v>0</v>
      </c>
      <c r="AI84" s="6" t="s">
        <v>84</v>
      </c>
    </row>
    <row r="85" customFormat="false" ht="15" hidden="false" customHeight="false" outlineLevel="0" collapsed="false">
      <c r="A85" s="6" t="n">
        <v>84</v>
      </c>
      <c r="B85" s="6" t="s">
        <v>3890</v>
      </c>
      <c r="C85" s="6" t="n">
        <v>2</v>
      </c>
      <c r="D85" s="6" t="s">
        <v>154</v>
      </c>
      <c r="E85" s="6" t="s">
        <v>123</v>
      </c>
      <c r="F85" s="6" t="n">
        <v>3</v>
      </c>
      <c r="G85" s="6" t="n">
        <v>77</v>
      </c>
      <c r="H85" s="6" t="s">
        <v>3891</v>
      </c>
      <c r="I85" s="22" t="n">
        <v>1189700</v>
      </c>
      <c r="J85" s="22" t="n">
        <v>5000</v>
      </c>
      <c r="K85" s="22" t="n">
        <v>89602.5</v>
      </c>
      <c r="L85" s="22" t="n">
        <v>1284302.5</v>
      </c>
      <c r="M85" s="6" t="s">
        <v>57</v>
      </c>
      <c r="N85" s="6" t="s">
        <v>58</v>
      </c>
      <c r="O85" s="6"/>
      <c r="P85" s="6" t="s">
        <v>69</v>
      </c>
      <c r="Q85" s="6" t="str">
        <f aca="false">IF(P85="pass","No","Yes")</f>
        <v>No</v>
      </c>
      <c r="R85" s="6" t="s">
        <v>60</v>
      </c>
      <c r="S85" s="6"/>
      <c r="T85" s="6"/>
      <c r="U85" s="23" t="n">
        <v>7.905</v>
      </c>
      <c r="V85" s="6" t="s">
        <v>3892</v>
      </c>
      <c r="W85" s="6" t="s">
        <v>3893</v>
      </c>
      <c r="X85" s="6" t="s">
        <v>3894</v>
      </c>
      <c r="Y85" s="6" t="s">
        <v>60</v>
      </c>
      <c r="Z85" s="6" t="n">
        <v>0</v>
      </c>
      <c r="AA85" s="6" t="n">
        <v>0</v>
      </c>
      <c r="AB85" s="6" t="n">
        <v>0</v>
      </c>
      <c r="AC85" s="6" t="n">
        <v>0</v>
      </c>
      <c r="AD85" s="6" t="n">
        <v>0</v>
      </c>
      <c r="AE85" s="6" t="n">
        <v>0</v>
      </c>
      <c r="AF85" s="6" t="n">
        <v>0</v>
      </c>
      <c r="AG85" s="6" t="n">
        <v>0</v>
      </c>
      <c r="AH85" s="6" t="n">
        <v>0</v>
      </c>
      <c r="AI85" s="6" t="s">
        <v>84</v>
      </c>
    </row>
    <row r="86" customFormat="false" ht="15" hidden="false" customHeight="false" outlineLevel="0" collapsed="false">
      <c r="A86" s="6" t="n">
        <v>85</v>
      </c>
      <c r="B86" s="6" t="s">
        <v>3895</v>
      </c>
      <c r="C86" s="6" t="n">
        <v>2</v>
      </c>
      <c r="D86" s="6" t="s">
        <v>112</v>
      </c>
      <c r="E86" s="6" t="s">
        <v>116</v>
      </c>
      <c r="F86" s="6" t="n">
        <v>2</v>
      </c>
      <c r="G86" s="6" t="n">
        <v>8</v>
      </c>
      <c r="H86" s="6" t="s">
        <v>3896</v>
      </c>
      <c r="I86" s="22" t="n">
        <v>233500</v>
      </c>
      <c r="J86" s="22" t="n">
        <v>15000</v>
      </c>
      <c r="K86" s="22" t="n">
        <v>18637.5</v>
      </c>
      <c r="L86" s="22" t="n">
        <v>267137.5</v>
      </c>
      <c r="M86" s="6" t="s">
        <v>57</v>
      </c>
      <c r="N86" s="6" t="s">
        <v>58</v>
      </c>
      <c r="O86" s="6"/>
      <c r="P86" s="6" t="s">
        <v>69</v>
      </c>
      <c r="Q86" s="6" t="str">
        <f aca="false">IF(P86="pass","No","Yes")</f>
        <v>No</v>
      </c>
      <c r="R86" s="6" t="s">
        <v>60</v>
      </c>
      <c r="S86" s="6"/>
      <c r="T86" s="6"/>
      <c r="U86" s="23" t="n">
        <v>6.798</v>
      </c>
      <c r="V86" s="6" t="s">
        <v>3897</v>
      </c>
      <c r="W86" s="6" t="s">
        <v>3898</v>
      </c>
      <c r="X86" s="6" t="s">
        <v>3899</v>
      </c>
      <c r="Y86" s="6" t="s">
        <v>60</v>
      </c>
      <c r="Z86" s="6" t="n">
        <v>0</v>
      </c>
      <c r="AA86" s="6" t="n">
        <v>0</v>
      </c>
      <c r="AB86" s="6" t="n">
        <v>0</v>
      </c>
      <c r="AC86" s="6" t="n">
        <v>0</v>
      </c>
      <c r="AD86" s="6" t="n">
        <v>0</v>
      </c>
      <c r="AE86" s="6" t="n">
        <v>0</v>
      </c>
      <c r="AF86" s="6" t="n">
        <v>0</v>
      </c>
      <c r="AG86" s="6" t="n">
        <v>0</v>
      </c>
      <c r="AH86" s="6" t="n">
        <v>0</v>
      </c>
      <c r="AI86" s="6" t="s">
        <v>84</v>
      </c>
    </row>
    <row r="87" customFormat="false" ht="15" hidden="false" customHeight="false" outlineLevel="0" collapsed="false">
      <c r="A87" s="6" t="n">
        <v>86</v>
      </c>
      <c r="B87" s="6" t="s">
        <v>3900</v>
      </c>
      <c r="C87" s="6" t="n">
        <v>2</v>
      </c>
      <c r="D87" s="6" t="s">
        <v>154</v>
      </c>
      <c r="E87" s="6" t="s">
        <v>123</v>
      </c>
      <c r="F87" s="6" t="n">
        <v>4</v>
      </c>
      <c r="G87" s="6" t="n">
        <v>92</v>
      </c>
      <c r="H87" s="6" t="s">
        <v>3901</v>
      </c>
      <c r="I87" s="22" t="n">
        <v>1713000</v>
      </c>
      <c r="J87" s="22" t="n">
        <v>5000</v>
      </c>
      <c r="K87" s="22" t="n">
        <v>128850</v>
      </c>
      <c r="L87" s="22" t="n">
        <v>1846850</v>
      </c>
      <c r="M87" s="6" t="s">
        <v>83</v>
      </c>
      <c r="N87" s="6" t="s">
        <v>84</v>
      </c>
      <c r="O87" s="6" t="s">
        <v>886</v>
      </c>
      <c r="P87" s="6" t="s">
        <v>85</v>
      </c>
      <c r="Q87" s="6" t="str">
        <f aca="false">IF(P87="pass","No","Yes")</f>
        <v>Yes</v>
      </c>
      <c r="R87" s="6" t="s">
        <v>86</v>
      </c>
      <c r="S87" s="6" t="s">
        <v>886</v>
      </c>
      <c r="T87" s="6" t="s">
        <v>517</v>
      </c>
      <c r="U87" s="23" t="n">
        <v>9.208</v>
      </c>
      <c r="V87" s="6" t="s">
        <v>3902</v>
      </c>
      <c r="W87" s="6" t="s">
        <v>3903</v>
      </c>
      <c r="X87" s="6" t="s">
        <v>3904</v>
      </c>
      <c r="Y87" s="6" t="s">
        <v>86</v>
      </c>
      <c r="Z87" s="6" t="n">
        <v>0</v>
      </c>
      <c r="AA87" s="6" t="n">
        <v>0</v>
      </c>
      <c r="AB87" s="6" t="n">
        <v>1</v>
      </c>
      <c r="AC87" s="6" t="n">
        <v>0</v>
      </c>
      <c r="AD87" s="6" t="n">
        <v>0</v>
      </c>
      <c r="AE87" s="6" t="n">
        <v>0</v>
      </c>
      <c r="AF87" s="6" t="n">
        <v>0</v>
      </c>
      <c r="AG87" s="6" t="n">
        <v>0</v>
      </c>
      <c r="AH87" s="6" t="n">
        <v>0</v>
      </c>
      <c r="AI87" s="6" t="s">
        <v>84</v>
      </c>
    </row>
    <row r="88" customFormat="false" ht="15" hidden="false" customHeight="false" outlineLevel="0" collapsed="false">
      <c r="A88" s="6" t="n">
        <v>87</v>
      </c>
      <c r="B88" s="6" t="s">
        <v>3905</v>
      </c>
      <c r="C88" s="6" t="n">
        <v>2</v>
      </c>
      <c r="D88" s="6" t="s">
        <v>191</v>
      </c>
      <c r="E88" s="6" t="s">
        <v>116</v>
      </c>
      <c r="F88" s="6" t="n">
        <v>1</v>
      </c>
      <c r="G88" s="6" t="n">
        <v>37</v>
      </c>
      <c r="H88" s="6" t="s">
        <v>3906</v>
      </c>
      <c r="I88" s="22" t="n">
        <v>318200</v>
      </c>
      <c r="J88" s="22" t="n">
        <v>15000</v>
      </c>
      <c r="K88" s="22" t="n">
        <v>24990</v>
      </c>
      <c r="L88" s="22" t="n">
        <v>358190</v>
      </c>
      <c r="M88" s="6" t="s">
        <v>984</v>
      </c>
      <c r="N88" s="6" t="s">
        <v>84</v>
      </c>
      <c r="O88" s="6" t="s">
        <v>985</v>
      </c>
      <c r="P88" s="6" t="s">
        <v>85</v>
      </c>
      <c r="Q88" s="6" t="str">
        <f aca="false">IF(P88="pass","No","Yes")</f>
        <v>Yes</v>
      </c>
      <c r="R88" s="6" t="s">
        <v>86</v>
      </c>
      <c r="S88" s="6" t="s">
        <v>985</v>
      </c>
      <c r="T88" s="6" t="s">
        <v>3394</v>
      </c>
      <c r="U88" s="23" t="n">
        <v>4.883</v>
      </c>
      <c r="V88" s="6" t="s">
        <v>3907</v>
      </c>
      <c r="W88" s="6" t="s">
        <v>3908</v>
      </c>
      <c r="X88" s="6" t="s">
        <v>3909</v>
      </c>
      <c r="Y88" s="6" t="s">
        <v>86</v>
      </c>
      <c r="Z88" s="6" t="n">
        <v>0</v>
      </c>
      <c r="AA88" s="6" t="n">
        <v>0</v>
      </c>
      <c r="AB88" s="6" t="n">
        <v>0</v>
      </c>
      <c r="AC88" s="6" t="n">
        <v>0</v>
      </c>
      <c r="AD88" s="6" t="n">
        <v>0</v>
      </c>
      <c r="AE88" s="6" t="n">
        <v>1</v>
      </c>
      <c r="AF88" s="6" t="n">
        <v>0</v>
      </c>
      <c r="AG88" s="6" t="n">
        <v>0</v>
      </c>
      <c r="AH88" s="6" t="n">
        <v>0</v>
      </c>
      <c r="AI88" s="6" t="s">
        <v>84</v>
      </c>
    </row>
    <row r="89" customFormat="false" ht="15" hidden="false" customHeight="false" outlineLevel="0" collapsed="false">
      <c r="A89" s="6" t="n">
        <v>88</v>
      </c>
      <c r="B89" s="6" t="s">
        <v>3910</v>
      </c>
      <c r="C89" s="6" t="n">
        <v>2</v>
      </c>
      <c r="D89" s="6" t="s">
        <v>198</v>
      </c>
      <c r="E89" s="6" t="s">
        <v>81</v>
      </c>
      <c r="F89" s="6" t="n">
        <v>2</v>
      </c>
      <c r="G89" s="6" t="n">
        <v>273</v>
      </c>
      <c r="H89" s="6" t="s">
        <v>3911</v>
      </c>
      <c r="I89" s="22" t="n">
        <v>2271500</v>
      </c>
      <c r="J89" s="22" t="n">
        <v>4000</v>
      </c>
      <c r="K89" s="22" t="n">
        <v>170662.5</v>
      </c>
      <c r="L89" s="22" t="n">
        <v>2446162.5</v>
      </c>
      <c r="M89" s="6" t="s">
        <v>224</v>
      </c>
      <c r="N89" s="6" t="s">
        <v>84</v>
      </c>
      <c r="O89" s="6" t="s">
        <v>866</v>
      </c>
      <c r="P89" s="6" t="s">
        <v>85</v>
      </c>
      <c r="Q89" s="6" t="str">
        <f aca="false">IF(P89="pass","No","Yes")</f>
        <v>Yes</v>
      </c>
      <c r="R89" s="6" t="s">
        <v>86</v>
      </c>
      <c r="S89" s="6" t="s">
        <v>872</v>
      </c>
      <c r="T89" s="6" t="s">
        <v>3912</v>
      </c>
      <c r="U89" s="23" t="n">
        <v>16.859</v>
      </c>
      <c r="V89" s="6" t="s">
        <v>3913</v>
      </c>
      <c r="W89" s="6" t="s">
        <v>3914</v>
      </c>
      <c r="X89" s="6" t="s">
        <v>3915</v>
      </c>
      <c r="Y89" s="6" t="s">
        <v>86</v>
      </c>
      <c r="Z89" s="6" t="n">
        <v>1</v>
      </c>
      <c r="AA89" s="6" t="n">
        <v>0</v>
      </c>
      <c r="AB89" s="6" t="n">
        <v>0</v>
      </c>
      <c r="AC89" s="6" t="n">
        <v>0</v>
      </c>
      <c r="AD89" s="6" t="n">
        <v>0</v>
      </c>
      <c r="AE89" s="6" t="n">
        <v>0</v>
      </c>
      <c r="AF89" s="6" t="n">
        <v>0</v>
      </c>
      <c r="AG89" s="6" t="n">
        <v>0</v>
      </c>
      <c r="AH89" s="6" t="n">
        <v>1</v>
      </c>
      <c r="AI89" s="6" t="s">
        <v>58</v>
      </c>
    </row>
    <row r="90" customFormat="false" ht="15" hidden="false" customHeight="false" outlineLevel="0" collapsed="false">
      <c r="A90" s="6" t="n">
        <v>89</v>
      </c>
      <c r="B90" s="6" t="s">
        <v>3916</v>
      </c>
      <c r="C90" s="6" t="n">
        <v>2</v>
      </c>
      <c r="D90" s="6" t="s">
        <v>100</v>
      </c>
      <c r="E90" s="6" t="s">
        <v>67</v>
      </c>
      <c r="F90" s="6" t="n">
        <v>4</v>
      </c>
      <c r="G90" s="6" t="n">
        <v>214</v>
      </c>
      <c r="H90" s="6" t="s">
        <v>3917</v>
      </c>
      <c r="I90" s="22" t="n">
        <v>2306600</v>
      </c>
      <c r="J90" s="22" t="n">
        <v>4500</v>
      </c>
      <c r="K90" s="22" t="n">
        <v>173332.5</v>
      </c>
      <c r="L90" s="22" t="n">
        <v>2484432.5</v>
      </c>
      <c r="M90" s="6" t="s">
        <v>927</v>
      </c>
      <c r="N90" s="6" t="s">
        <v>58</v>
      </c>
      <c r="O90" s="6"/>
      <c r="P90" s="6" t="s">
        <v>59</v>
      </c>
      <c r="Q90" s="6" t="str">
        <f aca="false">IF(P90="pass","No","Yes")</f>
        <v>Yes</v>
      </c>
      <c r="R90" s="6" t="s">
        <v>60</v>
      </c>
      <c r="S90" s="6" t="s">
        <v>915</v>
      </c>
      <c r="T90" s="6" t="s">
        <v>3918</v>
      </c>
      <c r="U90" s="23" t="n">
        <v>15.539</v>
      </c>
      <c r="V90" s="6" t="s">
        <v>3919</v>
      </c>
      <c r="W90" s="6" t="s">
        <v>3920</v>
      </c>
      <c r="X90" s="6" t="s">
        <v>3921</v>
      </c>
      <c r="Y90" s="6" t="s">
        <v>60</v>
      </c>
      <c r="Z90" s="6" t="n">
        <v>0</v>
      </c>
      <c r="AA90" s="6" t="n">
        <v>0</v>
      </c>
      <c r="AB90" s="6" t="n">
        <v>0</v>
      </c>
      <c r="AC90" s="6" t="n">
        <v>0</v>
      </c>
      <c r="AD90" s="6" t="n">
        <v>0</v>
      </c>
      <c r="AE90" s="6" t="n">
        <v>0</v>
      </c>
      <c r="AF90" s="6" t="n">
        <v>0</v>
      </c>
      <c r="AG90" s="6" t="n">
        <v>0</v>
      </c>
      <c r="AH90" s="6" t="n">
        <v>1</v>
      </c>
      <c r="AI90" s="6" t="s">
        <v>84</v>
      </c>
    </row>
    <row r="91" customFormat="false" ht="15" hidden="false" customHeight="false" outlineLevel="0" collapsed="false">
      <c r="A91" s="6" t="n">
        <v>90</v>
      </c>
      <c r="B91" s="6" t="s">
        <v>3922</v>
      </c>
      <c r="C91" s="6" t="n">
        <v>2</v>
      </c>
      <c r="D91" s="6" t="s">
        <v>127</v>
      </c>
      <c r="E91" s="6" t="s">
        <v>55</v>
      </c>
      <c r="F91" s="6" t="n">
        <v>2</v>
      </c>
      <c r="G91" s="6" t="n">
        <v>6</v>
      </c>
      <c r="H91" s="6" t="s">
        <v>3923</v>
      </c>
      <c r="I91" s="22" t="n">
        <v>55400</v>
      </c>
      <c r="J91" s="22" t="n">
        <v>6000</v>
      </c>
      <c r="K91" s="22" t="n">
        <v>4605</v>
      </c>
      <c r="L91" s="22" t="n">
        <v>66005</v>
      </c>
      <c r="M91" s="6" t="s">
        <v>83</v>
      </c>
      <c r="N91" s="6" t="s">
        <v>84</v>
      </c>
      <c r="O91" s="6" t="s">
        <v>886</v>
      </c>
      <c r="P91" s="6" t="s">
        <v>85</v>
      </c>
      <c r="Q91" s="6" t="str">
        <f aca="false">IF(P91="pass","No","Yes")</f>
        <v>Yes</v>
      </c>
      <c r="R91" s="6" t="s">
        <v>86</v>
      </c>
      <c r="S91" s="6" t="s">
        <v>886</v>
      </c>
      <c r="T91" s="6" t="s">
        <v>290</v>
      </c>
      <c r="U91" s="23" t="n">
        <v>6.593</v>
      </c>
      <c r="V91" s="6" t="s">
        <v>3924</v>
      </c>
      <c r="W91" s="6" t="s">
        <v>3925</v>
      </c>
      <c r="X91" s="6" t="s">
        <v>3926</v>
      </c>
      <c r="Y91" s="6" t="s">
        <v>86</v>
      </c>
      <c r="Z91" s="6" t="n">
        <v>0</v>
      </c>
      <c r="AA91" s="6" t="n">
        <v>0</v>
      </c>
      <c r="AB91" s="6" t="n">
        <v>1</v>
      </c>
      <c r="AC91" s="6" t="n">
        <v>0</v>
      </c>
      <c r="AD91" s="6" t="n">
        <v>0</v>
      </c>
      <c r="AE91" s="6" t="n">
        <v>0</v>
      </c>
      <c r="AF91" s="6" t="n">
        <v>0</v>
      </c>
      <c r="AG91" s="6" t="n">
        <v>0</v>
      </c>
      <c r="AH91" s="6" t="n">
        <v>0</v>
      </c>
      <c r="AI91" s="6" t="s">
        <v>84</v>
      </c>
    </row>
    <row r="92" customFormat="false" ht="15" hidden="false" customHeight="false" outlineLevel="0" collapsed="false">
      <c r="A92" s="6" t="n">
        <v>91</v>
      </c>
      <c r="B92" s="6" t="s">
        <v>3927</v>
      </c>
      <c r="C92" s="6" t="n">
        <v>2</v>
      </c>
      <c r="D92" s="6" t="s">
        <v>70</v>
      </c>
      <c r="E92" s="6" t="s">
        <v>74</v>
      </c>
      <c r="F92" s="6" t="n">
        <v>1</v>
      </c>
      <c r="G92" s="6" t="n">
        <v>7</v>
      </c>
      <c r="H92" s="6" t="s">
        <v>1207</v>
      </c>
      <c r="I92" s="22" t="n">
        <v>266000</v>
      </c>
      <c r="J92" s="22" t="n">
        <v>9000</v>
      </c>
      <c r="K92" s="22" t="n">
        <v>20625</v>
      </c>
      <c r="L92" s="22" t="n">
        <v>295625</v>
      </c>
      <c r="M92" s="6" t="s">
        <v>57</v>
      </c>
      <c r="N92" s="6" t="s">
        <v>58</v>
      </c>
      <c r="O92" s="6"/>
      <c r="P92" s="6" t="s">
        <v>69</v>
      </c>
      <c r="Q92" s="6" t="str">
        <f aca="false">IF(P92="pass","No","Yes")</f>
        <v>No</v>
      </c>
      <c r="R92" s="6" t="s">
        <v>60</v>
      </c>
      <c r="S92" s="6"/>
      <c r="T92" s="6"/>
      <c r="U92" s="23" t="n">
        <v>5.242</v>
      </c>
      <c r="V92" s="6" t="s">
        <v>3928</v>
      </c>
      <c r="W92" s="6" t="s">
        <v>3929</v>
      </c>
      <c r="X92" s="6" t="s">
        <v>3930</v>
      </c>
      <c r="Y92" s="6" t="s">
        <v>60</v>
      </c>
      <c r="Z92" s="6" t="n">
        <v>0</v>
      </c>
      <c r="AA92" s="6" t="n">
        <v>0</v>
      </c>
      <c r="AB92" s="6" t="n">
        <v>0</v>
      </c>
      <c r="AC92" s="6" t="n">
        <v>0</v>
      </c>
      <c r="AD92" s="6" t="n">
        <v>0</v>
      </c>
      <c r="AE92" s="6" t="n">
        <v>0</v>
      </c>
      <c r="AF92" s="6" t="n">
        <v>0</v>
      </c>
      <c r="AG92" s="6" t="n">
        <v>0</v>
      </c>
      <c r="AH92" s="6" t="n">
        <v>0</v>
      </c>
      <c r="AI92" s="6" t="s">
        <v>84</v>
      </c>
    </row>
    <row r="93" customFormat="false" ht="15" hidden="false" customHeight="false" outlineLevel="0" collapsed="false">
      <c r="A93" s="6" t="n">
        <v>92</v>
      </c>
      <c r="B93" s="6" t="s">
        <v>3931</v>
      </c>
      <c r="C93" s="6" t="n">
        <v>2</v>
      </c>
      <c r="D93" s="6" t="s">
        <v>77</v>
      </c>
      <c r="E93" s="6" t="s">
        <v>81</v>
      </c>
      <c r="F93" s="6" t="n">
        <v>1</v>
      </c>
      <c r="G93" s="6" t="n">
        <v>3</v>
      </c>
      <c r="H93" s="6" t="s">
        <v>3932</v>
      </c>
      <c r="I93" s="22" t="n">
        <v>156000</v>
      </c>
      <c r="J93" s="22" t="n">
        <v>4000</v>
      </c>
      <c r="K93" s="22" t="n">
        <v>12000</v>
      </c>
      <c r="L93" s="22" t="n">
        <v>172000</v>
      </c>
      <c r="M93" s="6" t="s">
        <v>984</v>
      </c>
      <c r="N93" s="6" t="s">
        <v>84</v>
      </c>
      <c r="O93" s="6" t="s">
        <v>985</v>
      </c>
      <c r="P93" s="6" t="s">
        <v>85</v>
      </c>
      <c r="Q93" s="6" t="str">
        <f aca="false">IF(P93="pass","No","Yes")</f>
        <v>Yes</v>
      </c>
      <c r="R93" s="6" t="s">
        <v>86</v>
      </c>
      <c r="S93" s="6" t="s">
        <v>985</v>
      </c>
      <c r="T93" s="6" t="s">
        <v>1743</v>
      </c>
      <c r="U93" s="23" t="n">
        <v>4.719</v>
      </c>
      <c r="V93" s="6" t="s">
        <v>3933</v>
      </c>
      <c r="W93" s="6" t="s">
        <v>3934</v>
      </c>
      <c r="X93" s="6" t="s">
        <v>3935</v>
      </c>
      <c r="Y93" s="6" t="s">
        <v>86</v>
      </c>
      <c r="Z93" s="6" t="n">
        <v>0</v>
      </c>
      <c r="AA93" s="6" t="n">
        <v>0</v>
      </c>
      <c r="AB93" s="6" t="n">
        <v>0</v>
      </c>
      <c r="AC93" s="6" t="n">
        <v>0</v>
      </c>
      <c r="AD93" s="6" t="n">
        <v>0</v>
      </c>
      <c r="AE93" s="6" t="n">
        <v>1</v>
      </c>
      <c r="AF93" s="6" t="n">
        <v>0</v>
      </c>
      <c r="AG93" s="6" t="n">
        <v>0</v>
      </c>
      <c r="AH93" s="6" t="n">
        <v>0</v>
      </c>
      <c r="AI93" s="6" t="s">
        <v>84</v>
      </c>
    </row>
    <row r="94" customFormat="false" ht="15" hidden="false" customHeight="false" outlineLevel="0" collapsed="false">
      <c r="A94" s="6" t="n">
        <v>93</v>
      </c>
      <c r="B94" s="6" t="s">
        <v>3936</v>
      </c>
      <c r="C94" s="6" t="n">
        <v>2</v>
      </c>
      <c r="D94" s="6" t="s">
        <v>198</v>
      </c>
      <c r="E94" s="6" t="s">
        <v>81</v>
      </c>
      <c r="F94" s="6" t="n">
        <v>1</v>
      </c>
      <c r="G94" s="6" t="n">
        <v>21</v>
      </c>
      <c r="H94" s="6" t="s">
        <v>3937</v>
      </c>
      <c r="I94" s="22" t="n">
        <v>798000</v>
      </c>
      <c r="J94" s="22" t="n">
        <v>4000</v>
      </c>
      <c r="K94" s="22" t="n">
        <v>60150</v>
      </c>
      <c r="L94" s="22" t="n">
        <v>862150</v>
      </c>
      <c r="M94" s="6" t="s">
        <v>984</v>
      </c>
      <c r="N94" s="6" t="s">
        <v>84</v>
      </c>
      <c r="O94" s="6" t="s">
        <v>985</v>
      </c>
      <c r="P94" s="6" t="s">
        <v>85</v>
      </c>
      <c r="Q94" s="6" t="str">
        <f aca="false">IF(P94="pass","No","Yes")</f>
        <v>Yes</v>
      </c>
      <c r="R94" s="6" t="s">
        <v>86</v>
      </c>
      <c r="S94" s="6" t="s">
        <v>985</v>
      </c>
      <c r="T94" s="6" t="s">
        <v>1076</v>
      </c>
      <c r="U94" s="23" t="n">
        <v>4.607</v>
      </c>
      <c r="V94" s="6" t="s">
        <v>3938</v>
      </c>
      <c r="W94" s="6" t="s">
        <v>3939</v>
      </c>
      <c r="X94" s="6" t="s">
        <v>3940</v>
      </c>
      <c r="Y94" s="6" t="s">
        <v>86</v>
      </c>
      <c r="Z94" s="6" t="n">
        <v>0</v>
      </c>
      <c r="AA94" s="6" t="n">
        <v>0</v>
      </c>
      <c r="AB94" s="6" t="n">
        <v>0</v>
      </c>
      <c r="AC94" s="6" t="n">
        <v>0</v>
      </c>
      <c r="AD94" s="6" t="n">
        <v>0</v>
      </c>
      <c r="AE94" s="6" t="n">
        <v>1</v>
      </c>
      <c r="AF94" s="6" t="n">
        <v>0</v>
      </c>
      <c r="AG94" s="6" t="n">
        <v>0</v>
      </c>
      <c r="AH94" s="6" t="n">
        <v>0</v>
      </c>
      <c r="AI94" s="6" t="s">
        <v>84</v>
      </c>
    </row>
    <row r="95" customFormat="false" ht="15" hidden="false" customHeight="false" outlineLevel="0" collapsed="false">
      <c r="A95" s="6" t="n">
        <v>94</v>
      </c>
      <c r="B95" s="6" t="s">
        <v>3941</v>
      </c>
      <c r="C95" s="6" t="n">
        <v>2</v>
      </c>
      <c r="D95" s="6" t="s">
        <v>137</v>
      </c>
      <c r="E95" s="6" t="s">
        <v>55</v>
      </c>
      <c r="F95" s="6" t="n">
        <v>3</v>
      </c>
      <c r="G95" s="6" t="n">
        <v>175</v>
      </c>
      <c r="H95" s="6" t="s">
        <v>3942</v>
      </c>
      <c r="I95" s="22" t="n">
        <v>2187000</v>
      </c>
      <c r="J95" s="22" t="n">
        <v>6000</v>
      </c>
      <c r="K95" s="22" t="n">
        <v>164475</v>
      </c>
      <c r="L95" s="22" t="n">
        <v>2357475</v>
      </c>
      <c r="M95" s="6" t="s">
        <v>57</v>
      </c>
      <c r="N95" s="6" t="s">
        <v>58</v>
      </c>
      <c r="O95" s="6"/>
      <c r="P95" s="6" t="s">
        <v>59</v>
      </c>
      <c r="Q95" s="6" t="str">
        <f aca="false">IF(P95="pass","No","Yes")</f>
        <v>Yes</v>
      </c>
      <c r="R95" s="6" t="s">
        <v>60</v>
      </c>
      <c r="S95" s="6" t="s">
        <v>915</v>
      </c>
      <c r="T95" s="6" t="s">
        <v>3943</v>
      </c>
      <c r="U95" s="23" t="n">
        <v>14.035</v>
      </c>
      <c r="V95" s="6" t="s">
        <v>3944</v>
      </c>
      <c r="W95" s="6" t="s">
        <v>3945</v>
      </c>
      <c r="X95" s="6" t="s">
        <v>3946</v>
      </c>
      <c r="Y95" s="6" t="s">
        <v>60</v>
      </c>
      <c r="Z95" s="6" t="n">
        <v>0</v>
      </c>
      <c r="AA95" s="6" t="n">
        <v>0</v>
      </c>
      <c r="AB95" s="6" t="n">
        <v>0</v>
      </c>
      <c r="AC95" s="6" t="n">
        <v>0</v>
      </c>
      <c r="AD95" s="6" t="n">
        <v>0</v>
      </c>
      <c r="AE95" s="6" t="n">
        <v>0</v>
      </c>
      <c r="AF95" s="6" t="n">
        <v>0</v>
      </c>
      <c r="AG95" s="6" t="n">
        <v>0</v>
      </c>
      <c r="AH95" s="6" t="n">
        <v>1</v>
      </c>
      <c r="AI95" s="6" t="s">
        <v>84</v>
      </c>
    </row>
    <row r="96" customFormat="false" ht="15" hidden="false" customHeight="false" outlineLevel="0" collapsed="false">
      <c r="A96" s="6" t="n">
        <v>95</v>
      </c>
      <c r="B96" s="6" t="s">
        <v>3947</v>
      </c>
      <c r="C96" s="6" t="n">
        <v>2</v>
      </c>
      <c r="D96" s="6" t="s">
        <v>137</v>
      </c>
      <c r="E96" s="6" t="s">
        <v>55</v>
      </c>
      <c r="F96" s="6" t="n">
        <v>3</v>
      </c>
      <c r="G96" s="6" t="n">
        <v>175</v>
      </c>
      <c r="H96" s="6" t="s">
        <v>3942</v>
      </c>
      <c r="I96" s="22" t="n">
        <v>2187000</v>
      </c>
      <c r="J96" s="22" t="n">
        <v>6000</v>
      </c>
      <c r="K96" s="22" t="n">
        <v>164475</v>
      </c>
      <c r="L96" s="22" t="n">
        <v>2357475</v>
      </c>
      <c r="M96" s="6" t="s">
        <v>97</v>
      </c>
      <c r="N96" s="6" t="s">
        <v>84</v>
      </c>
      <c r="O96" s="6" t="s">
        <v>1185</v>
      </c>
      <c r="P96" s="6" t="s">
        <v>59</v>
      </c>
      <c r="Q96" s="6" t="str">
        <f aca="false">IF(P96="pass","No","Yes")</f>
        <v>Yes</v>
      </c>
      <c r="R96" s="6" t="s">
        <v>98</v>
      </c>
      <c r="S96" s="6" t="s">
        <v>1186</v>
      </c>
      <c r="T96" s="6" t="s">
        <v>3948</v>
      </c>
      <c r="U96" s="23" t="n">
        <v>12.828</v>
      </c>
      <c r="V96" s="6" t="s">
        <v>3949</v>
      </c>
      <c r="W96" s="6"/>
      <c r="X96" s="6" t="s">
        <v>3949</v>
      </c>
      <c r="Y96" s="6" t="s">
        <v>98</v>
      </c>
      <c r="Z96" s="6" t="n">
        <v>0</v>
      </c>
      <c r="AA96" s="6" t="n">
        <v>0</v>
      </c>
      <c r="AB96" s="6" t="n">
        <v>0</v>
      </c>
      <c r="AC96" s="6" t="n">
        <v>0</v>
      </c>
      <c r="AD96" s="6" t="n">
        <v>0</v>
      </c>
      <c r="AE96" s="6" t="n">
        <v>0</v>
      </c>
      <c r="AF96" s="6" t="n">
        <v>0</v>
      </c>
      <c r="AG96" s="6" t="n">
        <v>1</v>
      </c>
      <c r="AH96" s="6" t="n">
        <v>1</v>
      </c>
      <c r="AI96" s="6" t="s">
        <v>84</v>
      </c>
    </row>
    <row r="97" customFormat="false" ht="15" hidden="false" customHeight="false" outlineLevel="0" collapsed="false">
      <c r="A97" s="6" t="n">
        <v>96</v>
      </c>
      <c r="B97" s="6" t="s">
        <v>3950</v>
      </c>
      <c r="C97" s="6" t="n">
        <v>2</v>
      </c>
      <c r="D97" s="6" t="s">
        <v>89</v>
      </c>
      <c r="E97" s="6" t="s">
        <v>67</v>
      </c>
      <c r="F97" s="6" t="n">
        <v>2</v>
      </c>
      <c r="G97" s="6" t="n">
        <v>21</v>
      </c>
      <c r="H97" s="6" t="s">
        <v>3951</v>
      </c>
      <c r="I97" s="22" t="n">
        <v>302000</v>
      </c>
      <c r="J97" s="22" t="n">
        <v>4500</v>
      </c>
      <c r="K97" s="22" t="n">
        <v>22987.5</v>
      </c>
      <c r="L97" s="22" t="n">
        <v>329487.5</v>
      </c>
      <c r="M97" s="6" t="s">
        <v>94</v>
      </c>
      <c r="N97" s="6" t="s">
        <v>84</v>
      </c>
      <c r="O97" s="6" t="s">
        <v>909</v>
      </c>
      <c r="P97" s="6" t="s">
        <v>85</v>
      </c>
      <c r="Q97" s="6" t="str">
        <f aca="false">IF(P97="pass","No","Yes")</f>
        <v>Yes</v>
      </c>
      <c r="R97" s="6" t="s">
        <v>86</v>
      </c>
      <c r="S97" s="6" t="s">
        <v>909</v>
      </c>
      <c r="T97" s="6" t="s">
        <v>254</v>
      </c>
      <c r="U97" s="23" t="n">
        <v>6.969</v>
      </c>
      <c r="V97" s="6" t="s">
        <v>3952</v>
      </c>
      <c r="W97" s="6" t="s">
        <v>3953</v>
      </c>
      <c r="X97" s="6" t="s">
        <v>3954</v>
      </c>
      <c r="Y97" s="6" t="s">
        <v>86</v>
      </c>
      <c r="Z97" s="6" t="n">
        <v>0</v>
      </c>
      <c r="AA97" s="6" t="n">
        <v>0</v>
      </c>
      <c r="AB97" s="6" t="n">
        <v>0</v>
      </c>
      <c r="AC97" s="6" t="n">
        <v>0</v>
      </c>
      <c r="AD97" s="6" t="n">
        <v>0</v>
      </c>
      <c r="AE97" s="6" t="n">
        <v>0</v>
      </c>
      <c r="AF97" s="6" t="n">
        <v>1</v>
      </c>
      <c r="AG97" s="6" t="n">
        <v>0</v>
      </c>
      <c r="AH97" s="6" t="n">
        <v>0</v>
      </c>
      <c r="AI97" s="6" t="s">
        <v>84</v>
      </c>
    </row>
    <row r="98" customFormat="false" ht="15" hidden="false" customHeight="false" outlineLevel="0" collapsed="false">
      <c r="A98" s="6" t="n">
        <v>97</v>
      </c>
      <c r="B98" s="6" t="s">
        <v>3955</v>
      </c>
      <c r="C98" s="6" t="n">
        <v>2</v>
      </c>
      <c r="D98" s="6" t="s">
        <v>177</v>
      </c>
      <c r="E98" s="6" t="s">
        <v>81</v>
      </c>
      <c r="F98" s="6" t="n">
        <v>1</v>
      </c>
      <c r="G98" s="6" t="n">
        <v>2</v>
      </c>
      <c r="H98" s="6" t="s">
        <v>959</v>
      </c>
      <c r="I98" s="22" t="n">
        <v>8200</v>
      </c>
      <c r="J98" s="22" t="n">
        <v>4000</v>
      </c>
      <c r="K98" s="22" t="n">
        <v>915</v>
      </c>
      <c r="L98" s="22" t="n">
        <v>13115</v>
      </c>
      <c r="M98" s="6" t="s">
        <v>57</v>
      </c>
      <c r="N98" s="6" t="s">
        <v>58</v>
      </c>
      <c r="O98" s="6"/>
      <c r="P98" s="6" t="s">
        <v>69</v>
      </c>
      <c r="Q98" s="6" t="str">
        <f aca="false">IF(P98="pass","No","Yes")</f>
        <v>No</v>
      </c>
      <c r="R98" s="6" t="s">
        <v>60</v>
      </c>
      <c r="S98" s="6"/>
      <c r="T98" s="6"/>
      <c r="U98" s="23" t="n">
        <v>5.368</v>
      </c>
      <c r="V98" s="6" t="s">
        <v>3956</v>
      </c>
      <c r="W98" s="6" t="s">
        <v>3957</v>
      </c>
      <c r="X98" s="6" t="s">
        <v>3958</v>
      </c>
      <c r="Y98" s="6" t="s">
        <v>60</v>
      </c>
      <c r="Z98" s="6" t="n">
        <v>0</v>
      </c>
      <c r="AA98" s="6" t="n">
        <v>0</v>
      </c>
      <c r="AB98" s="6" t="n">
        <v>0</v>
      </c>
      <c r="AC98" s="6" t="n">
        <v>0</v>
      </c>
      <c r="AD98" s="6" t="n">
        <v>0</v>
      </c>
      <c r="AE98" s="6" t="n">
        <v>0</v>
      </c>
      <c r="AF98" s="6" t="n">
        <v>0</v>
      </c>
      <c r="AG98" s="6" t="n">
        <v>0</v>
      </c>
      <c r="AH98" s="6" t="n">
        <v>0</v>
      </c>
      <c r="AI98" s="6" t="s">
        <v>84</v>
      </c>
    </row>
    <row r="99" customFormat="false" ht="15" hidden="false" customHeight="false" outlineLevel="0" collapsed="false">
      <c r="A99" s="6" t="n">
        <v>98</v>
      </c>
      <c r="B99" s="6" t="s">
        <v>3959</v>
      </c>
      <c r="C99" s="6" t="n">
        <v>2</v>
      </c>
      <c r="D99" s="6" t="s">
        <v>89</v>
      </c>
      <c r="E99" s="6" t="s">
        <v>67</v>
      </c>
      <c r="F99" s="6" t="n">
        <v>1</v>
      </c>
      <c r="G99" s="6" t="n">
        <v>26</v>
      </c>
      <c r="H99" s="6" t="s">
        <v>3960</v>
      </c>
      <c r="I99" s="22" t="n">
        <v>988000</v>
      </c>
      <c r="J99" s="22" t="n">
        <v>4500</v>
      </c>
      <c r="K99" s="22" t="n">
        <v>74437.5</v>
      </c>
      <c r="L99" s="22" t="n">
        <v>1066937.5</v>
      </c>
      <c r="M99" s="6" t="s">
        <v>57</v>
      </c>
      <c r="N99" s="6" t="s">
        <v>58</v>
      </c>
      <c r="O99" s="6"/>
      <c r="P99" s="6" t="s">
        <v>69</v>
      </c>
      <c r="Q99" s="6" t="str">
        <f aca="false">IF(P99="pass","No","Yes")</f>
        <v>No</v>
      </c>
      <c r="R99" s="6" t="s">
        <v>60</v>
      </c>
      <c r="S99" s="6"/>
      <c r="T99" s="6"/>
      <c r="U99" s="23" t="n">
        <v>5.36</v>
      </c>
      <c r="V99" s="6" t="s">
        <v>3961</v>
      </c>
      <c r="W99" s="6" t="s">
        <v>3962</v>
      </c>
      <c r="X99" s="6" t="s">
        <v>3963</v>
      </c>
      <c r="Y99" s="6" t="s">
        <v>60</v>
      </c>
      <c r="Z99" s="6" t="n">
        <v>0</v>
      </c>
      <c r="AA99" s="6" t="n">
        <v>0</v>
      </c>
      <c r="AB99" s="6" t="n">
        <v>0</v>
      </c>
      <c r="AC99" s="6" t="n">
        <v>0</v>
      </c>
      <c r="AD99" s="6" t="n">
        <v>0</v>
      </c>
      <c r="AE99" s="6" t="n">
        <v>0</v>
      </c>
      <c r="AF99" s="6" t="n">
        <v>0</v>
      </c>
      <c r="AG99" s="6" t="n">
        <v>0</v>
      </c>
      <c r="AH99" s="6" t="n">
        <v>0</v>
      </c>
      <c r="AI99" s="6" t="s">
        <v>84</v>
      </c>
    </row>
    <row r="100" customFormat="false" ht="15" hidden="false" customHeight="false" outlineLevel="0" collapsed="false">
      <c r="A100" s="6" t="n">
        <v>99</v>
      </c>
      <c r="B100" s="6" t="s">
        <v>3964</v>
      </c>
      <c r="C100" s="6" t="n">
        <v>2</v>
      </c>
      <c r="D100" s="6" t="s">
        <v>186</v>
      </c>
      <c r="E100" s="6" t="s">
        <v>123</v>
      </c>
      <c r="F100" s="6" t="n">
        <v>4</v>
      </c>
      <c r="G100" s="6" t="n">
        <v>111</v>
      </c>
      <c r="H100" s="6" t="s">
        <v>3965</v>
      </c>
      <c r="I100" s="22" t="n">
        <v>1132100</v>
      </c>
      <c r="J100" s="22" t="n">
        <v>5000</v>
      </c>
      <c r="K100" s="22" t="n">
        <v>85282.5</v>
      </c>
      <c r="L100" s="22" t="n">
        <v>1222382.5</v>
      </c>
      <c r="M100" s="6" t="s">
        <v>83</v>
      </c>
      <c r="N100" s="6" t="s">
        <v>84</v>
      </c>
      <c r="O100" s="6" t="s">
        <v>886</v>
      </c>
      <c r="P100" s="6" t="s">
        <v>85</v>
      </c>
      <c r="Q100" s="6" t="str">
        <f aca="false">IF(P100="pass","No","Yes")</f>
        <v>Yes</v>
      </c>
      <c r="R100" s="6" t="s">
        <v>86</v>
      </c>
      <c r="S100" s="6" t="s">
        <v>1479</v>
      </c>
      <c r="T100" s="6" t="s">
        <v>3966</v>
      </c>
      <c r="U100" s="23" t="n">
        <v>16.038</v>
      </c>
      <c r="V100" s="6" t="s">
        <v>3967</v>
      </c>
      <c r="W100" s="6" t="s">
        <v>3968</v>
      </c>
      <c r="X100" s="6" t="s">
        <v>3969</v>
      </c>
      <c r="Y100" s="6" t="s">
        <v>86</v>
      </c>
      <c r="Z100" s="6" t="n">
        <v>0</v>
      </c>
      <c r="AA100" s="6" t="n">
        <v>0</v>
      </c>
      <c r="AB100" s="6" t="n">
        <v>1</v>
      </c>
      <c r="AC100" s="6" t="n">
        <v>0</v>
      </c>
      <c r="AD100" s="6" t="n">
        <v>0</v>
      </c>
      <c r="AE100" s="6" t="n">
        <v>0</v>
      </c>
      <c r="AF100" s="6" t="n">
        <v>0</v>
      </c>
      <c r="AG100" s="6" t="n">
        <v>0</v>
      </c>
      <c r="AH100" s="6" t="n">
        <v>1</v>
      </c>
      <c r="AI100" s="6" t="s">
        <v>84</v>
      </c>
    </row>
    <row r="101" customFormat="false" ht="15" hidden="false" customHeight="false" outlineLevel="0" collapsed="false">
      <c r="A101" s="6" t="n">
        <v>100</v>
      </c>
      <c r="B101" s="6" t="s">
        <v>3970</v>
      </c>
      <c r="C101" s="6" t="n">
        <v>2</v>
      </c>
      <c r="D101" s="6" t="s">
        <v>191</v>
      </c>
      <c r="E101" s="6" t="s">
        <v>116</v>
      </c>
      <c r="F101" s="6" t="n">
        <v>4</v>
      </c>
      <c r="G101" s="6" t="n">
        <v>52</v>
      </c>
      <c r="H101" s="6" t="s">
        <v>3971</v>
      </c>
      <c r="I101" s="22" t="n">
        <v>1041200</v>
      </c>
      <c r="J101" s="22" t="n">
        <v>15000</v>
      </c>
      <c r="K101" s="22" t="n">
        <v>79215</v>
      </c>
      <c r="L101" s="22" t="n">
        <v>1135415</v>
      </c>
      <c r="M101" s="6" t="s">
        <v>272</v>
      </c>
      <c r="N101" s="6" t="s">
        <v>84</v>
      </c>
      <c r="O101" s="6" t="s">
        <v>879</v>
      </c>
      <c r="P101" s="6" t="s">
        <v>85</v>
      </c>
      <c r="Q101" s="6" t="str">
        <f aca="false">IF(P101="pass","No","Yes")</f>
        <v>Yes</v>
      </c>
      <c r="R101" s="6" t="s">
        <v>86</v>
      </c>
      <c r="S101" s="6" t="s">
        <v>879</v>
      </c>
      <c r="T101" s="6" t="s">
        <v>3972</v>
      </c>
      <c r="U101" s="23" t="n">
        <v>8.592</v>
      </c>
      <c r="V101" s="6" t="s">
        <v>3973</v>
      </c>
      <c r="W101" s="6" t="s">
        <v>3974</v>
      </c>
      <c r="X101" s="6" t="s">
        <v>3975</v>
      </c>
      <c r="Y101" s="6" t="s">
        <v>86</v>
      </c>
      <c r="Z101" s="6" t="n">
        <v>0</v>
      </c>
      <c r="AA101" s="6" t="n">
        <v>1</v>
      </c>
      <c r="AB101" s="6" t="n">
        <v>0</v>
      </c>
      <c r="AC101" s="6" t="n">
        <v>0</v>
      </c>
      <c r="AD101" s="6" t="n">
        <v>0</v>
      </c>
      <c r="AE101" s="6" t="n">
        <v>0</v>
      </c>
      <c r="AF101" s="6" t="n">
        <v>0</v>
      </c>
      <c r="AG101" s="6" t="n">
        <v>0</v>
      </c>
      <c r="AH101" s="6" t="n">
        <v>0</v>
      </c>
      <c r="AI101" s="6" t="s">
        <v>84</v>
      </c>
    </row>
    <row r="102" customFormat="false" ht="15" hidden="false" customHeight="false" outlineLevel="0" collapsed="false">
      <c r="A102" s="6" t="n">
        <v>101</v>
      </c>
      <c r="B102" s="6" t="s">
        <v>3976</v>
      </c>
      <c r="C102" s="6" t="n">
        <v>3</v>
      </c>
      <c r="D102" s="6" t="s">
        <v>119</v>
      </c>
      <c r="E102" s="6" t="s">
        <v>123</v>
      </c>
      <c r="F102" s="6" t="n">
        <v>2</v>
      </c>
      <c r="G102" s="6" t="n">
        <v>98</v>
      </c>
      <c r="H102" s="6" t="s">
        <v>3977</v>
      </c>
      <c r="I102" s="22" t="n">
        <v>1656000</v>
      </c>
      <c r="J102" s="22" t="n">
        <v>5000</v>
      </c>
      <c r="K102" s="22" t="n">
        <v>124575</v>
      </c>
      <c r="L102" s="22" t="n">
        <v>1785575</v>
      </c>
      <c r="M102" s="6" t="s">
        <v>57</v>
      </c>
      <c r="N102" s="6" t="s">
        <v>58</v>
      </c>
      <c r="O102" s="6"/>
      <c r="P102" s="6" t="s">
        <v>69</v>
      </c>
      <c r="Q102" s="6" t="str">
        <f aca="false">IF(P102="pass","No","Yes")</f>
        <v>No</v>
      </c>
      <c r="R102" s="6" t="s">
        <v>60</v>
      </c>
      <c r="S102" s="6"/>
      <c r="T102" s="6"/>
      <c r="U102" s="23" t="n">
        <v>8.055</v>
      </c>
      <c r="V102" s="6" t="s">
        <v>3978</v>
      </c>
      <c r="W102" s="6" t="s">
        <v>3979</v>
      </c>
      <c r="X102" s="6" t="s">
        <v>3980</v>
      </c>
      <c r="Y102" s="6" t="s">
        <v>60</v>
      </c>
      <c r="Z102" s="6" t="n">
        <v>0</v>
      </c>
      <c r="AA102" s="6" t="n">
        <v>0</v>
      </c>
      <c r="AB102" s="6" t="n">
        <v>0</v>
      </c>
      <c r="AC102" s="6" t="n">
        <v>0</v>
      </c>
      <c r="AD102" s="6" t="n">
        <v>0</v>
      </c>
      <c r="AE102" s="6" t="n">
        <v>0</v>
      </c>
      <c r="AF102" s="6" t="n">
        <v>0</v>
      </c>
      <c r="AG102" s="6" t="n">
        <v>0</v>
      </c>
      <c r="AH102" s="6" t="n">
        <v>0</v>
      </c>
      <c r="AI102" s="6" t="s">
        <v>84</v>
      </c>
    </row>
    <row r="103" customFormat="false" ht="15" hidden="false" customHeight="false" outlineLevel="0" collapsed="false">
      <c r="A103" s="6" t="n">
        <v>102</v>
      </c>
      <c r="B103" s="6" t="s">
        <v>3981</v>
      </c>
      <c r="C103" s="6" t="n">
        <v>3</v>
      </c>
      <c r="D103" s="6" t="s">
        <v>198</v>
      </c>
      <c r="E103" s="6" t="s">
        <v>81</v>
      </c>
      <c r="F103" s="6" t="n">
        <v>2</v>
      </c>
      <c r="G103" s="6" t="n">
        <v>16</v>
      </c>
      <c r="H103" s="6" t="s">
        <v>3982</v>
      </c>
      <c r="I103" s="22" t="n">
        <v>327500</v>
      </c>
      <c r="J103" s="22" t="n">
        <v>4000</v>
      </c>
      <c r="K103" s="22" t="n">
        <v>24862.5</v>
      </c>
      <c r="L103" s="22" t="n">
        <v>356362.5</v>
      </c>
      <c r="M103" s="6" t="s">
        <v>132</v>
      </c>
      <c r="N103" s="6" t="s">
        <v>84</v>
      </c>
      <c r="O103" s="6" t="s">
        <v>879</v>
      </c>
      <c r="P103" s="6" t="s">
        <v>85</v>
      </c>
      <c r="Q103" s="6" t="str">
        <f aca="false">IF(P103="pass","No","Yes")</f>
        <v>Yes</v>
      </c>
      <c r="R103" s="6" t="s">
        <v>86</v>
      </c>
      <c r="S103" s="6" t="s">
        <v>880</v>
      </c>
      <c r="T103" s="6" t="s">
        <v>134</v>
      </c>
      <c r="U103" s="23" t="n">
        <v>11.691</v>
      </c>
      <c r="V103" s="6" t="s">
        <v>3983</v>
      </c>
      <c r="W103" s="6" t="s">
        <v>3984</v>
      </c>
      <c r="X103" s="6" t="s">
        <v>3985</v>
      </c>
      <c r="Y103" s="6" t="s">
        <v>86</v>
      </c>
      <c r="Z103" s="6" t="n">
        <v>0</v>
      </c>
      <c r="AA103" s="6" t="n">
        <v>1</v>
      </c>
      <c r="AB103" s="6" t="n">
        <v>0</v>
      </c>
      <c r="AC103" s="6" t="n">
        <v>1</v>
      </c>
      <c r="AD103" s="6" t="n">
        <v>0</v>
      </c>
      <c r="AE103" s="6" t="n">
        <v>0</v>
      </c>
      <c r="AF103" s="6" t="n">
        <v>0</v>
      </c>
      <c r="AG103" s="6" t="n">
        <v>0</v>
      </c>
      <c r="AH103" s="6" t="n">
        <v>0</v>
      </c>
      <c r="AI103" s="6" t="s">
        <v>84</v>
      </c>
    </row>
    <row r="104" customFormat="false" ht="15" hidden="false" customHeight="false" outlineLevel="0" collapsed="false">
      <c r="A104" s="6" t="n">
        <v>103</v>
      </c>
      <c r="B104" s="6" t="s">
        <v>3986</v>
      </c>
      <c r="C104" s="6" t="n">
        <v>3</v>
      </c>
      <c r="D104" s="6" t="s">
        <v>127</v>
      </c>
      <c r="E104" s="6" t="s">
        <v>55</v>
      </c>
      <c r="F104" s="6" t="n">
        <v>4</v>
      </c>
      <c r="G104" s="6" t="n">
        <v>51</v>
      </c>
      <c r="H104" s="6" t="s">
        <v>3987</v>
      </c>
      <c r="I104" s="22" t="n">
        <v>903000</v>
      </c>
      <c r="J104" s="22" t="n">
        <v>6000</v>
      </c>
      <c r="K104" s="22" t="n">
        <v>68175</v>
      </c>
      <c r="L104" s="22" t="n">
        <v>977175</v>
      </c>
      <c r="M104" s="6" t="s">
        <v>272</v>
      </c>
      <c r="N104" s="6" t="s">
        <v>84</v>
      </c>
      <c r="O104" s="6" t="s">
        <v>879</v>
      </c>
      <c r="P104" s="6" t="s">
        <v>85</v>
      </c>
      <c r="Q104" s="6" t="str">
        <f aca="false">IF(P104="pass","No","Yes")</f>
        <v>Yes</v>
      </c>
      <c r="R104" s="6" t="s">
        <v>86</v>
      </c>
      <c r="S104" s="6" t="s">
        <v>879</v>
      </c>
      <c r="T104" s="6" t="s">
        <v>3988</v>
      </c>
      <c r="U104" s="23" t="n">
        <v>9.58</v>
      </c>
      <c r="V104" s="6" t="s">
        <v>3989</v>
      </c>
      <c r="W104" s="6" t="s">
        <v>3990</v>
      </c>
      <c r="X104" s="6" t="s">
        <v>3991</v>
      </c>
      <c r="Y104" s="6" t="s">
        <v>86</v>
      </c>
      <c r="Z104" s="6" t="n">
        <v>0</v>
      </c>
      <c r="AA104" s="6" t="n">
        <v>1</v>
      </c>
      <c r="AB104" s="6" t="n">
        <v>0</v>
      </c>
      <c r="AC104" s="6" t="n">
        <v>0</v>
      </c>
      <c r="AD104" s="6" t="n">
        <v>0</v>
      </c>
      <c r="AE104" s="6" t="n">
        <v>0</v>
      </c>
      <c r="AF104" s="6" t="n">
        <v>0</v>
      </c>
      <c r="AG104" s="6" t="n">
        <v>0</v>
      </c>
      <c r="AH104" s="6" t="n">
        <v>0</v>
      </c>
      <c r="AI104" s="6" t="s">
        <v>84</v>
      </c>
    </row>
    <row r="105" customFormat="false" ht="15" hidden="false" customHeight="false" outlineLevel="0" collapsed="false">
      <c r="A105" s="6" t="n">
        <v>104</v>
      </c>
      <c r="B105" s="6" t="s">
        <v>3992</v>
      </c>
      <c r="C105" s="6" t="n">
        <v>3</v>
      </c>
      <c r="D105" s="6" t="s">
        <v>63</v>
      </c>
      <c r="E105" s="6" t="s">
        <v>67</v>
      </c>
      <c r="F105" s="6" t="n">
        <v>1</v>
      </c>
      <c r="G105" s="6" t="n">
        <v>4</v>
      </c>
      <c r="H105" s="6" t="s">
        <v>3993</v>
      </c>
      <c r="I105" s="22" t="n">
        <v>208000</v>
      </c>
      <c r="J105" s="22" t="n">
        <v>4500</v>
      </c>
      <c r="K105" s="22" t="n">
        <v>15937.5</v>
      </c>
      <c r="L105" s="22" t="n">
        <v>228437.5</v>
      </c>
      <c r="M105" s="6" t="s">
        <v>57</v>
      </c>
      <c r="N105" s="6" t="s">
        <v>58</v>
      </c>
      <c r="O105" s="6"/>
      <c r="P105" s="6" t="s">
        <v>69</v>
      </c>
      <c r="Q105" s="6" t="str">
        <f aca="false">IF(P105="pass","No","Yes")</f>
        <v>No</v>
      </c>
      <c r="R105" s="6" t="s">
        <v>60</v>
      </c>
      <c r="S105" s="6"/>
      <c r="T105" s="6"/>
      <c r="U105" s="23" t="n">
        <v>5.733</v>
      </c>
      <c r="V105" s="6" t="s">
        <v>3994</v>
      </c>
      <c r="W105" s="6" t="s">
        <v>3995</v>
      </c>
      <c r="X105" s="6" t="s">
        <v>3996</v>
      </c>
      <c r="Y105" s="6" t="s">
        <v>60</v>
      </c>
      <c r="Z105" s="6" t="n">
        <v>0</v>
      </c>
      <c r="AA105" s="6" t="n">
        <v>0</v>
      </c>
      <c r="AB105" s="6" t="n">
        <v>0</v>
      </c>
      <c r="AC105" s="6" t="n">
        <v>0</v>
      </c>
      <c r="AD105" s="6" t="n">
        <v>0</v>
      </c>
      <c r="AE105" s="6" t="n">
        <v>0</v>
      </c>
      <c r="AF105" s="6" t="n">
        <v>0</v>
      </c>
      <c r="AG105" s="6" t="n">
        <v>0</v>
      </c>
      <c r="AH105" s="6" t="n">
        <v>0</v>
      </c>
      <c r="AI105" s="6" t="s">
        <v>84</v>
      </c>
    </row>
    <row r="106" customFormat="false" ht="15" hidden="false" customHeight="false" outlineLevel="0" collapsed="false">
      <c r="A106" s="6" t="n">
        <v>105</v>
      </c>
      <c r="B106" s="6" t="s">
        <v>3997</v>
      </c>
      <c r="C106" s="6" t="n">
        <v>3</v>
      </c>
      <c r="D106" s="6" t="s">
        <v>154</v>
      </c>
      <c r="E106" s="6" t="s">
        <v>123</v>
      </c>
      <c r="F106" s="6" t="n">
        <v>2</v>
      </c>
      <c r="G106" s="6" t="n">
        <v>70</v>
      </c>
      <c r="H106" s="6" t="s">
        <v>3998</v>
      </c>
      <c r="I106" s="22" t="n">
        <v>1185500</v>
      </c>
      <c r="J106" s="22" t="n">
        <v>5000</v>
      </c>
      <c r="K106" s="22" t="n">
        <v>89287.5</v>
      </c>
      <c r="L106" s="22" t="n">
        <v>1279787.5</v>
      </c>
      <c r="M106" s="6" t="s">
        <v>132</v>
      </c>
      <c r="N106" s="6" t="s">
        <v>84</v>
      </c>
      <c r="O106" s="6" t="s">
        <v>879</v>
      </c>
      <c r="P106" s="6" t="s">
        <v>85</v>
      </c>
      <c r="Q106" s="6" t="str">
        <f aca="false">IF(P106="pass","No","Yes")</f>
        <v>Yes</v>
      </c>
      <c r="R106" s="6" t="s">
        <v>86</v>
      </c>
      <c r="S106" s="6" t="s">
        <v>880</v>
      </c>
      <c r="T106" s="6" t="s">
        <v>134</v>
      </c>
      <c r="U106" s="23" t="n">
        <v>6.259</v>
      </c>
      <c r="V106" s="6" t="s">
        <v>3999</v>
      </c>
      <c r="W106" s="6" t="s">
        <v>4000</v>
      </c>
      <c r="X106" s="6" t="s">
        <v>4001</v>
      </c>
      <c r="Y106" s="6" t="s">
        <v>86</v>
      </c>
      <c r="Z106" s="6" t="n">
        <v>0</v>
      </c>
      <c r="AA106" s="6" t="n">
        <v>1</v>
      </c>
      <c r="AB106" s="6" t="n">
        <v>0</v>
      </c>
      <c r="AC106" s="6" t="n">
        <v>1</v>
      </c>
      <c r="AD106" s="6" t="n">
        <v>0</v>
      </c>
      <c r="AE106" s="6" t="n">
        <v>0</v>
      </c>
      <c r="AF106" s="6" t="n">
        <v>0</v>
      </c>
      <c r="AG106" s="6" t="n">
        <v>0</v>
      </c>
      <c r="AH106" s="6" t="n">
        <v>0</v>
      </c>
      <c r="AI106" s="6" t="s">
        <v>84</v>
      </c>
    </row>
    <row r="107" customFormat="false" ht="15" hidden="false" customHeight="false" outlineLevel="0" collapsed="false">
      <c r="A107" s="6" t="n">
        <v>106</v>
      </c>
      <c r="B107" s="6" t="s">
        <v>4002</v>
      </c>
      <c r="C107" s="6" t="n">
        <v>3</v>
      </c>
      <c r="D107" s="6" t="s">
        <v>213</v>
      </c>
      <c r="E107" s="6" t="s">
        <v>146</v>
      </c>
      <c r="F107" s="6" t="n">
        <v>1</v>
      </c>
      <c r="G107" s="6" t="n">
        <v>111</v>
      </c>
      <c r="H107" s="6" t="s">
        <v>4003</v>
      </c>
      <c r="I107" s="22" t="n">
        <v>799200</v>
      </c>
      <c r="J107" s="22" t="n">
        <v>0</v>
      </c>
      <c r="K107" s="22" t="n">
        <v>59940</v>
      </c>
      <c r="L107" s="22" t="n">
        <v>859140</v>
      </c>
      <c r="M107" s="6" t="s">
        <v>148</v>
      </c>
      <c r="N107" s="6" t="s">
        <v>84</v>
      </c>
      <c r="O107" s="6" t="s">
        <v>866</v>
      </c>
      <c r="P107" s="6" t="s">
        <v>85</v>
      </c>
      <c r="Q107" s="6" t="str">
        <f aca="false">IF(P107="pass","No","Yes")</f>
        <v>Yes</v>
      </c>
      <c r="R107" s="6" t="s">
        <v>86</v>
      </c>
      <c r="S107" s="6" t="s">
        <v>872</v>
      </c>
      <c r="T107" s="6" t="s">
        <v>4004</v>
      </c>
      <c r="U107" s="23" t="n">
        <v>11.049</v>
      </c>
      <c r="V107" s="6" t="s">
        <v>4005</v>
      </c>
      <c r="W107" s="6" t="s">
        <v>4006</v>
      </c>
      <c r="X107" s="6" t="s">
        <v>4007</v>
      </c>
      <c r="Y107" s="6" t="s">
        <v>86</v>
      </c>
      <c r="Z107" s="6" t="n">
        <v>1</v>
      </c>
      <c r="AA107" s="6" t="n">
        <v>0</v>
      </c>
      <c r="AB107" s="6" t="n">
        <v>0</v>
      </c>
      <c r="AC107" s="6" t="n">
        <v>0</v>
      </c>
      <c r="AD107" s="6" t="n">
        <v>0</v>
      </c>
      <c r="AE107" s="6" t="n">
        <v>0</v>
      </c>
      <c r="AF107" s="6" t="n">
        <v>0</v>
      </c>
      <c r="AG107" s="6" t="n">
        <v>0</v>
      </c>
      <c r="AH107" s="6" t="n">
        <v>1</v>
      </c>
      <c r="AI107" s="6" t="s">
        <v>84</v>
      </c>
    </row>
    <row r="108" customFormat="false" ht="15" hidden="false" customHeight="false" outlineLevel="0" collapsed="false">
      <c r="A108" s="6" t="n">
        <v>107</v>
      </c>
      <c r="B108" s="6" t="s">
        <v>4008</v>
      </c>
      <c r="C108" s="6" t="n">
        <v>3</v>
      </c>
      <c r="D108" s="6" t="s">
        <v>51</v>
      </c>
      <c r="E108" s="6" t="s">
        <v>55</v>
      </c>
      <c r="F108" s="6" t="n">
        <v>4</v>
      </c>
      <c r="G108" s="6" t="n">
        <v>100</v>
      </c>
      <c r="H108" s="6" t="s">
        <v>4009</v>
      </c>
      <c r="I108" s="22" t="n">
        <v>865200</v>
      </c>
      <c r="J108" s="22" t="n">
        <v>6000</v>
      </c>
      <c r="K108" s="22" t="n">
        <v>65340</v>
      </c>
      <c r="L108" s="22" t="n">
        <v>936540</v>
      </c>
      <c r="M108" s="6" t="s">
        <v>1009</v>
      </c>
      <c r="N108" s="6" t="s">
        <v>58</v>
      </c>
      <c r="O108" s="6"/>
      <c r="P108" s="6" t="s">
        <v>59</v>
      </c>
      <c r="Q108" s="6" t="str">
        <f aca="false">IF(P108="pass","No","Yes")</f>
        <v>Yes</v>
      </c>
      <c r="R108" s="6" t="s">
        <v>60</v>
      </c>
      <c r="S108" s="6" t="s">
        <v>915</v>
      </c>
      <c r="T108" s="6" t="s">
        <v>4010</v>
      </c>
      <c r="U108" s="23" t="n">
        <v>22.816</v>
      </c>
      <c r="V108" s="6" t="s">
        <v>4011</v>
      </c>
      <c r="W108" s="6" t="s">
        <v>4012</v>
      </c>
      <c r="X108" s="6" t="s">
        <v>4013</v>
      </c>
      <c r="Y108" s="6" t="s">
        <v>60</v>
      </c>
      <c r="Z108" s="6" t="n">
        <v>0</v>
      </c>
      <c r="AA108" s="6" t="n">
        <v>0</v>
      </c>
      <c r="AB108" s="6" t="n">
        <v>0</v>
      </c>
      <c r="AC108" s="6" t="n">
        <v>0</v>
      </c>
      <c r="AD108" s="6" t="n">
        <v>0</v>
      </c>
      <c r="AE108" s="6" t="n">
        <v>0</v>
      </c>
      <c r="AF108" s="6" t="n">
        <v>0</v>
      </c>
      <c r="AG108" s="6" t="n">
        <v>0</v>
      </c>
      <c r="AH108" s="6" t="n">
        <v>1</v>
      </c>
      <c r="AI108" s="6" t="s">
        <v>84</v>
      </c>
    </row>
    <row r="109" customFormat="false" ht="15" hidden="false" customHeight="false" outlineLevel="0" collapsed="false">
      <c r="A109" s="6" t="n">
        <v>108</v>
      </c>
      <c r="B109" s="6" t="s">
        <v>4014</v>
      </c>
      <c r="C109" s="6" t="n">
        <v>3</v>
      </c>
      <c r="D109" s="6" t="s">
        <v>137</v>
      </c>
      <c r="E109" s="6" t="s">
        <v>55</v>
      </c>
      <c r="F109" s="6" t="n">
        <v>2</v>
      </c>
      <c r="G109" s="6" t="n">
        <v>68</v>
      </c>
      <c r="H109" s="6" t="s">
        <v>4015</v>
      </c>
      <c r="I109" s="22" t="n">
        <v>1047500</v>
      </c>
      <c r="J109" s="22" t="n">
        <v>6000</v>
      </c>
      <c r="K109" s="22" t="n">
        <v>79012.5</v>
      </c>
      <c r="L109" s="22" t="n">
        <v>1132512.5</v>
      </c>
      <c r="M109" s="6" t="s">
        <v>57</v>
      </c>
      <c r="N109" s="6" t="s">
        <v>58</v>
      </c>
      <c r="O109" s="6"/>
      <c r="P109" s="6" t="s">
        <v>69</v>
      </c>
      <c r="Q109" s="6" t="str">
        <f aca="false">IF(P109="pass","No","Yes")</f>
        <v>No</v>
      </c>
      <c r="R109" s="6" t="s">
        <v>60</v>
      </c>
      <c r="S109" s="6"/>
      <c r="T109" s="6"/>
      <c r="U109" s="23" t="n">
        <v>8.134</v>
      </c>
      <c r="V109" s="6" t="s">
        <v>4016</v>
      </c>
      <c r="W109" s="6" t="s">
        <v>4017</v>
      </c>
      <c r="X109" s="6" t="s">
        <v>4018</v>
      </c>
      <c r="Y109" s="6" t="s">
        <v>60</v>
      </c>
      <c r="Z109" s="6" t="n">
        <v>0</v>
      </c>
      <c r="AA109" s="6" t="n">
        <v>0</v>
      </c>
      <c r="AB109" s="6" t="n">
        <v>0</v>
      </c>
      <c r="AC109" s="6" t="n">
        <v>0</v>
      </c>
      <c r="AD109" s="6" t="n">
        <v>0</v>
      </c>
      <c r="AE109" s="6" t="n">
        <v>0</v>
      </c>
      <c r="AF109" s="6" t="n">
        <v>0</v>
      </c>
      <c r="AG109" s="6" t="n">
        <v>0</v>
      </c>
      <c r="AH109" s="6" t="n">
        <v>0</v>
      </c>
      <c r="AI109" s="6" t="s">
        <v>84</v>
      </c>
    </row>
    <row r="110" customFormat="false" ht="15" hidden="false" customHeight="false" outlineLevel="0" collapsed="false">
      <c r="A110" s="6" t="n">
        <v>109</v>
      </c>
      <c r="B110" s="6" t="s">
        <v>4019</v>
      </c>
      <c r="C110" s="6" t="n">
        <v>3</v>
      </c>
      <c r="D110" s="6" t="s">
        <v>154</v>
      </c>
      <c r="E110" s="6" t="s">
        <v>123</v>
      </c>
      <c r="F110" s="6" t="n">
        <v>1</v>
      </c>
      <c r="G110" s="6" t="n">
        <v>2</v>
      </c>
      <c r="H110" s="6" t="s">
        <v>959</v>
      </c>
      <c r="I110" s="22" t="n">
        <v>8200</v>
      </c>
      <c r="J110" s="22" t="n">
        <v>5000</v>
      </c>
      <c r="K110" s="22" t="n">
        <v>990</v>
      </c>
      <c r="L110" s="22" t="n">
        <v>14190</v>
      </c>
      <c r="M110" s="6" t="s">
        <v>57</v>
      </c>
      <c r="N110" s="6" t="s">
        <v>58</v>
      </c>
      <c r="O110" s="6"/>
      <c r="P110" s="6" t="s">
        <v>69</v>
      </c>
      <c r="Q110" s="6" t="str">
        <f aca="false">IF(P110="pass","No","Yes")</f>
        <v>No</v>
      </c>
      <c r="R110" s="6" t="s">
        <v>60</v>
      </c>
      <c r="S110" s="6"/>
      <c r="T110" s="6"/>
      <c r="U110" s="23" t="n">
        <v>5.728</v>
      </c>
      <c r="V110" s="6" t="s">
        <v>4020</v>
      </c>
      <c r="W110" s="6" t="s">
        <v>4021</v>
      </c>
      <c r="X110" s="6" t="s">
        <v>4022</v>
      </c>
      <c r="Y110" s="6" t="s">
        <v>60</v>
      </c>
      <c r="Z110" s="6" t="n">
        <v>0</v>
      </c>
      <c r="AA110" s="6" t="n">
        <v>0</v>
      </c>
      <c r="AB110" s="6" t="n">
        <v>0</v>
      </c>
      <c r="AC110" s="6" t="n">
        <v>0</v>
      </c>
      <c r="AD110" s="6" t="n">
        <v>0</v>
      </c>
      <c r="AE110" s="6" t="n">
        <v>0</v>
      </c>
      <c r="AF110" s="6" t="n">
        <v>0</v>
      </c>
      <c r="AG110" s="6" t="n">
        <v>0</v>
      </c>
      <c r="AH110" s="6" t="n">
        <v>0</v>
      </c>
      <c r="AI110" s="6" t="s">
        <v>84</v>
      </c>
    </row>
    <row r="111" customFormat="false" ht="15" hidden="false" customHeight="false" outlineLevel="0" collapsed="false">
      <c r="A111" s="6" t="n">
        <v>110</v>
      </c>
      <c r="B111" s="6" t="s">
        <v>4023</v>
      </c>
      <c r="C111" s="6" t="n">
        <v>3</v>
      </c>
      <c r="D111" s="6" t="s">
        <v>100</v>
      </c>
      <c r="E111" s="6" t="s">
        <v>67</v>
      </c>
      <c r="F111" s="6" t="n">
        <v>1</v>
      </c>
      <c r="G111" s="6" t="n">
        <v>70</v>
      </c>
      <c r="H111" s="6" t="s">
        <v>4024</v>
      </c>
      <c r="I111" s="22" t="n">
        <v>875000</v>
      </c>
      <c r="J111" s="22" t="n">
        <v>4500</v>
      </c>
      <c r="K111" s="22" t="n">
        <v>65962.5</v>
      </c>
      <c r="L111" s="22" t="n">
        <v>945462.5</v>
      </c>
      <c r="M111" s="6" t="s">
        <v>57</v>
      </c>
      <c r="N111" s="6" t="s">
        <v>58</v>
      </c>
      <c r="O111" s="6"/>
      <c r="P111" s="6" t="s">
        <v>69</v>
      </c>
      <c r="Q111" s="6" t="str">
        <f aca="false">IF(P111="pass","No","Yes")</f>
        <v>No</v>
      </c>
      <c r="R111" s="6" t="s">
        <v>60</v>
      </c>
      <c r="S111" s="6"/>
      <c r="T111" s="6"/>
      <c r="U111" s="23" t="n">
        <v>6.673</v>
      </c>
      <c r="V111" s="6" t="s">
        <v>4025</v>
      </c>
      <c r="W111" s="6" t="s">
        <v>4026</v>
      </c>
      <c r="X111" s="6" t="s">
        <v>4027</v>
      </c>
      <c r="Y111" s="6" t="s">
        <v>60</v>
      </c>
      <c r="Z111" s="6" t="n">
        <v>0</v>
      </c>
      <c r="AA111" s="6" t="n">
        <v>0</v>
      </c>
      <c r="AB111" s="6" t="n">
        <v>0</v>
      </c>
      <c r="AC111" s="6" t="n">
        <v>0</v>
      </c>
      <c r="AD111" s="6" t="n">
        <v>0</v>
      </c>
      <c r="AE111" s="6" t="n">
        <v>0</v>
      </c>
      <c r="AF111" s="6" t="n">
        <v>0</v>
      </c>
      <c r="AG111" s="6" t="n">
        <v>0</v>
      </c>
      <c r="AH111" s="6" t="n">
        <v>0</v>
      </c>
      <c r="AI111" s="6" t="s">
        <v>84</v>
      </c>
    </row>
    <row r="112" customFormat="false" ht="15" hidden="false" customHeight="false" outlineLevel="0" collapsed="false">
      <c r="A112" s="6" t="n">
        <v>111</v>
      </c>
      <c r="B112" s="6" t="s">
        <v>4028</v>
      </c>
      <c r="C112" s="6" t="n">
        <v>3</v>
      </c>
      <c r="D112" s="6" t="s">
        <v>119</v>
      </c>
      <c r="E112" s="6" t="s">
        <v>123</v>
      </c>
      <c r="F112" s="6" t="n">
        <v>1</v>
      </c>
      <c r="G112" s="6" t="n">
        <v>5</v>
      </c>
      <c r="H112" s="6" t="s">
        <v>4029</v>
      </c>
      <c r="I112" s="22" t="n">
        <v>43000</v>
      </c>
      <c r="J112" s="22" t="n">
        <v>5000</v>
      </c>
      <c r="K112" s="22" t="n">
        <v>3600</v>
      </c>
      <c r="L112" s="22" t="n">
        <v>51600</v>
      </c>
      <c r="M112" s="6" t="s">
        <v>94</v>
      </c>
      <c r="N112" s="6" t="s">
        <v>84</v>
      </c>
      <c r="O112" s="6" t="s">
        <v>909</v>
      </c>
      <c r="P112" s="6" t="s">
        <v>85</v>
      </c>
      <c r="Q112" s="6" t="str">
        <f aca="false">IF(P112="pass","No","Yes")</f>
        <v>Yes</v>
      </c>
      <c r="R112" s="6" t="s">
        <v>86</v>
      </c>
      <c r="S112" s="6" t="s">
        <v>909</v>
      </c>
      <c r="T112" s="6" t="s">
        <v>254</v>
      </c>
      <c r="U112" s="23" t="n">
        <v>5.78</v>
      </c>
      <c r="V112" s="6" t="s">
        <v>4030</v>
      </c>
      <c r="W112" s="6" t="s">
        <v>4031</v>
      </c>
      <c r="X112" s="6" t="s">
        <v>4032</v>
      </c>
      <c r="Y112" s="6" t="s">
        <v>86</v>
      </c>
      <c r="Z112" s="6" t="n">
        <v>0</v>
      </c>
      <c r="AA112" s="6" t="n">
        <v>0</v>
      </c>
      <c r="AB112" s="6" t="n">
        <v>0</v>
      </c>
      <c r="AC112" s="6" t="n">
        <v>0</v>
      </c>
      <c r="AD112" s="6" t="n">
        <v>0</v>
      </c>
      <c r="AE112" s="6" t="n">
        <v>0</v>
      </c>
      <c r="AF112" s="6" t="n">
        <v>1</v>
      </c>
      <c r="AG112" s="6" t="n">
        <v>0</v>
      </c>
      <c r="AH112" s="6" t="n">
        <v>0</v>
      </c>
      <c r="AI112" s="6" t="s">
        <v>84</v>
      </c>
    </row>
    <row r="113" customFormat="false" ht="15" hidden="false" customHeight="false" outlineLevel="0" collapsed="false">
      <c r="A113" s="6" t="n">
        <v>112</v>
      </c>
      <c r="B113" s="6" t="s">
        <v>4033</v>
      </c>
      <c r="C113" s="6" t="n">
        <v>3</v>
      </c>
      <c r="D113" s="6" t="s">
        <v>119</v>
      </c>
      <c r="E113" s="6" t="s">
        <v>123</v>
      </c>
      <c r="F113" s="6" t="n">
        <v>2</v>
      </c>
      <c r="G113" s="6" t="n">
        <v>38</v>
      </c>
      <c r="H113" s="6" t="s">
        <v>4034</v>
      </c>
      <c r="I113" s="22" t="n">
        <v>1360000</v>
      </c>
      <c r="J113" s="22" t="n">
        <v>5000</v>
      </c>
      <c r="K113" s="22" t="n">
        <v>102375</v>
      </c>
      <c r="L113" s="22" t="n">
        <v>1467375</v>
      </c>
      <c r="M113" s="6" t="s">
        <v>1042</v>
      </c>
      <c r="N113" s="6" t="s">
        <v>58</v>
      </c>
      <c r="O113" s="6"/>
      <c r="P113" s="6" t="s">
        <v>69</v>
      </c>
      <c r="Q113" s="6" t="str">
        <f aca="false">IF(P113="pass","No","Yes")</f>
        <v>No</v>
      </c>
      <c r="R113" s="6" t="s">
        <v>60</v>
      </c>
      <c r="S113" s="6"/>
      <c r="T113" s="6"/>
      <c r="U113" s="23" t="n">
        <v>7.899</v>
      </c>
      <c r="V113" s="6" t="s">
        <v>4035</v>
      </c>
      <c r="W113" s="6" t="s">
        <v>4036</v>
      </c>
      <c r="X113" s="6" t="s">
        <v>4037</v>
      </c>
      <c r="Y113" s="6" t="s">
        <v>60</v>
      </c>
      <c r="Z113" s="6" t="n">
        <v>0</v>
      </c>
      <c r="AA113" s="6" t="n">
        <v>0</v>
      </c>
      <c r="AB113" s="6" t="n">
        <v>0</v>
      </c>
      <c r="AC113" s="6" t="n">
        <v>0</v>
      </c>
      <c r="AD113" s="6" t="n">
        <v>0</v>
      </c>
      <c r="AE113" s="6" t="n">
        <v>0</v>
      </c>
      <c r="AF113" s="6" t="n">
        <v>0</v>
      </c>
      <c r="AG113" s="6" t="n">
        <v>0</v>
      </c>
      <c r="AH113" s="6" t="n">
        <v>0</v>
      </c>
      <c r="AI113" s="6" t="s">
        <v>84</v>
      </c>
    </row>
    <row r="114" customFormat="false" ht="15" hidden="false" customHeight="false" outlineLevel="0" collapsed="false">
      <c r="A114" s="6" t="n">
        <v>113</v>
      </c>
      <c r="B114" s="6" t="s">
        <v>4038</v>
      </c>
      <c r="C114" s="6" t="n">
        <v>3</v>
      </c>
      <c r="D114" s="6" t="s">
        <v>127</v>
      </c>
      <c r="E114" s="6" t="s">
        <v>55</v>
      </c>
      <c r="F114" s="6" t="n">
        <v>2</v>
      </c>
      <c r="G114" s="6" t="n">
        <v>23</v>
      </c>
      <c r="H114" s="6" t="s">
        <v>4039</v>
      </c>
      <c r="I114" s="22" t="n">
        <v>374200</v>
      </c>
      <c r="J114" s="22" t="n">
        <v>6000</v>
      </c>
      <c r="K114" s="22" t="n">
        <v>28515</v>
      </c>
      <c r="L114" s="22" t="n">
        <v>408715</v>
      </c>
      <c r="M114" s="6" t="s">
        <v>224</v>
      </c>
      <c r="N114" s="6" t="s">
        <v>84</v>
      </c>
      <c r="O114" s="6" t="s">
        <v>866</v>
      </c>
      <c r="P114" s="6" t="s">
        <v>85</v>
      </c>
      <c r="Q114" s="6" t="str">
        <f aca="false">IF(P114="pass","No","Yes")</f>
        <v>Yes</v>
      </c>
      <c r="R114" s="6" t="s">
        <v>86</v>
      </c>
      <c r="S114" s="6" t="s">
        <v>866</v>
      </c>
      <c r="T114" s="6" t="s">
        <v>225</v>
      </c>
      <c r="U114" s="23" t="n">
        <v>7.7</v>
      </c>
      <c r="V114" s="6" t="s">
        <v>4040</v>
      </c>
      <c r="W114" s="6" t="s">
        <v>4041</v>
      </c>
      <c r="X114" s="6" t="s">
        <v>4042</v>
      </c>
      <c r="Y114" s="6" t="s">
        <v>86</v>
      </c>
      <c r="Z114" s="6" t="n">
        <v>1</v>
      </c>
      <c r="AA114" s="6" t="n">
        <v>0</v>
      </c>
      <c r="AB114" s="6" t="n">
        <v>0</v>
      </c>
      <c r="AC114" s="6" t="n">
        <v>0</v>
      </c>
      <c r="AD114" s="6" t="n">
        <v>0</v>
      </c>
      <c r="AE114" s="6" t="n">
        <v>0</v>
      </c>
      <c r="AF114" s="6" t="n">
        <v>0</v>
      </c>
      <c r="AG114" s="6" t="n">
        <v>0</v>
      </c>
      <c r="AH114" s="6" t="n">
        <v>0</v>
      </c>
      <c r="AI114" s="6" t="s">
        <v>58</v>
      </c>
    </row>
    <row r="115" customFormat="false" ht="15" hidden="false" customHeight="false" outlineLevel="0" collapsed="false">
      <c r="A115" s="6" t="n">
        <v>114</v>
      </c>
      <c r="B115" s="6" t="s">
        <v>4043</v>
      </c>
      <c r="C115" s="6" t="n">
        <v>3</v>
      </c>
      <c r="D115" s="6" t="s">
        <v>77</v>
      </c>
      <c r="E115" s="6" t="s">
        <v>81</v>
      </c>
      <c r="F115" s="6" t="n">
        <v>1</v>
      </c>
      <c r="G115" s="6" t="n">
        <v>4</v>
      </c>
      <c r="H115" s="6" t="s">
        <v>4044</v>
      </c>
      <c r="I115" s="22" t="n">
        <v>152000</v>
      </c>
      <c r="J115" s="22" t="n">
        <v>4000</v>
      </c>
      <c r="K115" s="22" t="n">
        <v>11700</v>
      </c>
      <c r="L115" s="22" t="n">
        <v>167700</v>
      </c>
      <c r="M115" s="6" t="s">
        <v>57</v>
      </c>
      <c r="N115" s="6" t="s">
        <v>58</v>
      </c>
      <c r="O115" s="6"/>
      <c r="P115" s="6" t="s">
        <v>69</v>
      </c>
      <c r="Q115" s="6" t="str">
        <f aca="false">IF(P115="pass","No","Yes")</f>
        <v>No</v>
      </c>
      <c r="R115" s="6" t="s">
        <v>60</v>
      </c>
      <c r="S115" s="6"/>
      <c r="T115" s="6"/>
      <c r="U115" s="23" t="n">
        <v>6.063</v>
      </c>
      <c r="V115" s="6" t="s">
        <v>4045</v>
      </c>
      <c r="W115" s="6" t="s">
        <v>4046</v>
      </c>
      <c r="X115" s="6" t="s">
        <v>4047</v>
      </c>
      <c r="Y115" s="6" t="s">
        <v>60</v>
      </c>
      <c r="Z115" s="6" t="n">
        <v>0</v>
      </c>
      <c r="AA115" s="6" t="n">
        <v>0</v>
      </c>
      <c r="AB115" s="6" t="n">
        <v>0</v>
      </c>
      <c r="AC115" s="6" t="n">
        <v>0</v>
      </c>
      <c r="AD115" s="6" t="n">
        <v>0</v>
      </c>
      <c r="AE115" s="6" t="n">
        <v>0</v>
      </c>
      <c r="AF115" s="6" t="n">
        <v>0</v>
      </c>
      <c r="AG115" s="6" t="n">
        <v>0</v>
      </c>
      <c r="AH115" s="6" t="n">
        <v>0</v>
      </c>
      <c r="AI115" s="6" t="s">
        <v>84</v>
      </c>
    </row>
    <row r="116" customFormat="false" ht="15" hidden="false" customHeight="false" outlineLevel="0" collapsed="false">
      <c r="A116" s="6" t="n">
        <v>115</v>
      </c>
      <c r="B116" s="6" t="s">
        <v>4048</v>
      </c>
      <c r="C116" s="6" t="n">
        <v>3</v>
      </c>
      <c r="D116" s="6" t="s">
        <v>105</v>
      </c>
      <c r="E116" s="6" t="s">
        <v>81</v>
      </c>
      <c r="F116" s="6" t="n">
        <v>2</v>
      </c>
      <c r="G116" s="6" t="n">
        <v>79</v>
      </c>
      <c r="H116" s="6" t="s">
        <v>4049</v>
      </c>
      <c r="I116" s="22" t="n">
        <v>589500</v>
      </c>
      <c r="J116" s="22" t="n">
        <v>4000</v>
      </c>
      <c r="K116" s="22" t="n">
        <v>44512.5</v>
      </c>
      <c r="L116" s="22" t="n">
        <v>638012.5</v>
      </c>
      <c r="M116" s="6" t="s">
        <v>83</v>
      </c>
      <c r="N116" s="6" t="s">
        <v>84</v>
      </c>
      <c r="O116" s="6" t="s">
        <v>886</v>
      </c>
      <c r="P116" s="6" t="s">
        <v>85</v>
      </c>
      <c r="Q116" s="6" t="str">
        <f aca="false">IF(P116="pass","No","Yes")</f>
        <v>Yes</v>
      </c>
      <c r="R116" s="6" t="s">
        <v>86</v>
      </c>
      <c r="S116" s="6" t="s">
        <v>1479</v>
      </c>
      <c r="T116" s="6" t="s">
        <v>4050</v>
      </c>
      <c r="U116" s="23" t="n">
        <v>19.872</v>
      </c>
      <c r="V116" s="6" t="s">
        <v>4051</v>
      </c>
      <c r="W116" s="6" t="s">
        <v>4052</v>
      </c>
      <c r="X116" s="6" t="s">
        <v>4053</v>
      </c>
      <c r="Y116" s="6" t="s">
        <v>86</v>
      </c>
      <c r="Z116" s="6" t="n">
        <v>0</v>
      </c>
      <c r="AA116" s="6" t="n">
        <v>0</v>
      </c>
      <c r="AB116" s="6" t="n">
        <v>1</v>
      </c>
      <c r="AC116" s="6" t="n">
        <v>0</v>
      </c>
      <c r="AD116" s="6" t="n">
        <v>0</v>
      </c>
      <c r="AE116" s="6" t="n">
        <v>0</v>
      </c>
      <c r="AF116" s="6" t="n">
        <v>0</v>
      </c>
      <c r="AG116" s="6" t="n">
        <v>0</v>
      </c>
      <c r="AH116" s="6" t="n">
        <v>1</v>
      </c>
      <c r="AI116" s="6" t="s">
        <v>84</v>
      </c>
    </row>
    <row r="117" customFormat="false" ht="15" hidden="false" customHeight="false" outlineLevel="0" collapsed="false">
      <c r="A117" s="6" t="n">
        <v>116</v>
      </c>
      <c r="B117" s="6" t="s">
        <v>4054</v>
      </c>
      <c r="C117" s="6" t="n">
        <v>3</v>
      </c>
      <c r="D117" s="6" t="s">
        <v>100</v>
      </c>
      <c r="E117" s="6" t="s">
        <v>67</v>
      </c>
      <c r="F117" s="6" t="n">
        <v>3</v>
      </c>
      <c r="G117" s="6" t="n">
        <v>151</v>
      </c>
      <c r="H117" s="6" t="s">
        <v>4055</v>
      </c>
      <c r="I117" s="22" t="n">
        <v>1502800</v>
      </c>
      <c r="J117" s="22" t="n">
        <v>4500</v>
      </c>
      <c r="K117" s="22" t="n">
        <v>113047.5</v>
      </c>
      <c r="L117" s="22" t="n">
        <v>1620347.5</v>
      </c>
      <c r="M117" s="6" t="s">
        <v>960</v>
      </c>
      <c r="N117" s="6" t="s">
        <v>84</v>
      </c>
      <c r="O117" s="6" t="s">
        <v>961</v>
      </c>
      <c r="P117" s="6" t="s">
        <v>85</v>
      </c>
      <c r="Q117" s="6" t="str">
        <f aca="false">IF(P117="pass","No","Yes")</f>
        <v>Yes</v>
      </c>
      <c r="R117" s="6" t="s">
        <v>86</v>
      </c>
      <c r="S117" s="6" t="s">
        <v>961</v>
      </c>
      <c r="T117" s="6" t="s">
        <v>962</v>
      </c>
      <c r="U117" s="23" t="n">
        <v>16.354</v>
      </c>
      <c r="V117" s="6" t="s">
        <v>4056</v>
      </c>
      <c r="W117" s="6" t="s">
        <v>4057</v>
      </c>
      <c r="X117" s="6" t="s">
        <v>4058</v>
      </c>
      <c r="Y117" s="6" t="s">
        <v>86</v>
      </c>
      <c r="Z117" s="6" t="n">
        <v>0</v>
      </c>
      <c r="AA117" s="6" t="n">
        <v>0</v>
      </c>
      <c r="AB117" s="6" t="n">
        <v>0</v>
      </c>
      <c r="AC117" s="6" t="n">
        <v>0</v>
      </c>
      <c r="AD117" s="6" t="n">
        <v>1</v>
      </c>
      <c r="AE117" s="6" t="n">
        <v>0</v>
      </c>
      <c r="AF117" s="6" t="n">
        <v>0</v>
      </c>
      <c r="AG117" s="6" t="n">
        <v>0</v>
      </c>
      <c r="AH117" s="6" t="n">
        <v>0</v>
      </c>
      <c r="AI117" s="6" t="s">
        <v>84</v>
      </c>
    </row>
    <row r="118" customFormat="false" ht="15" hidden="false" customHeight="false" outlineLevel="0" collapsed="false">
      <c r="A118" s="6" t="n">
        <v>117</v>
      </c>
      <c r="B118" s="6" t="s">
        <v>4059</v>
      </c>
      <c r="C118" s="6" t="n">
        <v>3</v>
      </c>
      <c r="D118" s="6" t="s">
        <v>237</v>
      </c>
      <c r="E118" s="6" t="s">
        <v>116</v>
      </c>
      <c r="F118" s="6" t="n">
        <v>2</v>
      </c>
      <c r="G118" s="6" t="n">
        <v>113</v>
      </c>
      <c r="H118" s="6" t="s">
        <v>4060</v>
      </c>
      <c r="I118" s="22" t="n">
        <v>1190200</v>
      </c>
      <c r="J118" s="22" t="n">
        <v>15000</v>
      </c>
      <c r="K118" s="22" t="n">
        <v>90390</v>
      </c>
      <c r="L118" s="22" t="n">
        <v>1295590</v>
      </c>
      <c r="M118" s="6" t="s">
        <v>94</v>
      </c>
      <c r="N118" s="6" t="s">
        <v>84</v>
      </c>
      <c r="O118" s="6" t="s">
        <v>909</v>
      </c>
      <c r="P118" s="6" t="s">
        <v>85</v>
      </c>
      <c r="Q118" s="6" t="str">
        <f aca="false">IF(P118="pass","No","Yes")</f>
        <v>Yes</v>
      </c>
      <c r="R118" s="6" t="s">
        <v>86</v>
      </c>
      <c r="S118" s="6" t="s">
        <v>909</v>
      </c>
      <c r="T118" s="6" t="s">
        <v>254</v>
      </c>
      <c r="U118" s="23" t="n">
        <v>8.342</v>
      </c>
      <c r="V118" s="6" t="s">
        <v>4061</v>
      </c>
      <c r="W118" s="6" t="s">
        <v>4062</v>
      </c>
      <c r="X118" s="6" t="s">
        <v>4063</v>
      </c>
      <c r="Y118" s="6" t="s">
        <v>86</v>
      </c>
      <c r="Z118" s="6" t="n">
        <v>0</v>
      </c>
      <c r="AA118" s="6" t="n">
        <v>0</v>
      </c>
      <c r="AB118" s="6" t="n">
        <v>0</v>
      </c>
      <c r="AC118" s="6" t="n">
        <v>0</v>
      </c>
      <c r="AD118" s="6" t="n">
        <v>0</v>
      </c>
      <c r="AE118" s="6" t="n">
        <v>0</v>
      </c>
      <c r="AF118" s="6" t="n">
        <v>1</v>
      </c>
      <c r="AG118" s="6" t="n">
        <v>0</v>
      </c>
      <c r="AH118" s="6" t="n">
        <v>0</v>
      </c>
      <c r="AI118" s="6" t="s">
        <v>84</v>
      </c>
    </row>
    <row r="119" customFormat="false" ht="15" hidden="false" customHeight="false" outlineLevel="0" collapsed="false">
      <c r="A119" s="6" t="n">
        <v>118</v>
      </c>
      <c r="B119" s="6" t="s">
        <v>4064</v>
      </c>
      <c r="C119" s="6" t="n">
        <v>3</v>
      </c>
      <c r="D119" s="6" t="s">
        <v>191</v>
      </c>
      <c r="E119" s="6" t="s">
        <v>116</v>
      </c>
      <c r="F119" s="6" t="n">
        <v>3</v>
      </c>
      <c r="G119" s="6" t="n">
        <v>8</v>
      </c>
      <c r="H119" s="6" t="s">
        <v>4065</v>
      </c>
      <c r="I119" s="22" t="n">
        <v>320200</v>
      </c>
      <c r="J119" s="22" t="n">
        <v>15000</v>
      </c>
      <c r="K119" s="22" t="n">
        <v>25140</v>
      </c>
      <c r="L119" s="22" t="n">
        <v>360340</v>
      </c>
      <c r="M119" s="6" t="s">
        <v>152</v>
      </c>
      <c r="N119" s="6" t="s">
        <v>84</v>
      </c>
      <c r="O119" s="6" t="s">
        <v>886</v>
      </c>
      <c r="P119" s="6" t="s">
        <v>85</v>
      </c>
      <c r="Q119" s="6" t="str">
        <f aca="false">IF(P119="pass","No","Yes")</f>
        <v>Yes</v>
      </c>
      <c r="R119" s="6" t="s">
        <v>86</v>
      </c>
      <c r="S119" s="6" t="s">
        <v>886</v>
      </c>
      <c r="T119" s="6" t="s">
        <v>475</v>
      </c>
      <c r="U119" s="23" t="n">
        <v>7.803</v>
      </c>
      <c r="V119" s="6" t="s">
        <v>4066</v>
      </c>
      <c r="W119" s="6" t="s">
        <v>4067</v>
      </c>
      <c r="X119" s="6" t="s">
        <v>4068</v>
      </c>
      <c r="Y119" s="6" t="s">
        <v>86</v>
      </c>
      <c r="Z119" s="6" t="n">
        <v>0</v>
      </c>
      <c r="AA119" s="6" t="n">
        <v>0</v>
      </c>
      <c r="AB119" s="6" t="n">
        <v>1</v>
      </c>
      <c r="AC119" s="6" t="n">
        <v>0</v>
      </c>
      <c r="AD119" s="6" t="n">
        <v>0</v>
      </c>
      <c r="AE119" s="6" t="n">
        <v>0</v>
      </c>
      <c r="AF119" s="6" t="n">
        <v>0</v>
      </c>
      <c r="AG119" s="6" t="n">
        <v>0</v>
      </c>
      <c r="AH119" s="6" t="n">
        <v>0</v>
      </c>
      <c r="AI119" s="6" t="s">
        <v>84</v>
      </c>
    </row>
    <row r="120" customFormat="false" ht="15" hidden="false" customHeight="false" outlineLevel="0" collapsed="false">
      <c r="A120" s="6" t="n">
        <v>119</v>
      </c>
      <c r="B120" s="6" t="s">
        <v>4069</v>
      </c>
      <c r="C120" s="6" t="n">
        <v>3</v>
      </c>
      <c r="D120" s="6" t="s">
        <v>177</v>
      </c>
      <c r="E120" s="6" t="s">
        <v>81</v>
      </c>
      <c r="F120" s="6" t="n">
        <v>2</v>
      </c>
      <c r="G120" s="6" t="n">
        <v>31</v>
      </c>
      <c r="H120" s="6" t="s">
        <v>4070</v>
      </c>
      <c r="I120" s="22" t="n">
        <v>1089800</v>
      </c>
      <c r="J120" s="22" t="n">
        <v>4000</v>
      </c>
      <c r="K120" s="22" t="n">
        <v>82035</v>
      </c>
      <c r="L120" s="22" t="n">
        <v>1175835</v>
      </c>
      <c r="M120" s="6" t="s">
        <v>57</v>
      </c>
      <c r="N120" s="6" t="s">
        <v>58</v>
      </c>
      <c r="O120" s="6"/>
      <c r="P120" s="6" t="s">
        <v>69</v>
      </c>
      <c r="Q120" s="6" t="str">
        <f aca="false">IF(P120="pass","No","Yes")</f>
        <v>No</v>
      </c>
      <c r="R120" s="6" t="s">
        <v>60</v>
      </c>
      <c r="S120" s="6"/>
      <c r="T120" s="6"/>
      <c r="U120" s="23" t="n">
        <v>8.608</v>
      </c>
      <c r="V120" s="6" t="s">
        <v>4071</v>
      </c>
      <c r="W120" s="6" t="s">
        <v>4072</v>
      </c>
      <c r="X120" s="6" t="s">
        <v>4073</v>
      </c>
      <c r="Y120" s="6" t="s">
        <v>60</v>
      </c>
      <c r="Z120" s="6" t="n">
        <v>0</v>
      </c>
      <c r="AA120" s="6" t="n">
        <v>0</v>
      </c>
      <c r="AB120" s="6" t="n">
        <v>0</v>
      </c>
      <c r="AC120" s="6" t="n">
        <v>0</v>
      </c>
      <c r="AD120" s="6" t="n">
        <v>0</v>
      </c>
      <c r="AE120" s="6" t="n">
        <v>0</v>
      </c>
      <c r="AF120" s="6" t="n">
        <v>0</v>
      </c>
      <c r="AG120" s="6" t="n">
        <v>0</v>
      </c>
      <c r="AH120" s="6" t="n">
        <v>0</v>
      </c>
      <c r="AI120" s="6" t="s">
        <v>84</v>
      </c>
    </row>
    <row r="121" customFormat="false" ht="15" hidden="false" customHeight="false" outlineLevel="0" collapsed="false">
      <c r="A121" s="6" t="n">
        <v>120</v>
      </c>
      <c r="B121" s="6" t="s">
        <v>4074</v>
      </c>
      <c r="C121" s="6" t="n">
        <v>3</v>
      </c>
      <c r="D121" s="6" t="s">
        <v>166</v>
      </c>
      <c r="E121" s="6" t="s">
        <v>74</v>
      </c>
      <c r="F121" s="6" t="n">
        <v>3</v>
      </c>
      <c r="G121" s="6" t="n">
        <v>3</v>
      </c>
      <c r="H121" s="6" t="s">
        <v>4075</v>
      </c>
      <c r="I121" s="22" t="n">
        <v>46200</v>
      </c>
      <c r="J121" s="22" t="n">
        <v>9000</v>
      </c>
      <c r="K121" s="22" t="n">
        <v>4140</v>
      </c>
      <c r="L121" s="22" t="n">
        <v>59340</v>
      </c>
      <c r="M121" s="6" t="s">
        <v>152</v>
      </c>
      <c r="N121" s="6" t="s">
        <v>84</v>
      </c>
      <c r="O121" s="6" t="s">
        <v>886</v>
      </c>
      <c r="P121" s="6" t="s">
        <v>85</v>
      </c>
      <c r="Q121" s="6" t="str">
        <f aca="false">IF(P121="pass","No","Yes")</f>
        <v>Yes</v>
      </c>
      <c r="R121" s="6" t="s">
        <v>86</v>
      </c>
      <c r="S121" s="6" t="s">
        <v>886</v>
      </c>
      <c r="T121" s="6" t="s">
        <v>418</v>
      </c>
      <c r="U121" s="23" t="n">
        <v>7.891</v>
      </c>
      <c r="V121" s="6" t="s">
        <v>4076</v>
      </c>
      <c r="W121" s="6" t="s">
        <v>4077</v>
      </c>
      <c r="X121" s="6" t="s">
        <v>4078</v>
      </c>
      <c r="Y121" s="6" t="s">
        <v>86</v>
      </c>
      <c r="Z121" s="6" t="n">
        <v>0</v>
      </c>
      <c r="AA121" s="6" t="n">
        <v>0</v>
      </c>
      <c r="AB121" s="6" t="n">
        <v>1</v>
      </c>
      <c r="AC121" s="6" t="n">
        <v>0</v>
      </c>
      <c r="AD121" s="6" t="n">
        <v>0</v>
      </c>
      <c r="AE121" s="6" t="n">
        <v>0</v>
      </c>
      <c r="AF121" s="6" t="n">
        <v>0</v>
      </c>
      <c r="AG121" s="6" t="n">
        <v>0</v>
      </c>
      <c r="AH121" s="6" t="n">
        <v>0</v>
      </c>
      <c r="AI121" s="6" t="s">
        <v>84</v>
      </c>
    </row>
    <row r="122" customFormat="false" ht="15" hidden="false" customHeight="false" outlineLevel="0" collapsed="false">
      <c r="A122" s="6" t="n">
        <v>121</v>
      </c>
      <c r="B122" s="6" t="s">
        <v>4079</v>
      </c>
      <c r="C122" s="6" t="n">
        <v>3</v>
      </c>
      <c r="D122" s="6" t="s">
        <v>119</v>
      </c>
      <c r="E122" s="6" t="s">
        <v>123</v>
      </c>
      <c r="F122" s="6" t="n">
        <v>3</v>
      </c>
      <c r="G122" s="6" t="n">
        <v>77</v>
      </c>
      <c r="H122" s="6" t="s">
        <v>4080</v>
      </c>
      <c r="I122" s="22" t="n">
        <v>579000</v>
      </c>
      <c r="J122" s="22" t="n">
        <v>5000</v>
      </c>
      <c r="K122" s="22" t="n">
        <v>43800</v>
      </c>
      <c r="L122" s="22" t="n">
        <v>627800</v>
      </c>
      <c r="M122" s="6" t="s">
        <v>57</v>
      </c>
      <c r="N122" s="6" t="s">
        <v>58</v>
      </c>
      <c r="O122" s="6"/>
      <c r="P122" s="6" t="s">
        <v>59</v>
      </c>
      <c r="Q122" s="6" t="str">
        <f aca="false">IF(P122="pass","No","Yes")</f>
        <v>Yes</v>
      </c>
      <c r="R122" s="6" t="s">
        <v>60</v>
      </c>
      <c r="S122" s="6" t="s">
        <v>915</v>
      </c>
      <c r="T122" s="6" t="s">
        <v>563</v>
      </c>
      <c r="U122" s="23" t="n">
        <v>17.361</v>
      </c>
      <c r="V122" s="6" t="s">
        <v>4081</v>
      </c>
      <c r="W122" s="6" t="s">
        <v>4082</v>
      </c>
      <c r="X122" s="6" t="s">
        <v>4083</v>
      </c>
      <c r="Y122" s="6" t="s">
        <v>60</v>
      </c>
      <c r="Z122" s="6" t="n">
        <v>0</v>
      </c>
      <c r="AA122" s="6" t="n">
        <v>0</v>
      </c>
      <c r="AB122" s="6" t="n">
        <v>0</v>
      </c>
      <c r="AC122" s="6" t="n">
        <v>0</v>
      </c>
      <c r="AD122" s="6" t="n">
        <v>0</v>
      </c>
      <c r="AE122" s="6" t="n">
        <v>0</v>
      </c>
      <c r="AF122" s="6" t="n">
        <v>0</v>
      </c>
      <c r="AG122" s="6" t="n">
        <v>0</v>
      </c>
      <c r="AH122" s="6" t="n">
        <v>1</v>
      </c>
      <c r="AI122" s="6" t="s">
        <v>84</v>
      </c>
    </row>
    <row r="123" customFormat="false" ht="15" hidden="false" customHeight="false" outlineLevel="0" collapsed="false">
      <c r="A123" s="6" t="n">
        <v>122</v>
      </c>
      <c r="B123" s="6" t="s">
        <v>4084</v>
      </c>
      <c r="C123" s="6" t="n">
        <v>3</v>
      </c>
      <c r="D123" s="6" t="s">
        <v>77</v>
      </c>
      <c r="E123" s="6" t="s">
        <v>146</v>
      </c>
      <c r="F123" s="6" t="n">
        <v>3</v>
      </c>
      <c r="G123" s="6" t="n">
        <v>47</v>
      </c>
      <c r="H123" s="6" t="s">
        <v>4085</v>
      </c>
      <c r="I123" s="22" t="n">
        <v>1322000</v>
      </c>
      <c r="J123" s="22" t="n">
        <v>0</v>
      </c>
      <c r="K123" s="22" t="n">
        <v>99150</v>
      </c>
      <c r="L123" s="22" t="n">
        <v>1421150</v>
      </c>
      <c r="M123" s="6" t="s">
        <v>148</v>
      </c>
      <c r="N123" s="6" t="s">
        <v>84</v>
      </c>
      <c r="O123" s="6" t="s">
        <v>866</v>
      </c>
      <c r="P123" s="6" t="s">
        <v>85</v>
      </c>
      <c r="Q123" s="6" t="str">
        <f aca="false">IF(P123="pass","No","Yes")</f>
        <v>Yes</v>
      </c>
      <c r="R123" s="6" t="s">
        <v>86</v>
      </c>
      <c r="S123" s="6" t="s">
        <v>866</v>
      </c>
      <c r="T123" s="6" t="s">
        <v>150</v>
      </c>
      <c r="U123" s="23" t="n">
        <v>10.588</v>
      </c>
      <c r="V123" s="6" t="s">
        <v>4086</v>
      </c>
      <c r="W123" s="6" t="s">
        <v>4087</v>
      </c>
      <c r="X123" s="6" t="s">
        <v>4088</v>
      </c>
      <c r="Y123" s="6" t="s">
        <v>86</v>
      </c>
      <c r="Z123" s="6" t="n">
        <v>1</v>
      </c>
      <c r="AA123" s="6" t="n">
        <v>0</v>
      </c>
      <c r="AB123" s="6" t="n">
        <v>0</v>
      </c>
      <c r="AC123" s="6" t="n">
        <v>0</v>
      </c>
      <c r="AD123" s="6" t="n">
        <v>0</v>
      </c>
      <c r="AE123" s="6" t="n">
        <v>0</v>
      </c>
      <c r="AF123" s="6" t="n">
        <v>0</v>
      </c>
      <c r="AG123" s="6" t="n">
        <v>0</v>
      </c>
      <c r="AH123" s="6" t="n">
        <v>0</v>
      </c>
      <c r="AI123" s="6" t="s">
        <v>84</v>
      </c>
    </row>
    <row r="124" customFormat="false" ht="15" hidden="false" customHeight="false" outlineLevel="0" collapsed="false">
      <c r="A124" s="6" t="n">
        <v>123</v>
      </c>
      <c r="B124" s="6" t="s">
        <v>4089</v>
      </c>
      <c r="C124" s="6" t="n">
        <v>3</v>
      </c>
      <c r="D124" s="6" t="s">
        <v>77</v>
      </c>
      <c r="E124" s="6" t="s">
        <v>81</v>
      </c>
      <c r="F124" s="6" t="n">
        <v>3</v>
      </c>
      <c r="G124" s="6" t="n">
        <v>191</v>
      </c>
      <c r="H124" s="6" t="s">
        <v>4090</v>
      </c>
      <c r="I124" s="22" t="n">
        <v>1920600</v>
      </c>
      <c r="J124" s="22" t="n">
        <v>4000</v>
      </c>
      <c r="K124" s="22" t="n">
        <v>144345</v>
      </c>
      <c r="L124" s="22" t="n">
        <v>2068945</v>
      </c>
      <c r="M124" s="6" t="s">
        <v>57</v>
      </c>
      <c r="N124" s="6" t="s">
        <v>58</v>
      </c>
      <c r="O124" s="6"/>
      <c r="P124" s="6" t="s">
        <v>59</v>
      </c>
      <c r="Q124" s="6" t="str">
        <f aca="false">IF(P124="pass","No","Yes")</f>
        <v>Yes</v>
      </c>
      <c r="R124" s="6" t="s">
        <v>60</v>
      </c>
      <c r="S124" s="6" t="s">
        <v>915</v>
      </c>
      <c r="T124" s="6" t="s">
        <v>4091</v>
      </c>
      <c r="U124" s="23" t="n">
        <v>18.065</v>
      </c>
      <c r="V124" s="6" t="s">
        <v>4092</v>
      </c>
      <c r="W124" s="6" t="s">
        <v>4093</v>
      </c>
      <c r="X124" s="6" t="s">
        <v>4094</v>
      </c>
      <c r="Y124" s="6" t="s">
        <v>60</v>
      </c>
      <c r="Z124" s="6" t="n">
        <v>0</v>
      </c>
      <c r="AA124" s="6" t="n">
        <v>0</v>
      </c>
      <c r="AB124" s="6" t="n">
        <v>0</v>
      </c>
      <c r="AC124" s="6" t="n">
        <v>0</v>
      </c>
      <c r="AD124" s="6" t="n">
        <v>0</v>
      </c>
      <c r="AE124" s="6" t="n">
        <v>0</v>
      </c>
      <c r="AF124" s="6" t="n">
        <v>0</v>
      </c>
      <c r="AG124" s="6" t="n">
        <v>0</v>
      </c>
      <c r="AH124" s="6" t="n">
        <v>1</v>
      </c>
      <c r="AI124" s="6" t="s">
        <v>84</v>
      </c>
    </row>
    <row r="125" customFormat="false" ht="15" hidden="false" customHeight="false" outlineLevel="0" collapsed="false">
      <c r="A125" s="6" t="n">
        <v>124</v>
      </c>
      <c r="B125" s="6" t="s">
        <v>4095</v>
      </c>
      <c r="C125" s="6" t="n">
        <v>3</v>
      </c>
      <c r="D125" s="6" t="s">
        <v>237</v>
      </c>
      <c r="E125" s="6" t="s">
        <v>116</v>
      </c>
      <c r="F125" s="6" t="n">
        <v>3</v>
      </c>
      <c r="G125" s="6" t="n">
        <v>44</v>
      </c>
      <c r="H125" s="6" t="s">
        <v>4096</v>
      </c>
      <c r="I125" s="22" t="n">
        <v>471700</v>
      </c>
      <c r="J125" s="22" t="n">
        <v>15000</v>
      </c>
      <c r="K125" s="22" t="n">
        <v>36502.5</v>
      </c>
      <c r="L125" s="22" t="n">
        <v>523202.5</v>
      </c>
      <c r="M125" s="6" t="s">
        <v>224</v>
      </c>
      <c r="N125" s="6" t="s">
        <v>84</v>
      </c>
      <c r="O125" s="6" t="s">
        <v>866</v>
      </c>
      <c r="P125" s="6" t="s">
        <v>85</v>
      </c>
      <c r="Q125" s="6" t="str">
        <f aca="false">IF(P125="pass","No","Yes")</f>
        <v>Yes</v>
      </c>
      <c r="R125" s="6" t="s">
        <v>86</v>
      </c>
      <c r="S125" s="6" t="s">
        <v>866</v>
      </c>
      <c r="T125" s="6" t="s">
        <v>225</v>
      </c>
      <c r="U125" s="23" t="n">
        <v>16.696</v>
      </c>
      <c r="V125" s="6" t="s">
        <v>4097</v>
      </c>
      <c r="W125" s="6" t="s">
        <v>4098</v>
      </c>
      <c r="X125" s="6" t="s">
        <v>4099</v>
      </c>
      <c r="Y125" s="6" t="s">
        <v>86</v>
      </c>
      <c r="Z125" s="6" t="n">
        <v>1</v>
      </c>
      <c r="AA125" s="6" t="n">
        <v>0</v>
      </c>
      <c r="AB125" s="6" t="n">
        <v>0</v>
      </c>
      <c r="AC125" s="6" t="n">
        <v>0</v>
      </c>
      <c r="AD125" s="6" t="n">
        <v>0</v>
      </c>
      <c r="AE125" s="6" t="n">
        <v>0</v>
      </c>
      <c r="AF125" s="6" t="n">
        <v>0</v>
      </c>
      <c r="AG125" s="6" t="n">
        <v>0</v>
      </c>
      <c r="AH125" s="6" t="n">
        <v>0</v>
      </c>
      <c r="AI125" s="6" t="s">
        <v>58</v>
      </c>
    </row>
    <row r="126" customFormat="false" ht="15" hidden="false" customHeight="false" outlineLevel="0" collapsed="false">
      <c r="A126" s="6" t="n">
        <v>125</v>
      </c>
      <c r="B126" s="6" t="s">
        <v>4100</v>
      </c>
      <c r="C126" s="6" t="n">
        <v>3</v>
      </c>
      <c r="D126" s="6" t="s">
        <v>154</v>
      </c>
      <c r="E126" s="6" t="s">
        <v>123</v>
      </c>
      <c r="F126" s="6" t="n">
        <v>3</v>
      </c>
      <c r="G126" s="6" t="n">
        <v>74</v>
      </c>
      <c r="H126" s="6" t="s">
        <v>4101</v>
      </c>
      <c r="I126" s="22" t="n">
        <v>1423400</v>
      </c>
      <c r="J126" s="22" t="n">
        <v>5000</v>
      </c>
      <c r="K126" s="22" t="n">
        <v>107130</v>
      </c>
      <c r="L126" s="22" t="n">
        <v>1535530</v>
      </c>
      <c r="M126" s="6" t="s">
        <v>57</v>
      </c>
      <c r="N126" s="6" t="s">
        <v>58</v>
      </c>
      <c r="O126" s="6"/>
      <c r="P126" s="6" t="s">
        <v>69</v>
      </c>
      <c r="Q126" s="6" t="str">
        <f aca="false">IF(P126="pass","No","Yes")</f>
        <v>No</v>
      </c>
      <c r="R126" s="6" t="s">
        <v>60</v>
      </c>
      <c r="S126" s="6"/>
      <c r="T126" s="6"/>
      <c r="U126" s="23" t="n">
        <v>11.999</v>
      </c>
      <c r="V126" s="6" t="s">
        <v>4102</v>
      </c>
      <c r="W126" s="6" t="s">
        <v>4103</v>
      </c>
      <c r="X126" s="6" t="s">
        <v>4104</v>
      </c>
      <c r="Y126" s="6" t="s">
        <v>60</v>
      </c>
      <c r="Z126" s="6" t="n">
        <v>0</v>
      </c>
      <c r="AA126" s="6" t="n">
        <v>0</v>
      </c>
      <c r="AB126" s="6" t="n">
        <v>0</v>
      </c>
      <c r="AC126" s="6" t="n">
        <v>0</v>
      </c>
      <c r="AD126" s="6" t="n">
        <v>0</v>
      </c>
      <c r="AE126" s="6" t="n">
        <v>0</v>
      </c>
      <c r="AF126" s="6" t="n">
        <v>0</v>
      </c>
      <c r="AG126" s="6" t="n">
        <v>0</v>
      </c>
      <c r="AH126" s="6" t="n">
        <v>0</v>
      </c>
      <c r="AI126" s="6" t="s">
        <v>84</v>
      </c>
    </row>
    <row r="127" customFormat="false" ht="15" hidden="false" customHeight="false" outlineLevel="0" collapsed="false">
      <c r="A127" s="6" t="n">
        <v>126</v>
      </c>
      <c r="B127" s="6" t="s">
        <v>4105</v>
      </c>
      <c r="C127" s="6" t="n">
        <v>3</v>
      </c>
      <c r="D127" s="6" t="s">
        <v>105</v>
      </c>
      <c r="E127" s="6" t="s">
        <v>81</v>
      </c>
      <c r="F127" s="6" t="n">
        <v>2</v>
      </c>
      <c r="G127" s="6" t="n">
        <v>23</v>
      </c>
      <c r="H127" s="6" t="s">
        <v>4106</v>
      </c>
      <c r="I127" s="22" t="n">
        <v>311600</v>
      </c>
      <c r="J127" s="22" t="n">
        <v>4000</v>
      </c>
      <c r="K127" s="22" t="n">
        <v>23670</v>
      </c>
      <c r="L127" s="22" t="n">
        <v>339270</v>
      </c>
      <c r="M127" s="6" t="s">
        <v>57</v>
      </c>
      <c r="N127" s="6" t="s">
        <v>58</v>
      </c>
      <c r="O127" s="6"/>
      <c r="P127" s="6" t="s">
        <v>69</v>
      </c>
      <c r="Q127" s="6" t="str">
        <f aca="false">IF(P127="pass","No","Yes")</f>
        <v>No</v>
      </c>
      <c r="R127" s="6" t="s">
        <v>60</v>
      </c>
      <c r="S127" s="6"/>
      <c r="T127" s="6"/>
      <c r="U127" s="23" t="n">
        <v>8.955</v>
      </c>
      <c r="V127" s="6" t="s">
        <v>4107</v>
      </c>
      <c r="W127" s="6" t="s">
        <v>4108</v>
      </c>
      <c r="X127" s="6" t="s">
        <v>4109</v>
      </c>
      <c r="Y127" s="6" t="s">
        <v>60</v>
      </c>
      <c r="Z127" s="6" t="n">
        <v>0</v>
      </c>
      <c r="AA127" s="6" t="n">
        <v>0</v>
      </c>
      <c r="AB127" s="6" t="n">
        <v>0</v>
      </c>
      <c r="AC127" s="6" t="n">
        <v>0</v>
      </c>
      <c r="AD127" s="6" t="n">
        <v>0</v>
      </c>
      <c r="AE127" s="6" t="n">
        <v>0</v>
      </c>
      <c r="AF127" s="6" t="n">
        <v>0</v>
      </c>
      <c r="AG127" s="6" t="n">
        <v>0</v>
      </c>
      <c r="AH127" s="6" t="n">
        <v>0</v>
      </c>
      <c r="AI127" s="6" t="s">
        <v>84</v>
      </c>
    </row>
    <row r="128" customFormat="false" ht="15" hidden="false" customHeight="false" outlineLevel="0" collapsed="false">
      <c r="A128" s="6" t="n">
        <v>127</v>
      </c>
      <c r="B128" s="6" t="s">
        <v>4110</v>
      </c>
      <c r="C128" s="6" t="n">
        <v>3</v>
      </c>
      <c r="D128" s="6" t="s">
        <v>154</v>
      </c>
      <c r="E128" s="6" t="s">
        <v>123</v>
      </c>
      <c r="F128" s="6" t="n">
        <v>4</v>
      </c>
      <c r="G128" s="6" t="n">
        <v>43</v>
      </c>
      <c r="H128" s="6" t="s">
        <v>4111</v>
      </c>
      <c r="I128" s="22" t="n">
        <v>1145500</v>
      </c>
      <c r="J128" s="22" t="n">
        <v>5000</v>
      </c>
      <c r="K128" s="22" t="n">
        <v>86287.5</v>
      </c>
      <c r="L128" s="22" t="n">
        <v>1236787.5</v>
      </c>
      <c r="M128" s="6" t="s">
        <v>152</v>
      </c>
      <c r="N128" s="6" t="s">
        <v>84</v>
      </c>
      <c r="O128" s="6" t="s">
        <v>886</v>
      </c>
      <c r="P128" s="6" t="s">
        <v>85</v>
      </c>
      <c r="Q128" s="6" t="str">
        <f aca="false">IF(P128="pass","No","Yes")</f>
        <v>Yes</v>
      </c>
      <c r="R128" s="6" t="s">
        <v>86</v>
      </c>
      <c r="S128" s="6" t="s">
        <v>886</v>
      </c>
      <c r="T128" s="6" t="s">
        <v>264</v>
      </c>
      <c r="U128" s="23" t="n">
        <v>17.673</v>
      </c>
      <c r="V128" s="6" t="s">
        <v>4112</v>
      </c>
      <c r="W128" s="6" t="s">
        <v>4113</v>
      </c>
      <c r="X128" s="6" t="s">
        <v>4114</v>
      </c>
      <c r="Y128" s="6" t="s">
        <v>86</v>
      </c>
      <c r="Z128" s="6" t="n">
        <v>0</v>
      </c>
      <c r="AA128" s="6" t="n">
        <v>0</v>
      </c>
      <c r="AB128" s="6" t="n">
        <v>1</v>
      </c>
      <c r="AC128" s="6" t="n">
        <v>0</v>
      </c>
      <c r="AD128" s="6" t="n">
        <v>0</v>
      </c>
      <c r="AE128" s="6" t="n">
        <v>0</v>
      </c>
      <c r="AF128" s="6" t="n">
        <v>0</v>
      </c>
      <c r="AG128" s="6" t="n">
        <v>0</v>
      </c>
      <c r="AH128" s="6" t="n">
        <v>0</v>
      </c>
      <c r="AI128" s="6" t="s">
        <v>84</v>
      </c>
    </row>
    <row r="129" customFormat="false" ht="15" hidden="false" customHeight="false" outlineLevel="0" collapsed="false">
      <c r="A129" s="6" t="n">
        <v>128</v>
      </c>
      <c r="B129" s="6" t="s">
        <v>4115</v>
      </c>
      <c r="C129" s="6" t="n">
        <v>3</v>
      </c>
      <c r="D129" s="6" t="s">
        <v>186</v>
      </c>
      <c r="E129" s="6" t="s">
        <v>123</v>
      </c>
      <c r="F129" s="6" t="n">
        <v>3</v>
      </c>
      <c r="G129" s="6" t="n">
        <v>202</v>
      </c>
      <c r="H129" s="6" t="s">
        <v>4116</v>
      </c>
      <c r="I129" s="22" t="n">
        <v>2261000</v>
      </c>
      <c r="J129" s="22" t="n">
        <v>5000</v>
      </c>
      <c r="K129" s="22" t="n">
        <v>169950</v>
      </c>
      <c r="L129" s="22" t="n">
        <v>2435950</v>
      </c>
      <c r="M129" s="6" t="s">
        <v>57</v>
      </c>
      <c r="N129" s="6" t="s">
        <v>58</v>
      </c>
      <c r="O129" s="6"/>
      <c r="P129" s="6" t="s">
        <v>59</v>
      </c>
      <c r="Q129" s="6" t="str">
        <f aca="false">IF(P129="pass","No","Yes")</f>
        <v>Yes</v>
      </c>
      <c r="R129" s="6" t="s">
        <v>60</v>
      </c>
      <c r="S129" s="6" t="s">
        <v>915</v>
      </c>
      <c r="T129" s="6" t="s">
        <v>928</v>
      </c>
      <c r="U129" s="23" t="n">
        <v>18.012</v>
      </c>
      <c r="V129" s="6" t="s">
        <v>4117</v>
      </c>
      <c r="W129" s="6" t="s">
        <v>4118</v>
      </c>
      <c r="X129" s="6" t="s">
        <v>4119</v>
      </c>
      <c r="Y129" s="6" t="s">
        <v>60</v>
      </c>
      <c r="Z129" s="6" t="n">
        <v>0</v>
      </c>
      <c r="AA129" s="6" t="n">
        <v>0</v>
      </c>
      <c r="AB129" s="6" t="n">
        <v>0</v>
      </c>
      <c r="AC129" s="6" t="n">
        <v>0</v>
      </c>
      <c r="AD129" s="6" t="n">
        <v>0</v>
      </c>
      <c r="AE129" s="6" t="n">
        <v>0</v>
      </c>
      <c r="AF129" s="6" t="n">
        <v>0</v>
      </c>
      <c r="AG129" s="6" t="n">
        <v>0</v>
      </c>
      <c r="AH129" s="6" t="n">
        <v>1</v>
      </c>
      <c r="AI129" s="6" t="s">
        <v>84</v>
      </c>
    </row>
    <row r="130" customFormat="false" ht="15" hidden="false" customHeight="false" outlineLevel="0" collapsed="false">
      <c r="A130" s="6" t="n">
        <v>129</v>
      </c>
      <c r="B130" s="6" t="s">
        <v>4120</v>
      </c>
      <c r="C130" s="6" t="n">
        <v>3</v>
      </c>
      <c r="D130" s="6" t="s">
        <v>63</v>
      </c>
      <c r="E130" s="6" t="s">
        <v>67</v>
      </c>
      <c r="F130" s="6" t="n">
        <v>3</v>
      </c>
      <c r="G130" s="6" t="n">
        <v>51</v>
      </c>
      <c r="H130" s="6" t="s">
        <v>4121</v>
      </c>
      <c r="I130" s="22" t="n">
        <v>553800</v>
      </c>
      <c r="J130" s="22" t="n">
        <v>4500</v>
      </c>
      <c r="K130" s="22" t="n">
        <v>41872.5</v>
      </c>
      <c r="L130" s="22" t="n">
        <v>600172.5</v>
      </c>
      <c r="M130" s="6" t="s">
        <v>57</v>
      </c>
      <c r="N130" s="6" t="s">
        <v>58</v>
      </c>
      <c r="O130" s="6"/>
      <c r="P130" s="6" t="s">
        <v>69</v>
      </c>
      <c r="Q130" s="6" t="str">
        <f aca="false">IF(P130="pass","No","Yes")</f>
        <v>No</v>
      </c>
      <c r="R130" s="6" t="s">
        <v>60</v>
      </c>
      <c r="S130" s="6"/>
      <c r="T130" s="6"/>
      <c r="U130" s="23" t="n">
        <v>11.809</v>
      </c>
      <c r="V130" s="6" t="s">
        <v>4122</v>
      </c>
      <c r="W130" s="6" t="s">
        <v>4123</v>
      </c>
      <c r="X130" s="6" t="s">
        <v>4124</v>
      </c>
      <c r="Y130" s="6" t="s">
        <v>60</v>
      </c>
      <c r="Z130" s="6" t="n">
        <v>0</v>
      </c>
      <c r="AA130" s="6" t="n">
        <v>0</v>
      </c>
      <c r="AB130" s="6" t="n">
        <v>0</v>
      </c>
      <c r="AC130" s="6" t="n">
        <v>0</v>
      </c>
      <c r="AD130" s="6" t="n">
        <v>0</v>
      </c>
      <c r="AE130" s="6" t="n">
        <v>0</v>
      </c>
      <c r="AF130" s="6" t="n">
        <v>0</v>
      </c>
      <c r="AG130" s="6" t="n">
        <v>0</v>
      </c>
      <c r="AH130" s="6" t="n">
        <v>0</v>
      </c>
      <c r="AI130" s="6" t="s">
        <v>84</v>
      </c>
    </row>
    <row r="131" customFormat="false" ht="15" hidden="false" customHeight="false" outlineLevel="0" collapsed="false">
      <c r="A131" s="6" t="n">
        <v>130</v>
      </c>
      <c r="B131" s="6" t="s">
        <v>4125</v>
      </c>
      <c r="C131" s="6" t="n">
        <v>3</v>
      </c>
      <c r="D131" s="6" t="s">
        <v>70</v>
      </c>
      <c r="E131" s="6" t="s">
        <v>74</v>
      </c>
      <c r="F131" s="6" t="n">
        <v>1</v>
      </c>
      <c r="G131" s="6" t="n">
        <v>29</v>
      </c>
      <c r="H131" s="6" t="s">
        <v>4126</v>
      </c>
      <c r="I131" s="22" t="n">
        <v>1102000</v>
      </c>
      <c r="J131" s="22" t="n">
        <v>9000</v>
      </c>
      <c r="K131" s="22" t="n">
        <v>83325</v>
      </c>
      <c r="L131" s="22" t="n">
        <v>1194325</v>
      </c>
      <c r="M131" s="6" t="s">
        <v>1042</v>
      </c>
      <c r="N131" s="6" t="s">
        <v>58</v>
      </c>
      <c r="O131" s="6"/>
      <c r="P131" s="6" t="s">
        <v>69</v>
      </c>
      <c r="Q131" s="6" t="str">
        <f aca="false">IF(P131="pass","No","Yes")</f>
        <v>No</v>
      </c>
      <c r="R131" s="6" t="s">
        <v>60</v>
      </c>
      <c r="S131" s="6"/>
      <c r="T131" s="6"/>
      <c r="U131" s="23" t="n">
        <v>6.687</v>
      </c>
      <c r="V131" s="6" t="s">
        <v>4127</v>
      </c>
      <c r="W131" s="6" t="s">
        <v>4128</v>
      </c>
      <c r="X131" s="6" t="s">
        <v>4129</v>
      </c>
      <c r="Y131" s="6" t="s">
        <v>60</v>
      </c>
      <c r="Z131" s="6" t="n">
        <v>0</v>
      </c>
      <c r="AA131" s="6" t="n">
        <v>0</v>
      </c>
      <c r="AB131" s="6" t="n">
        <v>0</v>
      </c>
      <c r="AC131" s="6" t="n">
        <v>0</v>
      </c>
      <c r="AD131" s="6" t="n">
        <v>0</v>
      </c>
      <c r="AE131" s="6" t="n">
        <v>0</v>
      </c>
      <c r="AF131" s="6" t="n">
        <v>0</v>
      </c>
      <c r="AG131" s="6" t="n">
        <v>0</v>
      </c>
      <c r="AH131" s="6" t="n">
        <v>0</v>
      </c>
      <c r="AI131" s="6" t="s">
        <v>84</v>
      </c>
    </row>
    <row r="132" customFormat="false" ht="15" hidden="false" customHeight="false" outlineLevel="0" collapsed="false">
      <c r="A132" s="6" t="n">
        <v>131</v>
      </c>
      <c r="B132" s="6" t="s">
        <v>4130</v>
      </c>
      <c r="C132" s="6" t="n">
        <v>3</v>
      </c>
      <c r="D132" s="6" t="s">
        <v>213</v>
      </c>
      <c r="E132" s="6" t="s">
        <v>67</v>
      </c>
      <c r="F132" s="6" t="n">
        <v>3</v>
      </c>
      <c r="G132" s="6" t="n">
        <v>55</v>
      </c>
      <c r="H132" s="6" t="s">
        <v>4131</v>
      </c>
      <c r="I132" s="22" t="n">
        <v>1337900</v>
      </c>
      <c r="J132" s="22" t="n">
        <v>4500</v>
      </c>
      <c r="K132" s="22" t="n">
        <v>100680</v>
      </c>
      <c r="L132" s="22" t="n">
        <v>1443080</v>
      </c>
      <c r="M132" s="6" t="s">
        <v>57</v>
      </c>
      <c r="N132" s="6" t="s">
        <v>58</v>
      </c>
      <c r="O132" s="6"/>
      <c r="P132" s="6" t="s">
        <v>69</v>
      </c>
      <c r="Q132" s="6" t="str">
        <f aca="false">IF(P132="pass","No","Yes")</f>
        <v>No</v>
      </c>
      <c r="R132" s="6" t="s">
        <v>60</v>
      </c>
      <c r="S132" s="6"/>
      <c r="T132" s="6"/>
      <c r="U132" s="23" t="n">
        <v>12.285</v>
      </c>
      <c r="V132" s="6" t="s">
        <v>4132</v>
      </c>
      <c r="W132" s="6" t="s">
        <v>4133</v>
      </c>
      <c r="X132" s="6" t="s">
        <v>4134</v>
      </c>
      <c r="Y132" s="6" t="s">
        <v>60</v>
      </c>
      <c r="Z132" s="6" t="n">
        <v>0</v>
      </c>
      <c r="AA132" s="6" t="n">
        <v>0</v>
      </c>
      <c r="AB132" s="6" t="n">
        <v>0</v>
      </c>
      <c r="AC132" s="6" t="n">
        <v>0</v>
      </c>
      <c r="AD132" s="6" t="n">
        <v>0</v>
      </c>
      <c r="AE132" s="6" t="n">
        <v>0</v>
      </c>
      <c r="AF132" s="6" t="n">
        <v>0</v>
      </c>
      <c r="AG132" s="6" t="n">
        <v>0</v>
      </c>
      <c r="AH132" s="6" t="n">
        <v>0</v>
      </c>
      <c r="AI132" s="6" t="s">
        <v>84</v>
      </c>
    </row>
    <row r="133" customFormat="false" ht="15" hidden="false" customHeight="false" outlineLevel="0" collapsed="false">
      <c r="A133" s="6" t="n">
        <v>132</v>
      </c>
      <c r="B133" s="6" t="s">
        <v>4135</v>
      </c>
      <c r="C133" s="6" t="n">
        <v>3</v>
      </c>
      <c r="D133" s="6" t="s">
        <v>191</v>
      </c>
      <c r="E133" s="6" t="s">
        <v>116</v>
      </c>
      <c r="F133" s="6" t="n">
        <v>4</v>
      </c>
      <c r="G133" s="6" t="n">
        <v>84</v>
      </c>
      <c r="H133" s="6" t="s">
        <v>4136</v>
      </c>
      <c r="I133" s="22" t="n">
        <v>1343800</v>
      </c>
      <c r="J133" s="22" t="n">
        <v>15000</v>
      </c>
      <c r="K133" s="22" t="n">
        <v>101910</v>
      </c>
      <c r="L133" s="22" t="n">
        <v>1460710</v>
      </c>
      <c r="M133" s="6" t="s">
        <v>83</v>
      </c>
      <c r="N133" s="6" t="s">
        <v>84</v>
      </c>
      <c r="O133" s="6" t="s">
        <v>886</v>
      </c>
      <c r="P133" s="6" t="s">
        <v>85</v>
      </c>
      <c r="Q133" s="6" t="str">
        <f aca="false">IF(P133="pass","No","Yes")</f>
        <v>Yes</v>
      </c>
      <c r="R133" s="6" t="s">
        <v>86</v>
      </c>
      <c r="S133" s="6" t="s">
        <v>886</v>
      </c>
      <c r="T133" s="6" t="s">
        <v>488</v>
      </c>
      <c r="U133" s="23" t="n">
        <v>27.113</v>
      </c>
      <c r="V133" s="6" t="s">
        <v>4137</v>
      </c>
      <c r="W133" s="6" t="s">
        <v>4138</v>
      </c>
      <c r="X133" s="6" t="s">
        <v>4139</v>
      </c>
      <c r="Y133" s="6" t="s">
        <v>86</v>
      </c>
      <c r="Z133" s="6" t="n">
        <v>0</v>
      </c>
      <c r="AA133" s="6" t="n">
        <v>0</v>
      </c>
      <c r="AB133" s="6" t="n">
        <v>1</v>
      </c>
      <c r="AC133" s="6" t="n">
        <v>0</v>
      </c>
      <c r="AD133" s="6" t="n">
        <v>0</v>
      </c>
      <c r="AE133" s="6" t="n">
        <v>0</v>
      </c>
      <c r="AF133" s="6" t="n">
        <v>0</v>
      </c>
      <c r="AG133" s="6" t="n">
        <v>0</v>
      </c>
      <c r="AH133" s="6" t="n">
        <v>0</v>
      </c>
      <c r="AI133" s="6" t="s">
        <v>84</v>
      </c>
    </row>
    <row r="134" customFormat="false" ht="15" hidden="false" customHeight="false" outlineLevel="0" collapsed="false">
      <c r="A134" s="6" t="n">
        <v>133</v>
      </c>
      <c r="B134" s="6" t="s">
        <v>4140</v>
      </c>
      <c r="C134" s="6" t="n">
        <v>3</v>
      </c>
      <c r="D134" s="6" t="s">
        <v>63</v>
      </c>
      <c r="E134" s="6" t="s">
        <v>67</v>
      </c>
      <c r="F134" s="6" t="n">
        <v>2</v>
      </c>
      <c r="G134" s="6" t="n">
        <v>78</v>
      </c>
      <c r="H134" s="6" t="s">
        <v>4141</v>
      </c>
      <c r="I134" s="22" t="n">
        <v>1168500</v>
      </c>
      <c r="J134" s="22" t="n">
        <v>4500</v>
      </c>
      <c r="K134" s="22" t="n">
        <v>87975</v>
      </c>
      <c r="L134" s="22" t="n">
        <v>1260975</v>
      </c>
      <c r="M134" s="6" t="s">
        <v>94</v>
      </c>
      <c r="N134" s="6" t="s">
        <v>84</v>
      </c>
      <c r="O134" s="6" t="s">
        <v>909</v>
      </c>
      <c r="P134" s="6" t="s">
        <v>85</v>
      </c>
      <c r="Q134" s="6" t="str">
        <f aca="false">IF(P134="pass","No","Yes")</f>
        <v>Yes</v>
      </c>
      <c r="R134" s="6" t="s">
        <v>86</v>
      </c>
      <c r="S134" s="6" t="s">
        <v>909</v>
      </c>
      <c r="T134" s="6" t="s">
        <v>254</v>
      </c>
      <c r="U134" s="23" t="n">
        <v>9.623</v>
      </c>
      <c r="V134" s="6" t="s">
        <v>4142</v>
      </c>
      <c r="W134" s="6" t="s">
        <v>4143</v>
      </c>
      <c r="X134" s="6" t="s">
        <v>4144</v>
      </c>
      <c r="Y134" s="6" t="s">
        <v>86</v>
      </c>
      <c r="Z134" s="6" t="n">
        <v>0</v>
      </c>
      <c r="AA134" s="6" t="n">
        <v>0</v>
      </c>
      <c r="AB134" s="6" t="n">
        <v>0</v>
      </c>
      <c r="AC134" s="6" t="n">
        <v>0</v>
      </c>
      <c r="AD134" s="6" t="n">
        <v>0</v>
      </c>
      <c r="AE134" s="6" t="n">
        <v>0</v>
      </c>
      <c r="AF134" s="6" t="n">
        <v>1</v>
      </c>
      <c r="AG134" s="6" t="n">
        <v>0</v>
      </c>
      <c r="AH134" s="6" t="n">
        <v>0</v>
      </c>
      <c r="AI134" s="6" t="s">
        <v>84</v>
      </c>
    </row>
    <row r="135" customFormat="false" ht="15" hidden="false" customHeight="false" outlineLevel="0" collapsed="false">
      <c r="A135" s="6" t="n">
        <v>134</v>
      </c>
      <c r="B135" s="6" t="s">
        <v>4145</v>
      </c>
      <c r="C135" s="6" t="n">
        <v>3</v>
      </c>
      <c r="D135" s="6" t="s">
        <v>105</v>
      </c>
      <c r="E135" s="6" t="s">
        <v>81</v>
      </c>
      <c r="F135" s="6" t="n">
        <v>2</v>
      </c>
      <c r="G135" s="6" t="n">
        <v>12</v>
      </c>
      <c r="H135" s="6" t="s">
        <v>2770</v>
      </c>
      <c r="I135" s="22" t="n">
        <v>388200</v>
      </c>
      <c r="J135" s="22" t="n">
        <v>4000</v>
      </c>
      <c r="K135" s="22" t="n">
        <v>29415</v>
      </c>
      <c r="L135" s="22" t="n">
        <v>421615</v>
      </c>
      <c r="M135" s="6" t="s">
        <v>57</v>
      </c>
      <c r="N135" s="6" t="s">
        <v>58</v>
      </c>
      <c r="O135" s="6"/>
      <c r="P135" s="6" t="s">
        <v>69</v>
      </c>
      <c r="Q135" s="6" t="str">
        <f aca="false">IF(P135="pass","No","Yes")</f>
        <v>No</v>
      </c>
      <c r="R135" s="6" t="s">
        <v>60</v>
      </c>
      <c r="S135" s="6"/>
      <c r="T135" s="6"/>
      <c r="U135" s="23" t="n">
        <v>9.563</v>
      </c>
      <c r="V135" s="6" t="s">
        <v>4146</v>
      </c>
      <c r="W135" s="6" t="s">
        <v>4147</v>
      </c>
      <c r="X135" s="6" t="s">
        <v>4148</v>
      </c>
      <c r="Y135" s="6" t="s">
        <v>60</v>
      </c>
      <c r="Z135" s="6" t="n">
        <v>0</v>
      </c>
      <c r="AA135" s="6" t="n">
        <v>0</v>
      </c>
      <c r="AB135" s="6" t="n">
        <v>0</v>
      </c>
      <c r="AC135" s="6" t="n">
        <v>0</v>
      </c>
      <c r="AD135" s="6" t="n">
        <v>0</v>
      </c>
      <c r="AE135" s="6" t="n">
        <v>0</v>
      </c>
      <c r="AF135" s="6" t="n">
        <v>0</v>
      </c>
      <c r="AG135" s="6" t="n">
        <v>0</v>
      </c>
      <c r="AH135" s="6" t="n">
        <v>0</v>
      </c>
      <c r="AI135" s="6" t="s">
        <v>84</v>
      </c>
    </row>
    <row r="136" customFormat="false" ht="15" hidden="false" customHeight="false" outlineLevel="0" collapsed="false">
      <c r="A136" s="6" t="n">
        <v>135</v>
      </c>
      <c r="B136" s="6" t="s">
        <v>4149</v>
      </c>
      <c r="C136" s="6" t="n">
        <v>3</v>
      </c>
      <c r="D136" s="6" t="s">
        <v>100</v>
      </c>
      <c r="E136" s="6" t="s">
        <v>67</v>
      </c>
      <c r="F136" s="6" t="n">
        <v>1</v>
      </c>
      <c r="G136" s="6" t="n">
        <v>25</v>
      </c>
      <c r="H136" s="6" t="s">
        <v>4150</v>
      </c>
      <c r="I136" s="22" t="n">
        <v>312500</v>
      </c>
      <c r="J136" s="22" t="n">
        <v>4500</v>
      </c>
      <c r="K136" s="22" t="n">
        <v>23775</v>
      </c>
      <c r="L136" s="22" t="n">
        <v>340775</v>
      </c>
      <c r="M136" s="6" t="s">
        <v>57</v>
      </c>
      <c r="N136" s="6" t="s">
        <v>58</v>
      </c>
      <c r="O136" s="6"/>
      <c r="P136" s="6" t="s">
        <v>69</v>
      </c>
      <c r="Q136" s="6" t="str">
        <f aca="false">IF(P136="pass","No","Yes")</f>
        <v>No</v>
      </c>
      <c r="R136" s="6" t="s">
        <v>60</v>
      </c>
      <c r="S136" s="6"/>
      <c r="T136" s="6"/>
      <c r="U136" s="23" t="n">
        <v>7.394</v>
      </c>
      <c r="V136" s="6" t="s">
        <v>4151</v>
      </c>
      <c r="W136" s="6" t="s">
        <v>4152</v>
      </c>
      <c r="X136" s="6" t="s">
        <v>4153</v>
      </c>
      <c r="Y136" s="6" t="s">
        <v>60</v>
      </c>
      <c r="Z136" s="6" t="n">
        <v>0</v>
      </c>
      <c r="AA136" s="6" t="n">
        <v>0</v>
      </c>
      <c r="AB136" s="6" t="n">
        <v>0</v>
      </c>
      <c r="AC136" s="6" t="n">
        <v>0</v>
      </c>
      <c r="AD136" s="6" t="n">
        <v>0</v>
      </c>
      <c r="AE136" s="6" t="n">
        <v>0</v>
      </c>
      <c r="AF136" s="6" t="n">
        <v>0</v>
      </c>
      <c r="AG136" s="6" t="n">
        <v>0</v>
      </c>
      <c r="AH136" s="6" t="n">
        <v>0</v>
      </c>
      <c r="AI136" s="6" t="s">
        <v>84</v>
      </c>
    </row>
    <row r="137" customFormat="false" ht="15" hidden="false" customHeight="false" outlineLevel="0" collapsed="false">
      <c r="A137" s="6" t="n">
        <v>136</v>
      </c>
      <c r="B137" s="6" t="s">
        <v>4154</v>
      </c>
      <c r="C137" s="6" t="n">
        <v>3</v>
      </c>
      <c r="D137" s="6" t="s">
        <v>137</v>
      </c>
      <c r="E137" s="6" t="s">
        <v>55</v>
      </c>
      <c r="F137" s="6" t="n">
        <v>3</v>
      </c>
      <c r="G137" s="6" t="n">
        <v>71</v>
      </c>
      <c r="H137" s="6" t="s">
        <v>4155</v>
      </c>
      <c r="I137" s="22" t="n">
        <v>823700</v>
      </c>
      <c r="J137" s="22" t="n">
        <v>6000</v>
      </c>
      <c r="K137" s="22" t="n">
        <v>62227.5</v>
      </c>
      <c r="L137" s="22" t="n">
        <v>891927.5</v>
      </c>
      <c r="M137" s="6" t="s">
        <v>960</v>
      </c>
      <c r="N137" s="6" t="s">
        <v>84</v>
      </c>
      <c r="O137" s="6" t="s">
        <v>961</v>
      </c>
      <c r="P137" s="6" t="s">
        <v>85</v>
      </c>
      <c r="Q137" s="6" t="str">
        <f aca="false">IF(P137="pass","No","Yes")</f>
        <v>Yes</v>
      </c>
      <c r="R137" s="6" t="s">
        <v>86</v>
      </c>
      <c r="S137" s="6" t="s">
        <v>961</v>
      </c>
      <c r="T137" s="6" t="s">
        <v>962</v>
      </c>
      <c r="U137" s="23" t="n">
        <v>12.71</v>
      </c>
      <c r="V137" s="6" t="s">
        <v>4156</v>
      </c>
      <c r="W137" s="6" t="s">
        <v>4157</v>
      </c>
      <c r="X137" s="6" t="s">
        <v>4158</v>
      </c>
      <c r="Y137" s="6" t="s">
        <v>86</v>
      </c>
      <c r="Z137" s="6" t="n">
        <v>0</v>
      </c>
      <c r="AA137" s="6" t="n">
        <v>0</v>
      </c>
      <c r="AB137" s="6" t="n">
        <v>0</v>
      </c>
      <c r="AC137" s="6" t="n">
        <v>0</v>
      </c>
      <c r="AD137" s="6" t="n">
        <v>1</v>
      </c>
      <c r="AE137" s="6" t="n">
        <v>0</v>
      </c>
      <c r="AF137" s="6" t="n">
        <v>0</v>
      </c>
      <c r="AG137" s="6" t="n">
        <v>0</v>
      </c>
      <c r="AH137" s="6" t="n">
        <v>0</v>
      </c>
      <c r="AI137" s="6" t="s">
        <v>84</v>
      </c>
    </row>
    <row r="138" customFormat="false" ht="15" hidden="false" customHeight="false" outlineLevel="0" collapsed="false">
      <c r="A138" s="6" t="n">
        <v>137</v>
      </c>
      <c r="B138" s="6" t="s">
        <v>4159</v>
      </c>
      <c r="C138" s="6" t="n">
        <v>3</v>
      </c>
      <c r="D138" s="6" t="s">
        <v>237</v>
      </c>
      <c r="E138" s="6" t="s">
        <v>116</v>
      </c>
      <c r="F138" s="6" t="n">
        <v>3</v>
      </c>
      <c r="G138" s="6" t="n">
        <v>1044</v>
      </c>
      <c r="H138" s="6" t="s">
        <v>4160</v>
      </c>
      <c r="I138" s="22" t="n">
        <v>12397600</v>
      </c>
      <c r="J138" s="22" t="n">
        <v>15000</v>
      </c>
      <c r="K138" s="22" t="n">
        <v>930945</v>
      </c>
      <c r="L138" s="22" t="n">
        <v>13343545</v>
      </c>
      <c r="M138" s="6" t="s">
        <v>159</v>
      </c>
      <c r="N138" s="6" t="s">
        <v>84</v>
      </c>
      <c r="O138" s="6" t="s">
        <v>886</v>
      </c>
      <c r="P138" s="6" t="s">
        <v>85</v>
      </c>
      <c r="Q138" s="6" t="str">
        <f aca="false">IF(P138="pass","No","Yes")</f>
        <v>Yes</v>
      </c>
      <c r="R138" s="6" t="s">
        <v>86</v>
      </c>
      <c r="S138" s="6" t="s">
        <v>934</v>
      </c>
      <c r="T138" s="6" t="s">
        <v>197</v>
      </c>
      <c r="U138" s="23" t="n">
        <v>18.376</v>
      </c>
      <c r="V138" s="6" t="s">
        <v>4161</v>
      </c>
      <c r="W138" s="6" t="s">
        <v>4162</v>
      </c>
      <c r="X138" s="6" t="s">
        <v>4163</v>
      </c>
      <c r="Y138" s="6" t="s">
        <v>86</v>
      </c>
      <c r="Z138" s="6" t="n">
        <v>0</v>
      </c>
      <c r="AA138" s="6" t="n">
        <v>0</v>
      </c>
      <c r="AB138" s="6" t="n">
        <v>1</v>
      </c>
      <c r="AC138" s="6" t="n">
        <v>1</v>
      </c>
      <c r="AD138" s="6" t="n">
        <v>0</v>
      </c>
      <c r="AE138" s="6" t="n">
        <v>0</v>
      </c>
      <c r="AF138" s="6" t="n">
        <v>0</v>
      </c>
      <c r="AG138" s="6" t="n">
        <v>0</v>
      </c>
      <c r="AH138" s="6" t="n">
        <v>0</v>
      </c>
      <c r="AI138" s="6" t="s">
        <v>84</v>
      </c>
    </row>
    <row r="139" customFormat="false" ht="15" hidden="false" customHeight="false" outlineLevel="0" collapsed="false">
      <c r="A139" s="6" t="n">
        <v>138</v>
      </c>
      <c r="B139" s="6" t="s">
        <v>4164</v>
      </c>
      <c r="C139" s="6" t="n">
        <v>3</v>
      </c>
      <c r="D139" s="6" t="s">
        <v>137</v>
      </c>
      <c r="E139" s="6" t="s">
        <v>55</v>
      </c>
      <c r="F139" s="6" t="n">
        <v>2</v>
      </c>
      <c r="G139" s="6" t="n">
        <v>12</v>
      </c>
      <c r="H139" s="6" t="s">
        <v>4165</v>
      </c>
      <c r="I139" s="22" t="n">
        <v>624000</v>
      </c>
      <c r="J139" s="22" t="n">
        <v>6000</v>
      </c>
      <c r="K139" s="22" t="n">
        <v>47250</v>
      </c>
      <c r="L139" s="22" t="n">
        <v>677250</v>
      </c>
      <c r="M139" s="6" t="s">
        <v>272</v>
      </c>
      <c r="N139" s="6" t="s">
        <v>84</v>
      </c>
      <c r="O139" s="6" t="s">
        <v>879</v>
      </c>
      <c r="P139" s="6" t="s">
        <v>85</v>
      </c>
      <c r="Q139" s="6" t="str">
        <f aca="false">IF(P139="pass","No","Yes")</f>
        <v>Yes</v>
      </c>
      <c r="R139" s="6" t="s">
        <v>86</v>
      </c>
      <c r="S139" s="6" t="s">
        <v>879</v>
      </c>
      <c r="T139" s="6" t="s">
        <v>4166</v>
      </c>
      <c r="U139" s="23" t="n">
        <v>6.411</v>
      </c>
      <c r="V139" s="6" t="s">
        <v>4167</v>
      </c>
      <c r="W139" s="6" t="s">
        <v>4168</v>
      </c>
      <c r="X139" s="6" t="s">
        <v>4169</v>
      </c>
      <c r="Y139" s="6" t="s">
        <v>86</v>
      </c>
      <c r="Z139" s="6" t="n">
        <v>0</v>
      </c>
      <c r="AA139" s="6" t="n">
        <v>1</v>
      </c>
      <c r="AB139" s="6" t="n">
        <v>0</v>
      </c>
      <c r="AC139" s="6" t="n">
        <v>0</v>
      </c>
      <c r="AD139" s="6" t="n">
        <v>0</v>
      </c>
      <c r="AE139" s="6" t="n">
        <v>0</v>
      </c>
      <c r="AF139" s="6" t="n">
        <v>0</v>
      </c>
      <c r="AG139" s="6" t="n">
        <v>0</v>
      </c>
      <c r="AH139" s="6" t="n">
        <v>0</v>
      </c>
      <c r="AI139" s="6" t="s">
        <v>84</v>
      </c>
    </row>
    <row r="140" customFormat="false" ht="15" hidden="false" customHeight="false" outlineLevel="0" collapsed="false">
      <c r="A140" s="6" t="n">
        <v>139</v>
      </c>
      <c r="B140" s="6" t="s">
        <v>4170</v>
      </c>
      <c r="C140" s="6" t="n">
        <v>3</v>
      </c>
      <c r="D140" s="6" t="s">
        <v>105</v>
      </c>
      <c r="E140" s="6" t="s">
        <v>146</v>
      </c>
      <c r="F140" s="6" t="n">
        <v>2</v>
      </c>
      <c r="G140" s="6" t="n">
        <v>18</v>
      </c>
      <c r="H140" s="6" t="s">
        <v>4171</v>
      </c>
      <c r="I140" s="22" t="n">
        <v>684000</v>
      </c>
      <c r="J140" s="22" t="n">
        <v>0</v>
      </c>
      <c r="K140" s="22" t="n">
        <v>51300</v>
      </c>
      <c r="L140" s="22" t="n">
        <v>735300</v>
      </c>
      <c r="M140" s="6" t="s">
        <v>148</v>
      </c>
      <c r="N140" s="6" t="s">
        <v>84</v>
      </c>
      <c r="O140" s="6" t="s">
        <v>866</v>
      </c>
      <c r="P140" s="6" t="s">
        <v>85</v>
      </c>
      <c r="Q140" s="6" t="str">
        <f aca="false">IF(P140="pass","No","Yes")</f>
        <v>Yes</v>
      </c>
      <c r="R140" s="6" t="s">
        <v>86</v>
      </c>
      <c r="S140" s="6" t="s">
        <v>866</v>
      </c>
      <c r="T140" s="6" t="s">
        <v>150</v>
      </c>
      <c r="U140" s="23" t="n">
        <v>9.3</v>
      </c>
      <c r="V140" s="6" t="s">
        <v>4172</v>
      </c>
      <c r="W140" s="6" t="s">
        <v>4173</v>
      </c>
      <c r="X140" s="6" t="s">
        <v>4174</v>
      </c>
      <c r="Y140" s="6" t="s">
        <v>86</v>
      </c>
      <c r="Z140" s="6" t="n">
        <v>1</v>
      </c>
      <c r="AA140" s="6" t="n">
        <v>0</v>
      </c>
      <c r="AB140" s="6" t="n">
        <v>0</v>
      </c>
      <c r="AC140" s="6" t="n">
        <v>0</v>
      </c>
      <c r="AD140" s="6" t="n">
        <v>0</v>
      </c>
      <c r="AE140" s="6" t="n">
        <v>0</v>
      </c>
      <c r="AF140" s="6" t="n">
        <v>0</v>
      </c>
      <c r="AG140" s="6" t="n">
        <v>0</v>
      </c>
      <c r="AH140" s="6" t="n">
        <v>0</v>
      </c>
      <c r="AI140" s="6" t="s">
        <v>84</v>
      </c>
    </row>
    <row r="141" customFormat="false" ht="15" hidden="false" customHeight="false" outlineLevel="0" collapsed="false">
      <c r="A141" s="6" t="n">
        <v>140</v>
      </c>
      <c r="B141" s="6" t="s">
        <v>4175</v>
      </c>
      <c r="C141" s="6" t="n">
        <v>3</v>
      </c>
      <c r="D141" s="6" t="s">
        <v>127</v>
      </c>
      <c r="E141" s="6" t="s">
        <v>55</v>
      </c>
      <c r="F141" s="6" t="n">
        <v>3</v>
      </c>
      <c r="G141" s="6" t="n">
        <v>2076</v>
      </c>
      <c r="H141" s="6" t="s">
        <v>4176</v>
      </c>
      <c r="I141" s="22" t="n">
        <v>19683600</v>
      </c>
      <c r="J141" s="22" t="n">
        <v>6000</v>
      </c>
      <c r="K141" s="22" t="n">
        <v>1476720</v>
      </c>
      <c r="L141" s="22" t="n">
        <v>21166320</v>
      </c>
      <c r="M141" s="6" t="s">
        <v>159</v>
      </c>
      <c r="N141" s="6" t="s">
        <v>84</v>
      </c>
      <c r="O141" s="6" t="s">
        <v>886</v>
      </c>
      <c r="P141" s="6" t="s">
        <v>85</v>
      </c>
      <c r="Q141" s="6" t="str">
        <f aca="false">IF(P141="pass","No","Yes")</f>
        <v>Yes</v>
      </c>
      <c r="R141" s="6" t="s">
        <v>86</v>
      </c>
      <c r="S141" s="6" t="s">
        <v>992</v>
      </c>
      <c r="T141" s="6" t="s">
        <v>4177</v>
      </c>
      <c r="U141" s="23" t="n">
        <v>20.358</v>
      </c>
      <c r="V141" s="6" t="s">
        <v>4178</v>
      </c>
      <c r="W141" s="6" t="s">
        <v>4179</v>
      </c>
      <c r="X141" s="6" t="s">
        <v>4180</v>
      </c>
      <c r="Y141" s="6" t="s">
        <v>86</v>
      </c>
      <c r="Z141" s="6" t="n">
        <v>0</v>
      </c>
      <c r="AA141" s="6" t="n">
        <v>0</v>
      </c>
      <c r="AB141" s="6" t="n">
        <v>1</v>
      </c>
      <c r="AC141" s="6" t="n">
        <v>1</v>
      </c>
      <c r="AD141" s="6" t="n">
        <v>0</v>
      </c>
      <c r="AE141" s="6" t="n">
        <v>0</v>
      </c>
      <c r="AF141" s="6" t="n">
        <v>0</v>
      </c>
      <c r="AG141" s="6" t="n">
        <v>0</v>
      </c>
      <c r="AH141" s="6" t="n">
        <v>1</v>
      </c>
      <c r="AI141" s="6" t="s">
        <v>84</v>
      </c>
    </row>
    <row r="142" customFormat="false" ht="15" hidden="false" customHeight="false" outlineLevel="0" collapsed="false">
      <c r="A142" s="6" t="n">
        <v>141</v>
      </c>
      <c r="B142" s="6" t="s">
        <v>4181</v>
      </c>
      <c r="C142" s="6" t="n">
        <v>3</v>
      </c>
      <c r="D142" s="6" t="s">
        <v>112</v>
      </c>
      <c r="E142" s="6" t="s">
        <v>116</v>
      </c>
      <c r="F142" s="6" t="n">
        <v>3</v>
      </c>
      <c r="G142" s="6" t="n">
        <v>72</v>
      </c>
      <c r="H142" s="6" t="s">
        <v>4182</v>
      </c>
      <c r="I142" s="22" t="n">
        <v>769000</v>
      </c>
      <c r="J142" s="22" t="n">
        <v>15000</v>
      </c>
      <c r="K142" s="22" t="n">
        <v>58800</v>
      </c>
      <c r="L142" s="22" t="n">
        <v>842800</v>
      </c>
      <c r="M142" s="6" t="s">
        <v>960</v>
      </c>
      <c r="N142" s="6" t="s">
        <v>84</v>
      </c>
      <c r="O142" s="6" t="s">
        <v>961</v>
      </c>
      <c r="P142" s="6" t="s">
        <v>85</v>
      </c>
      <c r="Q142" s="6" t="str">
        <f aca="false">IF(P142="pass","No","Yes")</f>
        <v>Yes</v>
      </c>
      <c r="R142" s="6" t="s">
        <v>86</v>
      </c>
      <c r="S142" s="6" t="s">
        <v>961</v>
      </c>
      <c r="T142" s="6" t="s">
        <v>962</v>
      </c>
      <c r="U142" s="23" t="n">
        <v>19.505</v>
      </c>
      <c r="V142" s="6" t="s">
        <v>4183</v>
      </c>
      <c r="W142" s="6" t="s">
        <v>4184</v>
      </c>
      <c r="X142" s="6" t="s">
        <v>4185</v>
      </c>
      <c r="Y142" s="6" t="s">
        <v>86</v>
      </c>
      <c r="Z142" s="6" t="n">
        <v>0</v>
      </c>
      <c r="AA142" s="6" t="n">
        <v>0</v>
      </c>
      <c r="AB142" s="6" t="n">
        <v>0</v>
      </c>
      <c r="AC142" s="6" t="n">
        <v>0</v>
      </c>
      <c r="AD142" s="6" t="n">
        <v>1</v>
      </c>
      <c r="AE142" s="6" t="n">
        <v>0</v>
      </c>
      <c r="AF142" s="6" t="n">
        <v>0</v>
      </c>
      <c r="AG142" s="6" t="n">
        <v>0</v>
      </c>
      <c r="AH142" s="6" t="n">
        <v>0</v>
      </c>
      <c r="AI142" s="6" t="s">
        <v>84</v>
      </c>
    </row>
    <row r="143" customFormat="false" ht="15" hidden="false" customHeight="false" outlineLevel="0" collapsed="false">
      <c r="A143" s="6" t="n">
        <v>142</v>
      </c>
      <c r="B143" s="6" t="s">
        <v>4186</v>
      </c>
      <c r="C143" s="6" t="n">
        <v>3</v>
      </c>
      <c r="D143" s="6" t="s">
        <v>198</v>
      </c>
      <c r="E143" s="6" t="s">
        <v>81</v>
      </c>
      <c r="F143" s="6" t="n">
        <v>1</v>
      </c>
      <c r="G143" s="6" t="n">
        <v>29</v>
      </c>
      <c r="H143" s="6" t="s">
        <v>4126</v>
      </c>
      <c r="I143" s="22" t="n">
        <v>1102000</v>
      </c>
      <c r="J143" s="22" t="n">
        <v>4000</v>
      </c>
      <c r="K143" s="22" t="n">
        <v>82950</v>
      </c>
      <c r="L143" s="22" t="n">
        <v>1188950</v>
      </c>
      <c r="M143" s="6" t="s">
        <v>57</v>
      </c>
      <c r="N143" s="6" t="s">
        <v>58</v>
      </c>
      <c r="O143" s="6"/>
      <c r="P143" s="6" t="s">
        <v>69</v>
      </c>
      <c r="Q143" s="6" t="str">
        <f aca="false">IF(P143="pass","No","Yes")</f>
        <v>No</v>
      </c>
      <c r="R143" s="6" t="s">
        <v>60</v>
      </c>
      <c r="S143" s="6"/>
      <c r="T143" s="6"/>
      <c r="U143" s="23" t="n">
        <v>7.101</v>
      </c>
      <c r="V143" s="6" t="s">
        <v>4187</v>
      </c>
      <c r="W143" s="6" t="s">
        <v>4188</v>
      </c>
      <c r="X143" s="6" t="s">
        <v>4189</v>
      </c>
      <c r="Y143" s="6" t="s">
        <v>60</v>
      </c>
      <c r="Z143" s="6" t="n">
        <v>0</v>
      </c>
      <c r="AA143" s="6" t="n">
        <v>0</v>
      </c>
      <c r="AB143" s="6" t="n">
        <v>0</v>
      </c>
      <c r="AC143" s="6" t="n">
        <v>0</v>
      </c>
      <c r="AD143" s="6" t="n">
        <v>0</v>
      </c>
      <c r="AE143" s="6" t="n">
        <v>0</v>
      </c>
      <c r="AF143" s="6" t="n">
        <v>0</v>
      </c>
      <c r="AG143" s="6" t="n">
        <v>0</v>
      </c>
      <c r="AH143" s="6" t="n">
        <v>0</v>
      </c>
      <c r="AI143" s="6" t="s">
        <v>84</v>
      </c>
    </row>
    <row r="144" customFormat="false" ht="15" hidden="false" customHeight="false" outlineLevel="0" collapsed="false">
      <c r="A144" s="6" t="n">
        <v>143</v>
      </c>
      <c r="B144" s="6" t="s">
        <v>4190</v>
      </c>
      <c r="C144" s="6" t="n">
        <v>3</v>
      </c>
      <c r="D144" s="6" t="s">
        <v>51</v>
      </c>
      <c r="E144" s="6" t="s">
        <v>55</v>
      </c>
      <c r="F144" s="6" t="n">
        <v>3</v>
      </c>
      <c r="G144" s="6" t="n">
        <v>205</v>
      </c>
      <c r="H144" s="6" t="s">
        <v>4191</v>
      </c>
      <c r="I144" s="22" t="n">
        <v>2035700</v>
      </c>
      <c r="J144" s="22" t="n">
        <v>6000</v>
      </c>
      <c r="K144" s="22" t="n">
        <v>153127.5</v>
      </c>
      <c r="L144" s="22" t="n">
        <v>2194827.5</v>
      </c>
      <c r="M144" s="6" t="s">
        <v>927</v>
      </c>
      <c r="N144" s="6" t="s">
        <v>58</v>
      </c>
      <c r="O144" s="6"/>
      <c r="P144" s="6" t="s">
        <v>59</v>
      </c>
      <c r="Q144" s="6" t="str">
        <f aca="false">IF(P144="pass","No","Yes")</f>
        <v>Yes</v>
      </c>
      <c r="R144" s="6" t="s">
        <v>60</v>
      </c>
      <c r="S144" s="6" t="s">
        <v>915</v>
      </c>
      <c r="T144" s="6" t="s">
        <v>4192</v>
      </c>
      <c r="U144" s="23" t="n">
        <v>20.491</v>
      </c>
      <c r="V144" s="6" t="s">
        <v>4193</v>
      </c>
      <c r="W144" s="6" t="s">
        <v>4194</v>
      </c>
      <c r="X144" s="6" t="s">
        <v>4195</v>
      </c>
      <c r="Y144" s="6" t="s">
        <v>60</v>
      </c>
      <c r="Z144" s="6" t="n">
        <v>0</v>
      </c>
      <c r="AA144" s="6" t="n">
        <v>0</v>
      </c>
      <c r="AB144" s="6" t="n">
        <v>0</v>
      </c>
      <c r="AC144" s="6" t="n">
        <v>0</v>
      </c>
      <c r="AD144" s="6" t="n">
        <v>0</v>
      </c>
      <c r="AE144" s="6" t="n">
        <v>0</v>
      </c>
      <c r="AF144" s="6" t="n">
        <v>0</v>
      </c>
      <c r="AG144" s="6" t="n">
        <v>0</v>
      </c>
      <c r="AH144" s="6" t="n">
        <v>1</v>
      </c>
      <c r="AI144" s="6" t="s">
        <v>84</v>
      </c>
    </row>
    <row r="145" customFormat="false" ht="15" hidden="false" customHeight="false" outlineLevel="0" collapsed="false">
      <c r="A145" s="6" t="n">
        <v>144</v>
      </c>
      <c r="B145" s="6" t="s">
        <v>4196</v>
      </c>
      <c r="C145" s="6" t="n">
        <v>3</v>
      </c>
      <c r="D145" s="6" t="s">
        <v>191</v>
      </c>
      <c r="E145" s="6" t="s">
        <v>116</v>
      </c>
      <c r="F145" s="6" t="n">
        <v>3</v>
      </c>
      <c r="G145" s="6" t="n">
        <v>392</v>
      </c>
      <c r="H145" s="6" t="s">
        <v>4197</v>
      </c>
      <c r="I145" s="22" t="n">
        <v>3263400</v>
      </c>
      <c r="J145" s="22" t="n">
        <v>15000</v>
      </c>
      <c r="K145" s="22" t="n">
        <v>245880</v>
      </c>
      <c r="L145" s="22" t="n">
        <v>3524280</v>
      </c>
      <c r="M145" s="6" t="s">
        <v>171</v>
      </c>
      <c r="N145" s="6" t="s">
        <v>84</v>
      </c>
      <c r="O145" s="6" t="s">
        <v>892</v>
      </c>
      <c r="P145" s="6" t="s">
        <v>85</v>
      </c>
      <c r="Q145" s="6" t="str">
        <f aca="false">IF(P145="pass","No","Yes")</f>
        <v>Yes</v>
      </c>
      <c r="R145" s="6" t="s">
        <v>86</v>
      </c>
      <c r="S145" s="6" t="s">
        <v>892</v>
      </c>
      <c r="T145" s="6" t="s">
        <v>210</v>
      </c>
      <c r="U145" s="23" t="n">
        <v>20.042</v>
      </c>
      <c r="V145" s="6" t="s">
        <v>4198</v>
      </c>
      <c r="W145" s="6" t="s">
        <v>4199</v>
      </c>
      <c r="X145" s="6" t="s">
        <v>4200</v>
      </c>
      <c r="Y145" s="6" t="s">
        <v>86</v>
      </c>
      <c r="Z145" s="6" t="n">
        <v>0</v>
      </c>
      <c r="AA145" s="6" t="n">
        <v>0</v>
      </c>
      <c r="AB145" s="6" t="n">
        <v>0</v>
      </c>
      <c r="AC145" s="6" t="n">
        <v>1</v>
      </c>
      <c r="AD145" s="6" t="n">
        <v>0</v>
      </c>
      <c r="AE145" s="6" t="n">
        <v>0</v>
      </c>
      <c r="AF145" s="6" t="n">
        <v>0</v>
      </c>
      <c r="AG145" s="6" t="n">
        <v>0</v>
      </c>
      <c r="AH145" s="6" t="n">
        <v>0</v>
      </c>
      <c r="AI145" s="6" t="s">
        <v>84</v>
      </c>
    </row>
    <row r="146" customFormat="false" ht="15" hidden="false" customHeight="false" outlineLevel="0" collapsed="false">
      <c r="A146" s="6" t="n">
        <v>145</v>
      </c>
      <c r="B146" s="6" t="s">
        <v>4201</v>
      </c>
      <c r="C146" s="6" t="n">
        <v>3</v>
      </c>
      <c r="D146" s="6" t="s">
        <v>213</v>
      </c>
      <c r="E146" s="6" t="s">
        <v>67</v>
      </c>
      <c r="F146" s="6" t="n">
        <v>2</v>
      </c>
      <c r="G146" s="6" t="n">
        <v>23</v>
      </c>
      <c r="H146" s="6" t="s">
        <v>4202</v>
      </c>
      <c r="I146" s="22" t="n">
        <v>846000</v>
      </c>
      <c r="J146" s="22" t="n">
        <v>4500</v>
      </c>
      <c r="K146" s="22" t="n">
        <v>63787.5</v>
      </c>
      <c r="L146" s="22" t="n">
        <v>914287.5</v>
      </c>
      <c r="M146" s="6" t="s">
        <v>960</v>
      </c>
      <c r="N146" s="6" t="s">
        <v>84</v>
      </c>
      <c r="O146" s="6" t="s">
        <v>961</v>
      </c>
      <c r="P146" s="6" t="s">
        <v>85</v>
      </c>
      <c r="Q146" s="6" t="str">
        <f aca="false">IF(P146="pass","No","Yes")</f>
        <v>Yes</v>
      </c>
      <c r="R146" s="6" t="s">
        <v>86</v>
      </c>
      <c r="S146" s="6" t="s">
        <v>961</v>
      </c>
      <c r="T146" s="6" t="s">
        <v>962</v>
      </c>
      <c r="U146" s="23" t="n">
        <v>9.485</v>
      </c>
      <c r="V146" s="6" t="s">
        <v>4203</v>
      </c>
      <c r="W146" s="6" t="s">
        <v>4204</v>
      </c>
      <c r="X146" s="6" t="s">
        <v>4205</v>
      </c>
      <c r="Y146" s="6" t="s">
        <v>86</v>
      </c>
      <c r="Z146" s="6" t="n">
        <v>0</v>
      </c>
      <c r="AA146" s="6" t="n">
        <v>0</v>
      </c>
      <c r="AB146" s="6" t="n">
        <v>0</v>
      </c>
      <c r="AC146" s="6" t="n">
        <v>0</v>
      </c>
      <c r="AD146" s="6" t="n">
        <v>1</v>
      </c>
      <c r="AE146" s="6" t="n">
        <v>0</v>
      </c>
      <c r="AF146" s="6" t="n">
        <v>0</v>
      </c>
      <c r="AG146" s="6" t="n">
        <v>0</v>
      </c>
      <c r="AH146" s="6" t="n">
        <v>0</v>
      </c>
      <c r="AI146" s="6" t="s">
        <v>84</v>
      </c>
    </row>
    <row r="147" customFormat="false" ht="15" hidden="false" customHeight="false" outlineLevel="0" collapsed="false">
      <c r="A147" s="6" t="n">
        <v>146</v>
      </c>
      <c r="B147" s="6" t="s">
        <v>4206</v>
      </c>
      <c r="C147" s="6" t="n">
        <v>3</v>
      </c>
      <c r="D147" s="6" t="s">
        <v>213</v>
      </c>
      <c r="E147" s="6" t="s">
        <v>67</v>
      </c>
      <c r="F147" s="6" t="n">
        <v>3</v>
      </c>
      <c r="G147" s="6" t="n">
        <v>92</v>
      </c>
      <c r="H147" s="6" t="s">
        <v>4207</v>
      </c>
      <c r="I147" s="22" t="n">
        <v>1078200</v>
      </c>
      <c r="J147" s="22" t="n">
        <v>4500</v>
      </c>
      <c r="K147" s="22" t="n">
        <v>81202.5</v>
      </c>
      <c r="L147" s="22" t="n">
        <v>1163902.5</v>
      </c>
      <c r="M147" s="6" t="s">
        <v>960</v>
      </c>
      <c r="N147" s="6" t="s">
        <v>84</v>
      </c>
      <c r="O147" s="6" t="s">
        <v>961</v>
      </c>
      <c r="P147" s="6" t="s">
        <v>85</v>
      </c>
      <c r="Q147" s="6" t="str">
        <f aca="false">IF(P147="pass","No","Yes")</f>
        <v>Yes</v>
      </c>
      <c r="R147" s="6" t="s">
        <v>86</v>
      </c>
      <c r="S147" s="6" t="s">
        <v>961</v>
      </c>
      <c r="T147" s="6" t="s">
        <v>962</v>
      </c>
      <c r="U147" s="23" t="n">
        <v>19.581</v>
      </c>
      <c r="V147" s="6" t="s">
        <v>4208</v>
      </c>
      <c r="W147" s="6" t="s">
        <v>4209</v>
      </c>
      <c r="X147" s="6" t="s">
        <v>4210</v>
      </c>
      <c r="Y147" s="6" t="s">
        <v>86</v>
      </c>
      <c r="Z147" s="6" t="n">
        <v>0</v>
      </c>
      <c r="AA147" s="6" t="n">
        <v>0</v>
      </c>
      <c r="AB147" s="6" t="n">
        <v>0</v>
      </c>
      <c r="AC147" s="6" t="n">
        <v>0</v>
      </c>
      <c r="AD147" s="6" t="n">
        <v>1</v>
      </c>
      <c r="AE147" s="6" t="n">
        <v>0</v>
      </c>
      <c r="AF147" s="6" t="n">
        <v>0</v>
      </c>
      <c r="AG147" s="6" t="n">
        <v>0</v>
      </c>
      <c r="AH147" s="6" t="n">
        <v>0</v>
      </c>
      <c r="AI147" s="6" t="s">
        <v>84</v>
      </c>
    </row>
    <row r="148" customFormat="false" ht="15" hidden="false" customHeight="false" outlineLevel="0" collapsed="false">
      <c r="A148" s="6" t="n">
        <v>147</v>
      </c>
      <c r="B148" s="6" t="s">
        <v>4211</v>
      </c>
      <c r="C148" s="6" t="n">
        <v>3</v>
      </c>
      <c r="D148" s="6" t="s">
        <v>154</v>
      </c>
      <c r="E148" s="6" t="s">
        <v>123</v>
      </c>
      <c r="F148" s="6" t="n">
        <v>2</v>
      </c>
      <c r="G148" s="6" t="n">
        <v>62</v>
      </c>
      <c r="H148" s="6" t="s">
        <v>4212</v>
      </c>
      <c r="I148" s="22" t="n">
        <v>755500</v>
      </c>
      <c r="J148" s="22" t="n">
        <v>5000</v>
      </c>
      <c r="K148" s="22" t="n">
        <v>57037.5</v>
      </c>
      <c r="L148" s="22" t="n">
        <v>817537.5</v>
      </c>
      <c r="M148" s="6" t="s">
        <v>960</v>
      </c>
      <c r="N148" s="6" t="s">
        <v>84</v>
      </c>
      <c r="O148" s="6" t="s">
        <v>961</v>
      </c>
      <c r="P148" s="6" t="s">
        <v>85</v>
      </c>
      <c r="Q148" s="6" t="str">
        <f aca="false">IF(P148="pass","No","Yes")</f>
        <v>Yes</v>
      </c>
      <c r="R148" s="6" t="s">
        <v>86</v>
      </c>
      <c r="S148" s="6" t="s">
        <v>961</v>
      </c>
      <c r="T148" s="6" t="s">
        <v>962</v>
      </c>
      <c r="U148" s="23" t="n">
        <v>10.914</v>
      </c>
      <c r="V148" s="6" t="s">
        <v>4213</v>
      </c>
      <c r="W148" s="6" t="s">
        <v>4214</v>
      </c>
      <c r="X148" s="6" t="s">
        <v>4215</v>
      </c>
      <c r="Y148" s="6" t="s">
        <v>86</v>
      </c>
      <c r="Z148" s="6" t="n">
        <v>0</v>
      </c>
      <c r="AA148" s="6" t="n">
        <v>0</v>
      </c>
      <c r="AB148" s="6" t="n">
        <v>0</v>
      </c>
      <c r="AC148" s="6" t="n">
        <v>0</v>
      </c>
      <c r="AD148" s="6" t="n">
        <v>1</v>
      </c>
      <c r="AE148" s="6" t="n">
        <v>0</v>
      </c>
      <c r="AF148" s="6" t="n">
        <v>0</v>
      </c>
      <c r="AG148" s="6" t="n">
        <v>0</v>
      </c>
      <c r="AH148" s="6" t="n">
        <v>0</v>
      </c>
      <c r="AI148" s="6" t="s">
        <v>84</v>
      </c>
    </row>
    <row r="149" customFormat="false" ht="15" hidden="false" customHeight="false" outlineLevel="0" collapsed="false">
      <c r="A149" s="6" t="n">
        <v>148</v>
      </c>
      <c r="B149" s="6" t="s">
        <v>4216</v>
      </c>
      <c r="C149" s="6" t="n">
        <v>3</v>
      </c>
      <c r="D149" s="6" t="s">
        <v>177</v>
      </c>
      <c r="E149" s="6" t="s">
        <v>81</v>
      </c>
      <c r="F149" s="6" t="n">
        <v>2</v>
      </c>
      <c r="G149" s="6" t="n">
        <v>86</v>
      </c>
      <c r="H149" s="6" t="s">
        <v>4217</v>
      </c>
      <c r="I149" s="22" t="n">
        <v>1789000</v>
      </c>
      <c r="J149" s="22" t="n">
        <v>4000</v>
      </c>
      <c r="K149" s="22" t="n">
        <v>134475</v>
      </c>
      <c r="L149" s="22" t="n">
        <v>1927475</v>
      </c>
      <c r="M149" s="6" t="s">
        <v>960</v>
      </c>
      <c r="N149" s="6" t="s">
        <v>84</v>
      </c>
      <c r="O149" s="6" t="s">
        <v>961</v>
      </c>
      <c r="P149" s="6" t="s">
        <v>85</v>
      </c>
      <c r="Q149" s="6" t="str">
        <f aca="false">IF(P149="pass","No","Yes")</f>
        <v>Yes</v>
      </c>
      <c r="R149" s="6" t="s">
        <v>86</v>
      </c>
      <c r="S149" s="6" t="s">
        <v>961</v>
      </c>
      <c r="T149" s="6" t="s">
        <v>962</v>
      </c>
      <c r="U149" s="23" t="n">
        <v>10.641</v>
      </c>
      <c r="V149" s="6" t="s">
        <v>4218</v>
      </c>
      <c r="W149" s="6" t="s">
        <v>4219</v>
      </c>
      <c r="X149" s="6" t="s">
        <v>4220</v>
      </c>
      <c r="Y149" s="6" t="s">
        <v>86</v>
      </c>
      <c r="Z149" s="6" t="n">
        <v>0</v>
      </c>
      <c r="AA149" s="6" t="n">
        <v>0</v>
      </c>
      <c r="AB149" s="6" t="n">
        <v>0</v>
      </c>
      <c r="AC149" s="6" t="n">
        <v>0</v>
      </c>
      <c r="AD149" s="6" t="n">
        <v>1</v>
      </c>
      <c r="AE149" s="6" t="n">
        <v>0</v>
      </c>
      <c r="AF149" s="6" t="n">
        <v>0</v>
      </c>
      <c r="AG149" s="6" t="n">
        <v>0</v>
      </c>
      <c r="AH149" s="6" t="n">
        <v>0</v>
      </c>
      <c r="AI149" s="6" t="s">
        <v>84</v>
      </c>
    </row>
    <row r="150" customFormat="false" ht="15" hidden="false" customHeight="false" outlineLevel="0" collapsed="false">
      <c r="A150" s="6" t="n">
        <v>149</v>
      </c>
      <c r="B150" s="6" t="s">
        <v>4221</v>
      </c>
      <c r="C150" s="6" t="n">
        <v>3</v>
      </c>
      <c r="D150" s="6" t="s">
        <v>166</v>
      </c>
      <c r="E150" s="6" t="s">
        <v>74</v>
      </c>
      <c r="F150" s="6" t="n">
        <v>4</v>
      </c>
      <c r="G150" s="6" t="n">
        <v>458</v>
      </c>
      <c r="H150" s="6" t="s">
        <v>4222</v>
      </c>
      <c r="I150" s="22" t="n">
        <v>6085500</v>
      </c>
      <c r="J150" s="22" t="n">
        <v>9000</v>
      </c>
      <c r="K150" s="22" t="n">
        <v>457087.5</v>
      </c>
      <c r="L150" s="22" t="n">
        <v>6551587.5</v>
      </c>
      <c r="M150" s="6" t="s">
        <v>171</v>
      </c>
      <c r="N150" s="6" t="s">
        <v>84</v>
      </c>
      <c r="O150" s="6" t="s">
        <v>892</v>
      </c>
      <c r="P150" s="6" t="s">
        <v>85</v>
      </c>
      <c r="Q150" s="6" t="str">
        <f aca="false">IF(P150="pass","No","Yes")</f>
        <v>Yes</v>
      </c>
      <c r="R150" s="6" t="s">
        <v>86</v>
      </c>
      <c r="S150" s="6" t="s">
        <v>892</v>
      </c>
      <c r="T150" s="6" t="s">
        <v>368</v>
      </c>
      <c r="U150" s="23" t="n">
        <v>17.377</v>
      </c>
      <c r="V150" s="6" t="s">
        <v>4223</v>
      </c>
      <c r="W150" s="6" t="s">
        <v>4224</v>
      </c>
      <c r="X150" s="6" t="s">
        <v>4225</v>
      </c>
      <c r="Y150" s="6" t="s">
        <v>86</v>
      </c>
      <c r="Z150" s="6" t="n">
        <v>0</v>
      </c>
      <c r="AA150" s="6" t="n">
        <v>0</v>
      </c>
      <c r="AB150" s="6" t="n">
        <v>0</v>
      </c>
      <c r="AC150" s="6" t="n">
        <v>1</v>
      </c>
      <c r="AD150" s="6" t="n">
        <v>0</v>
      </c>
      <c r="AE150" s="6" t="n">
        <v>0</v>
      </c>
      <c r="AF150" s="6" t="n">
        <v>0</v>
      </c>
      <c r="AG150" s="6" t="n">
        <v>0</v>
      </c>
      <c r="AH150" s="6" t="n">
        <v>0</v>
      </c>
      <c r="AI150" s="6" t="s">
        <v>84</v>
      </c>
    </row>
    <row r="151" customFormat="false" ht="15" hidden="false" customHeight="false" outlineLevel="0" collapsed="false">
      <c r="A151" s="6" t="n">
        <v>150</v>
      </c>
      <c r="B151" s="6" t="s">
        <v>4226</v>
      </c>
      <c r="C151" s="6" t="n">
        <v>3</v>
      </c>
      <c r="D151" s="6" t="s">
        <v>237</v>
      </c>
      <c r="E151" s="6" t="s">
        <v>116</v>
      </c>
      <c r="F151" s="6" t="n">
        <v>4</v>
      </c>
      <c r="G151" s="6" t="n">
        <v>167</v>
      </c>
      <c r="H151" s="6" t="s">
        <v>4227</v>
      </c>
      <c r="I151" s="22" t="n">
        <v>2225200</v>
      </c>
      <c r="J151" s="22" t="n">
        <v>15000</v>
      </c>
      <c r="K151" s="22" t="n">
        <v>168015</v>
      </c>
      <c r="L151" s="22" t="n">
        <v>2408215</v>
      </c>
      <c r="M151" s="6" t="s">
        <v>1009</v>
      </c>
      <c r="N151" s="6" t="s">
        <v>58</v>
      </c>
      <c r="O151" s="6"/>
      <c r="P151" s="6" t="s">
        <v>69</v>
      </c>
      <c r="Q151" s="6" t="str">
        <f aca="false">IF(P151="pass","No","Yes")</f>
        <v>No</v>
      </c>
      <c r="R151" s="6" t="s">
        <v>60</v>
      </c>
      <c r="S151" s="6"/>
      <c r="T151" s="6"/>
      <c r="U151" s="23" t="n">
        <v>25.008</v>
      </c>
      <c r="V151" s="6" t="s">
        <v>4228</v>
      </c>
      <c r="W151" s="6" t="s">
        <v>4229</v>
      </c>
      <c r="X151" s="6" t="s">
        <v>4230</v>
      </c>
      <c r="Y151" s="6" t="s">
        <v>60</v>
      </c>
      <c r="Z151" s="6" t="n">
        <v>0</v>
      </c>
      <c r="AA151" s="6" t="n">
        <v>0</v>
      </c>
      <c r="AB151" s="6" t="n">
        <v>0</v>
      </c>
      <c r="AC151" s="6" t="n">
        <v>0</v>
      </c>
      <c r="AD151" s="6" t="n">
        <v>0</v>
      </c>
      <c r="AE151" s="6" t="n">
        <v>0</v>
      </c>
      <c r="AF151" s="6" t="n">
        <v>0</v>
      </c>
      <c r="AG151" s="6" t="n">
        <v>0</v>
      </c>
      <c r="AH151" s="6" t="n">
        <v>0</v>
      </c>
      <c r="AI151" s="6" t="s">
        <v>84</v>
      </c>
    </row>
    <row r="152" customFormat="false" ht="15" hidden="false" customHeight="false" outlineLevel="0" collapsed="false">
      <c r="A152" s="6" t="n">
        <v>151</v>
      </c>
      <c r="B152" s="6" t="s">
        <v>4231</v>
      </c>
      <c r="C152" s="6" t="n">
        <v>4</v>
      </c>
      <c r="D152" s="6" t="s">
        <v>63</v>
      </c>
      <c r="E152" s="6" t="s">
        <v>67</v>
      </c>
      <c r="F152" s="6" t="n">
        <v>2</v>
      </c>
      <c r="G152" s="6" t="n">
        <v>72</v>
      </c>
      <c r="H152" s="6" t="s">
        <v>4232</v>
      </c>
      <c r="I152" s="22" t="n">
        <v>951000</v>
      </c>
      <c r="J152" s="22" t="n">
        <v>4500</v>
      </c>
      <c r="K152" s="22" t="n">
        <v>71662.5</v>
      </c>
      <c r="L152" s="22" t="n">
        <v>1027162.5</v>
      </c>
      <c r="M152" s="6" t="s">
        <v>984</v>
      </c>
      <c r="N152" s="6" t="s">
        <v>84</v>
      </c>
      <c r="O152" s="6" t="s">
        <v>985</v>
      </c>
      <c r="P152" s="6" t="s">
        <v>85</v>
      </c>
      <c r="Q152" s="6" t="str">
        <f aca="false">IF(P152="pass","No","Yes")</f>
        <v>Yes</v>
      </c>
      <c r="R152" s="6" t="s">
        <v>86</v>
      </c>
      <c r="S152" s="6" t="s">
        <v>985</v>
      </c>
      <c r="T152" s="6" t="s">
        <v>1152</v>
      </c>
      <c r="U152" s="23" t="n">
        <v>11.04</v>
      </c>
      <c r="V152" s="6" t="s">
        <v>4233</v>
      </c>
      <c r="W152" s="6" t="s">
        <v>4234</v>
      </c>
      <c r="X152" s="6" t="s">
        <v>4235</v>
      </c>
      <c r="Y152" s="6" t="s">
        <v>86</v>
      </c>
      <c r="Z152" s="6" t="n">
        <v>0</v>
      </c>
      <c r="AA152" s="6" t="n">
        <v>0</v>
      </c>
      <c r="AB152" s="6" t="n">
        <v>0</v>
      </c>
      <c r="AC152" s="6" t="n">
        <v>0</v>
      </c>
      <c r="AD152" s="6" t="n">
        <v>0</v>
      </c>
      <c r="AE152" s="6" t="n">
        <v>1</v>
      </c>
      <c r="AF152" s="6" t="n">
        <v>0</v>
      </c>
      <c r="AG152" s="6" t="n">
        <v>0</v>
      </c>
      <c r="AH152" s="6" t="n">
        <v>0</v>
      </c>
      <c r="AI152" s="6" t="s">
        <v>84</v>
      </c>
    </row>
    <row r="153" customFormat="false" ht="15" hidden="false" customHeight="false" outlineLevel="0" collapsed="false">
      <c r="A153" s="6" t="n">
        <v>152</v>
      </c>
      <c r="B153" s="6" t="s">
        <v>4236</v>
      </c>
      <c r="C153" s="6" t="n">
        <v>4</v>
      </c>
      <c r="D153" s="6" t="s">
        <v>177</v>
      </c>
      <c r="E153" s="6" t="s">
        <v>81</v>
      </c>
      <c r="F153" s="6" t="n">
        <v>2</v>
      </c>
      <c r="G153" s="6" t="n">
        <v>164</v>
      </c>
      <c r="H153" s="6" t="s">
        <v>4237</v>
      </c>
      <c r="I153" s="22" t="n">
        <v>1276000</v>
      </c>
      <c r="J153" s="22" t="n">
        <v>4000</v>
      </c>
      <c r="K153" s="22" t="n">
        <v>96000</v>
      </c>
      <c r="L153" s="22" t="n">
        <v>1376000</v>
      </c>
      <c r="M153" s="6" t="s">
        <v>927</v>
      </c>
      <c r="N153" s="6" t="s">
        <v>58</v>
      </c>
      <c r="O153" s="6"/>
      <c r="P153" s="6" t="s">
        <v>59</v>
      </c>
      <c r="Q153" s="6" t="str">
        <f aca="false">IF(P153="pass","No","Yes")</f>
        <v>Yes</v>
      </c>
      <c r="R153" s="6" t="s">
        <v>60</v>
      </c>
      <c r="S153" s="6" t="s">
        <v>915</v>
      </c>
      <c r="T153" s="6" t="s">
        <v>4238</v>
      </c>
      <c r="U153" s="23" t="n">
        <v>17.56</v>
      </c>
      <c r="V153" s="6" t="s">
        <v>4239</v>
      </c>
      <c r="W153" s="6" t="s">
        <v>4240</v>
      </c>
      <c r="X153" s="6" t="s">
        <v>4241</v>
      </c>
      <c r="Y153" s="6" t="s">
        <v>60</v>
      </c>
      <c r="Z153" s="6" t="n">
        <v>0</v>
      </c>
      <c r="AA153" s="6" t="n">
        <v>0</v>
      </c>
      <c r="AB153" s="6" t="n">
        <v>0</v>
      </c>
      <c r="AC153" s="6" t="n">
        <v>0</v>
      </c>
      <c r="AD153" s="6" t="n">
        <v>0</v>
      </c>
      <c r="AE153" s="6" t="n">
        <v>0</v>
      </c>
      <c r="AF153" s="6" t="n">
        <v>0</v>
      </c>
      <c r="AG153" s="6" t="n">
        <v>0</v>
      </c>
      <c r="AH153" s="6" t="n">
        <v>1</v>
      </c>
      <c r="AI153" s="6" t="s">
        <v>84</v>
      </c>
    </row>
    <row r="154" customFormat="false" ht="15" hidden="false" customHeight="false" outlineLevel="0" collapsed="false">
      <c r="A154" s="6" t="n">
        <v>153</v>
      </c>
      <c r="B154" s="6" t="s">
        <v>4242</v>
      </c>
      <c r="C154" s="6" t="n">
        <v>4</v>
      </c>
      <c r="D154" s="6" t="s">
        <v>112</v>
      </c>
      <c r="E154" s="6" t="s">
        <v>116</v>
      </c>
      <c r="F154" s="6" t="n">
        <v>1</v>
      </c>
      <c r="G154" s="6" t="n">
        <v>5</v>
      </c>
      <c r="H154" s="6" t="s">
        <v>2079</v>
      </c>
      <c r="I154" s="22" t="n">
        <v>190000</v>
      </c>
      <c r="J154" s="22" t="n">
        <v>15000</v>
      </c>
      <c r="K154" s="22" t="n">
        <v>15375</v>
      </c>
      <c r="L154" s="22" t="n">
        <v>220375</v>
      </c>
      <c r="M154" s="6" t="s">
        <v>57</v>
      </c>
      <c r="N154" s="6" t="s">
        <v>58</v>
      </c>
      <c r="O154" s="6"/>
      <c r="P154" s="6" t="s">
        <v>69</v>
      </c>
      <c r="Q154" s="6" t="str">
        <f aca="false">IF(P154="pass","No","Yes")</f>
        <v>No</v>
      </c>
      <c r="R154" s="6" t="s">
        <v>60</v>
      </c>
      <c r="S154" s="6"/>
      <c r="T154" s="6"/>
      <c r="U154" s="23" t="n">
        <v>7.736</v>
      </c>
      <c r="V154" s="6" t="s">
        <v>4243</v>
      </c>
      <c r="W154" s="6" t="s">
        <v>4244</v>
      </c>
      <c r="X154" s="6" t="s">
        <v>4245</v>
      </c>
      <c r="Y154" s="6" t="s">
        <v>60</v>
      </c>
      <c r="Z154" s="6" t="n">
        <v>0</v>
      </c>
      <c r="AA154" s="6" t="n">
        <v>0</v>
      </c>
      <c r="AB154" s="6" t="n">
        <v>0</v>
      </c>
      <c r="AC154" s="6" t="n">
        <v>0</v>
      </c>
      <c r="AD154" s="6" t="n">
        <v>0</v>
      </c>
      <c r="AE154" s="6" t="n">
        <v>0</v>
      </c>
      <c r="AF154" s="6" t="n">
        <v>0</v>
      </c>
      <c r="AG154" s="6" t="n">
        <v>0</v>
      </c>
      <c r="AH154" s="6" t="n">
        <v>0</v>
      </c>
      <c r="AI154" s="6" t="s">
        <v>84</v>
      </c>
    </row>
    <row r="155" customFormat="false" ht="15" hidden="false" customHeight="false" outlineLevel="0" collapsed="false">
      <c r="A155" s="6" t="n">
        <v>154</v>
      </c>
      <c r="B155" s="6" t="s">
        <v>4246</v>
      </c>
      <c r="C155" s="6" t="n">
        <v>4</v>
      </c>
      <c r="D155" s="6" t="s">
        <v>186</v>
      </c>
      <c r="E155" s="6" t="s">
        <v>123</v>
      </c>
      <c r="F155" s="6" t="n">
        <v>1</v>
      </c>
      <c r="G155" s="6" t="n">
        <v>47</v>
      </c>
      <c r="H155" s="6" t="s">
        <v>4247</v>
      </c>
      <c r="I155" s="22" t="n">
        <v>404200</v>
      </c>
      <c r="J155" s="22" t="n">
        <v>5000</v>
      </c>
      <c r="K155" s="22" t="n">
        <v>30690</v>
      </c>
      <c r="L155" s="22" t="n">
        <v>439890</v>
      </c>
      <c r="M155" s="6" t="s">
        <v>57</v>
      </c>
      <c r="N155" s="6" t="s">
        <v>58</v>
      </c>
      <c r="O155" s="6"/>
      <c r="P155" s="6" t="s">
        <v>69</v>
      </c>
      <c r="Q155" s="6" t="str">
        <f aca="false">IF(P155="pass","No","Yes")</f>
        <v>No</v>
      </c>
      <c r="R155" s="6" t="s">
        <v>60</v>
      </c>
      <c r="S155" s="6"/>
      <c r="T155" s="6"/>
      <c r="U155" s="23" t="n">
        <v>8.155</v>
      </c>
      <c r="V155" s="6" t="s">
        <v>4248</v>
      </c>
      <c r="W155" s="6" t="s">
        <v>4249</v>
      </c>
      <c r="X155" s="6" t="s">
        <v>4250</v>
      </c>
      <c r="Y155" s="6" t="s">
        <v>60</v>
      </c>
      <c r="Z155" s="6" t="n">
        <v>0</v>
      </c>
      <c r="AA155" s="6" t="n">
        <v>0</v>
      </c>
      <c r="AB155" s="6" t="n">
        <v>0</v>
      </c>
      <c r="AC155" s="6" t="n">
        <v>0</v>
      </c>
      <c r="AD155" s="6" t="n">
        <v>0</v>
      </c>
      <c r="AE155" s="6" t="n">
        <v>0</v>
      </c>
      <c r="AF155" s="6" t="n">
        <v>0</v>
      </c>
      <c r="AG155" s="6" t="n">
        <v>0</v>
      </c>
      <c r="AH155" s="6" t="n">
        <v>0</v>
      </c>
      <c r="AI155" s="6" t="s">
        <v>84</v>
      </c>
    </row>
    <row r="156" customFormat="false" ht="15" hidden="false" customHeight="false" outlineLevel="0" collapsed="false">
      <c r="A156" s="6" t="n">
        <v>155</v>
      </c>
      <c r="B156" s="6" t="s">
        <v>4251</v>
      </c>
      <c r="C156" s="6" t="n">
        <v>4</v>
      </c>
      <c r="D156" s="6" t="s">
        <v>186</v>
      </c>
      <c r="E156" s="6" t="s">
        <v>123</v>
      </c>
      <c r="F156" s="6" t="n">
        <v>2</v>
      </c>
      <c r="G156" s="6" t="n">
        <v>124</v>
      </c>
      <c r="H156" s="6" t="s">
        <v>4252</v>
      </c>
      <c r="I156" s="22" t="n">
        <v>1724400</v>
      </c>
      <c r="J156" s="22" t="n">
        <v>5000</v>
      </c>
      <c r="K156" s="22" t="n">
        <v>129705</v>
      </c>
      <c r="L156" s="22" t="n">
        <v>1859105</v>
      </c>
      <c r="M156" s="6" t="s">
        <v>57</v>
      </c>
      <c r="N156" s="6" t="s">
        <v>58</v>
      </c>
      <c r="O156" s="6"/>
      <c r="P156" s="6" t="s">
        <v>59</v>
      </c>
      <c r="Q156" s="6" t="str">
        <f aca="false">IF(P156="pass","No","Yes")</f>
        <v>Yes</v>
      </c>
      <c r="R156" s="6" t="s">
        <v>60</v>
      </c>
      <c r="S156" s="6" t="s">
        <v>915</v>
      </c>
      <c r="T156" s="6" t="s">
        <v>1174</v>
      </c>
      <c r="U156" s="23" t="n">
        <v>18.725</v>
      </c>
      <c r="V156" s="6" t="s">
        <v>4253</v>
      </c>
      <c r="W156" s="6" t="s">
        <v>4254</v>
      </c>
      <c r="X156" s="6" t="s">
        <v>4255</v>
      </c>
      <c r="Y156" s="6" t="s">
        <v>60</v>
      </c>
      <c r="Z156" s="6" t="n">
        <v>0</v>
      </c>
      <c r="AA156" s="6" t="n">
        <v>0</v>
      </c>
      <c r="AB156" s="6" t="n">
        <v>0</v>
      </c>
      <c r="AC156" s="6" t="n">
        <v>0</v>
      </c>
      <c r="AD156" s="6" t="n">
        <v>0</v>
      </c>
      <c r="AE156" s="6" t="n">
        <v>0</v>
      </c>
      <c r="AF156" s="6" t="n">
        <v>0</v>
      </c>
      <c r="AG156" s="6" t="n">
        <v>0</v>
      </c>
      <c r="AH156" s="6" t="n">
        <v>1</v>
      </c>
      <c r="AI156" s="6" t="s">
        <v>84</v>
      </c>
    </row>
    <row r="157" customFormat="false" ht="15" hidden="false" customHeight="false" outlineLevel="0" collapsed="false">
      <c r="A157" s="6" t="n">
        <v>156</v>
      </c>
      <c r="B157" s="6" t="s">
        <v>4256</v>
      </c>
      <c r="C157" s="6" t="n">
        <v>4</v>
      </c>
      <c r="D157" s="6" t="s">
        <v>77</v>
      </c>
      <c r="E157" s="6" t="s">
        <v>81</v>
      </c>
      <c r="F157" s="6" t="n">
        <v>2</v>
      </c>
      <c r="G157" s="6" t="n">
        <v>514</v>
      </c>
      <c r="H157" s="6" t="s">
        <v>4257</v>
      </c>
      <c r="I157" s="22" t="n">
        <v>2251100</v>
      </c>
      <c r="J157" s="22" t="n">
        <v>4000</v>
      </c>
      <c r="K157" s="22" t="n">
        <v>169132.5</v>
      </c>
      <c r="L157" s="22" t="n">
        <v>2424232.5</v>
      </c>
      <c r="M157" s="6" t="s">
        <v>159</v>
      </c>
      <c r="N157" s="6" t="s">
        <v>84</v>
      </c>
      <c r="O157" s="6" t="s">
        <v>886</v>
      </c>
      <c r="P157" s="6" t="s">
        <v>85</v>
      </c>
      <c r="Q157" s="6" t="str">
        <f aca="false">IF(P157="pass","No","Yes")</f>
        <v>Yes</v>
      </c>
      <c r="R157" s="6" t="s">
        <v>86</v>
      </c>
      <c r="S157" s="6" t="s">
        <v>934</v>
      </c>
      <c r="T157" s="6" t="s">
        <v>302</v>
      </c>
      <c r="U157" s="23" t="n">
        <v>10.925</v>
      </c>
      <c r="V157" s="6" t="s">
        <v>4258</v>
      </c>
      <c r="W157" s="6" t="s">
        <v>4259</v>
      </c>
      <c r="X157" s="6" t="s">
        <v>4260</v>
      </c>
      <c r="Y157" s="6" t="s">
        <v>86</v>
      </c>
      <c r="Z157" s="6" t="n">
        <v>0</v>
      </c>
      <c r="AA157" s="6" t="n">
        <v>0</v>
      </c>
      <c r="AB157" s="6" t="n">
        <v>1</v>
      </c>
      <c r="AC157" s="6" t="n">
        <v>1</v>
      </c>
      <c r="AD157" s="6" t="n">
        <v>0</v>
      </c>
      <c r="AE157" s="6" t="n">
        <v>0</v>
      </c>
      <c r="AF157" s="6" t="n">
        <v>0</v>
      </c>
      <c r="AG157" s="6" t="n">
        <v>0</v>
      </c>
      <c r="AH157" s="6" t="n">
        <v>0</v>
      </c>
      <c r="AI157" s="6" t="s">
        <v>84</v>
      </c>
    </row>
    <row r="158" customFormat="false" ht="15" hidden="false" customHeight="false" outlineLevel="0" collapsed="false">
      <c r="A158" s="6" t="n">
        <v>157</v>
      </c>
      <c r="B158" s="6" t="s">
        <v>4261</v>
      </c>
      <c r="C158" s="6" t="n">
        <v>4</v>
      </c>
      <c r="D158" s="6" t="s">
        <v>198</v>
      </c>
      <c r="E158" s="6" t="s">
        <v>81</v>
      </c>
      <c r="F158" s="6" t="n">
        <v>1</v>
      </c>
      <c r="G158" s="6" t="n">
        <v>115</v>
      </c>
      <c r="H158" s="6" t="s">
        <v>4262</v>
      </c>
      <c r="I158" s="22" t="n">
        <v>828000</v>
      </c>
      <c r="J158" s="22" t="n">
        <v>4000</v>
      </c>
      <c r="K158" s="22" t="n">
        <v>62400</v>
      </c>
      <c r="L158" s="22" t="n">
        <v>894400</v>
      </c>
      <c r="M158" s="6" t="s">
        <v>57</v>
      </c>
      <c r="N158" s="6" t="s">
        <v>58</v>
      </c>
      <c r="O158" s="6"/>
      <c r="P158" s="6" t="s">
        <v>59</v>
      </c>
      <c r="Q158" s="6" t="str">
        <f aca="false">IF(P158="pass","No","Yes")</f>
        <v>Yes</v>
      </c>
      <c r="R158" s="6" t="s">
        <v>60</v>
      </c>
      <c r="S158" s="6" t="s">
        <v>915</v>
      </c>
      <c r="T158" s="6" t="s">
        <v>4263</v>
      </c>
      <c r="U158" s="23" t="n">
        <v>15.357</v>
      </c>
      <c r="V158" s="6" t="s">
        <v>4264</v>
      </c>
      <c r="W158" s="6" t="s">
        <v>4265</v>
      </c>
      <c r="X158" s="6" t="s">
        <v>4266</v>
      </c>
      <c r="Y158" s="6" t="s">
        <v>60</v>
      </c>
      <c r="Z158" s="6" t="n">
        <v>0</v>
      </c>
      <c r="AA158" s="6" t="n">
        <v>0</v>
      </c>
      <c r="AB158" s="6" t="n">
        <v>0</v>
      </c>
      <c r="AC158" s="6" t="n">
        <v>0</v>
      </c>
      <c r="AD158" s="6" t="n">
        <v>0</v>
      </c>
      <c r="AE158" s="6" t="n">
        <v>0</v>
      </c>
      <c r="AF158" s="6" t="n">
        <v>0</v>
      </c>
      <c r="AG158" s="6" t="n">
        <v>0</v>
      </c>
      <c r="AH158" s="6" t="n">
        <v>1</v>
      </c>
      <c r="AI158" s="6" t="s">
        <v>84</v>
      </c>
    </row>
    <row r="159" customFormat="false" ht="15" hidden="false" customHeight="false" outlineLevel="0" collapsed="false">
      <c r="A159" s="6" t="n">
        <v>158</v>
      </c>
      <c r="B159" s="6" t="s">
        <v>4267</v>
      </c>
      <c r="C159" s="6" t="n">
        <v>4</v>
      </c>
      <c r="D159" s="6" t="s">
        <v>89</v>
      </c>
      <c r="E159" s="6" t="s">
        <v>67</v>
      </c>
      <c r="F159" s="6" t="n">
        <v>4</v>
      </c>
      <c r="G159" s="6" t="n">
        <v>131</v>
      </c>
      <c r="H159" s="6" t="s">
        <v>4268</v>
      </c>
      <c r="I159" s="22" t="n">
        <v>1362700</v>
      </c>
      <c r="J159" s="22" t="n">
        <v>4500</v>
      </c>
      <c r="K159" s="22" t="n">
        <v>102540</v>
      </c>
      <c r="L159" s="22" t="n">
        <v>1469740</v>
      </c>
      <c r="M159" s="6" t="s">
        <v>272</v>
      </c>
      <c r="N159" s="6" t="s">
        <v>84</v>
      </c>
      <c r="O159" s="6" t="s">
        <v>879</v>
      </c>
      <c r="P159" s="6" t="s">
        <v>85</v>
      </c>
      <c r="Q159" s="6" t="str">
        <f aca="false">IF(P159="pass","No","Yes")</f>
        <v>Yes</v>
      </c>
      <c r="R159" s="6" t="s">
        <v>86</v>
      </c>
      <c r="S159" s="6" t="s">
        <v>879</v>
      </c>
      <c r="T159" s="6" t="s">
        <v>4269</v>
      </c>
      <c r="U159" s="23" t="n">
        <v>20.988</v>
      </c>
      <c r="V159" s="6" t="s">
        <v>4270</v>
      </c>
      <c r="W159" s="6" t="s">
        <v>4271</v>
      </c>
      <c r="X159" s="6" t="s">
        <v>4272</v>
      </c>
      <c r="Y159" s="6" t="s">
        <v>86</v>
      </c>
      <c r="Z159" s="6" t="n">
        <v>0</v>
      </c>
      <c r="AA159" s="6" t="n">
        <v>1</v>
      </c>
      <c r="AB159" s="6" t="n">
        <v>0</v>
      </c>
      <c r="AC159" s="6" t="n">
        <v>0</v>
      </c>
      <c r="AD159" s="6" t="n">
        <v>0</v>
      </c>
      <c r="AE159" s="6" t="n">
        <v>0</v>
      </c>
      <c r="AF159" s="6" t="n">
        <v>0</v>
      </c>
      <c r="AG159" s="6" t="n">
        <v>0</v>
      </c>
      <c r="AH159" s="6" t="n">
        <v>0</v>
      </c>
      <c r="AI159" s="6" t="s">
        <v>84</v>
      </c>
    </row>
    <row r="160" customFormat="false" ht="15" hidden="false" customHeight="false" outlineLevel="0" collapsed="false">
      <c r="A160" s="6" t="n">
        <v>159</v>
      </c>
      <c r="B160" s="6" t="s">
        <v>4273</v>
      </c>
      <c r="C160" s="6" t="n">
        <v>4</v>
      </c>
      <c r="D160" s="6" t="s">
        <v>77</v>
      </c>
      <c r="E160" s="6" t="s">
        <v>81</v>
      </c>
      <c r="F160" s="6" t="n">
        <v>1</v>
      </c>
      <c r="G160" s="6" t="n">
        <v>7</v>
      </c>
      <c r="H160" s="6" t="s">
        <v>1207</v>
      </c>
      <c r="I160" s="22" t="n">
        <v>266000</v>
      </c>
      <c r="J160" s="22" t="n">
        <v>4000</v>
      </c>
      <c r="K160" s="22" t="n">
        <v>20250</v>
      </c>
      <c r="L160" s="22" t="n">
        <v>290250</v>
      </c>
      <c r="M160" s="6" t="s">
        <v>57</v>
      </c>
      <c r="N160" s="6" t="s">
        <v>58</v>
      </c>
      <c r="O160" s="6"/>
      <c r="P160" s="6" t="s">
        <v>69</v>
      </c>
      <c r="Q160" s="6" t="str">
        <f aca="false">IF(P160="pass","No","Yes")</f>
        <v>No</v>
      </c>
      <c r="R160" s="6" t="s">
        <v>60</v>
      </c>
      <c r="S160" s="6"/>
      <c r="T160" s="6"/>
      <c r="U160" s="23" t="n">
        <v>7.994</v>
      </c>
      <c r="V160" s="6" t="s">
        <v>4274</v>
      </c>
      <c r="W160" s="6" t="s">
        <v>4275</v>
      </c>
      <c r="X160" s="6" t="s">
        <v>4276</v>
      </c>
      <c r="Y160" s="6" t="s">
        <v>60</v>
      </c>
      <c r="Z160" s="6" t="n">
        <v>0</v>
      </c>
      <c r="AA160" s="6" t="n">
        <v>0</v>
      </c>
      <c r="AB160" s="6" t="n">
        <v>0</v>
      </c>
      <c r="AC160" s="6" t="n">
        <v>0</v>
      </c>
      <c r="AD160" s="6" t="n">
        <v>0</v>
      </c>
      <c r="AE160" s="6" t="n">
        <v>0</v>
      </c>
      <c r="AF160" s="6" t="n">
        <v>0</v>
      </c>
      <c r="AG160" s="6" t="n">
        <v>0</v>
      </c>
      <c r="AH160" s="6" t="n">
        <v>0</v>
      </c>
      <c r="AI160" s="6" t="s">
        <v>84</v>
      </c>
    </row>
    <row r="161" customFormat="false" ht="15" hidden="false" customHeight="false" outlineLevel="0" collapsed="false">
      <c r="A161" s="6" t="n">
        <v>160</v>
      </c>
      <c r="B161" s="6" t="s">
        <v>4277</v>
      </c>
      <c r="C161" s="6" t="n">
        <v>4</v>
      </c>
      <c r="D161" s="6" t="s">
        <v>154</v>
      </c>
      <c r="E161" s="6" t="s">
        <v>123</v>
      </c>
      <c r="F161" s="6" t="n">
        <v>3</v>
      </c>
      <c r="G161" s="6" t="n">
        <v>48</v>
      </c>
      <c r="H161" s="6" t="s">
        <v>4278</v>
      </c>
      <c r="I161" s="22" t="n">
        <v>1271700</v>
      </c>
      <c r="J161" s="22" t="n">
        <v>5000</v>
      </c>
      <c r="K161" s="22" t="n">
        <v>95752.5</v>
      </c>
      <c r="L161" s="22" t="n">
        <v>1372452.5</v>
      </c>
      <c r="M161" s="6" t="s">
        <v>57</v>
      </c>
      <c r="N161" s="6" t="s">
        <v>58</v>
      </c>
      <c r="O161" s="6"/>
      <c r="P161" s="6" t="s">
        <v>69</v>
      </c>
      <c r="Q161" s="6" t="str">
        <f aca="false">IF(P161="pass","No","Yes")</f>
        <v>No</v>
      </c>
      <c r="R161" s="6" t="s">
        <v>60</v>
      </c>
      <c r="S161" s="6"/>
      <c r="T161" s="6"/>
      <c r="U161" s="23" t="n">
        <v>16.096</v>
      </c>
      <c r="V161" s="6" t="s">
        <v>4279</v>
      </c>
      <c r="W161" s="6" t="s">
        <v>4280</v>
      </c>
      <c r="X161" s="6" t="s">
        <v>4281</v>
      </c>
      <c r="Y161" s="6" t="s">
        <v>60</v>
      </c>
      <c r="Z161" s="6" t="n">
        <v>0</v>
      </c>
      <c r="AA161" s="6" t="n">
        <v>0</v>
      </c>
      <c r="AB161" s="6" t="n">
        <v>0</v>
      </c>
      <c r="AC161" s="6" t="n">
        <v>0</v>
      </c>
      <c r="AD161" s="6" t="n">
        <v>0</v>
      </c>
      <c r="AE161" s="6" t="n">
        <v>0</v>
      </c>
      <c r="AF161" s="6" t="n">
        <v>0</v>
      </c>
      <c r="AG161" s="6" t="n">
        <v>0</v>
      </c>
      <c r="AH161" s="6" t="n">
        <v>0</v>
      </c>
      <c r="AI161" s="6" t="s">
        <v>84</v>
      </c>
    </row>
    <row r="162" customFormat="false" ht="15" hidden="false" customHeight="false" outlineLevel="0" collapsed="false">
      <c r="A162" s="6" t="n">
        <v>161</v>
      </c>
      <c r="B162" s="6" t="s">
        <v>4282</v>
      </c>
      <c r="C162" s="6" t="n">
        <v>4</v>
      </c>
      <c r="D162" s="6" t="s">
        <v>186</v>
      </c>
      <c r="E162" s="6" t="s">
        <v>123</v>
      </c>
      <c r="F162" s="6" t="n">
        <v>1</v>
      </c>
      <c r="G162" s="6" t="n">
        <v>1</v>
      </c>
      <c r="H162" s="6" t="s">
        <v>4283</v>
      </c>
      <c r="I162" s="22" t="n">
        <v>31000</v>
      </c>
      <c r="J162" s="22" t="n">
        <v>5000</v>
      </c>
      <c r="K162" s="22" t="n">
        <v>2700</v>
      </c>
      <c r="L162" s="22" t="n">
        <v>38700</v>
      </c>
      <c r="M162" s="6" t="s">
        <v>1042</v>
      </c>
      <c r="N162" s="6" t="s">
        <v>58</v>
      </c>
      <c r="O162" s="6"/>
      <c r="P162" s="6" t="s">
        <v>69</v>
      </c>
      <c r="Q162" s="6" t="str">
        <f aca="false">IF(P162="pass","No","Yes")</f>
        <v>No</v>
      </c>
      <c r="R162" s="6" t="s">
        <v>60</v>
      </c>
      <c r="S162" s="6"/>
      <c r="T162" s="6"/>
      <c r="U162" s="23" t="n">
        <v>7.731</v>
      </c>
      <c r="V162" s="6" t="s">
        <v>4284</v>
      </c>
      <c r="W162" s="6" t="s">
        <v>4285</v>
      </c>
      <c r="X162" s="6" t="s">
        <v>4286</v>
      </c>
      <c r="Y162" s="6" t="s">
        <v>60</v>
      </c>
      <c r="Z162" s="6" t="n">
        <v>0</v>
      </c>
      <c r="AA162" s="6" t="n">
        <v>0</v>
      </c>
      <c r="AB162" s="6" t="n">
        <v>0</v>
      </c>
      <c r="AC162" s="6" t="n">
        <v>0</v>
      </c>
      <c r="AD162" s="6" t="n">
        <v>0</v>
      </c>
      <c r="AE162" s="6" t="n">
        <v>0</v>
      </c>
      <c r="AF162" s="6" t="n">
        <v>0</v>
      </c>
      <c r="AG162" s="6" t="n">
        <v>0</v>
      </c>
      <c r="AH162" s="6" t="n">
        <v>0</v>
      </c>
      <c r="AI162" s="6" t="s">
        <v>84</v>
      </c>
    </row>
    <row r="163" customFormat="false" ht="15" hidden="false" customHeight="false" outlineLevel="0" collapsed="false">
      <c r="A163" s="6" t="n">
        <v>162</v>
      </c>
      <c r="B163" s="6" t="s">
        <v>4287</v>
      </c>
      <c r="C163" s="6" t="n">
        <v>4</v>
      </c>
      <c r="D163" s="6" t="s">
        <v>198</v>
      </c>
      <c r="E163" s="6" t="s">
        <v>81</v>
      </c>
      <c r="F163" s="6" t="n">
        <v>3</v>
      </c>
      <c r="G163" s="6" t="n">
        <v>111</v>
      </c>
      <c r="H163" s="6" t="s">
        <v>4288</v>
      </c>
      <c r="I163" s="22" t="n">
        <v>1410600</v>
      </c>
      <c r="J163" s="22" t="n">
        <v>4000</v>
      </c>
      <c r="K163" s="22" t="n">
        <v>106095</v>
      </c>
      <c r="L163" s="22" t="n">
        <v>1520695</v>
      </c>
      <c r="M163" s="6" t="s">
        <v>57</v>
      </c>
      <c r="N163" s="6" t="s">
        <v>58</v>
      </c>
      <c r="O163" s="6"/>
      <c r="P163" s="6" t="s">
        <v>69</v>
      </c>
      <c r="Q163" s="6" t="str">
        <f aca="false">IF(P163="pass","No","Yes")</f>
        <v>No</v>
      </c>
      <c r="R163" s="6" t="s">
        <v>60</v>
      </c>
      <c r="S163" s="6"/>
      <c r="T163" s="6"/>
      <c r="U163" s="23" t="n">
        <v>16.15</v>
      </c>
      <c r="V163" s="6" t="s">
        <v>4289</v>
      </c>
      <c r="W163" s="6" t="s">
        <v>4290</v>
      </c>
      <c r="X163" s="6" t="s">
        <v>4291</v>
      </c>
      <c r="Y163" s="6" t="s">
        <v>60</v>
      </c>
      <c r="Z163" s="6" t="n">
        <v>0</v>
      </c>
      <c r="AA163" s="6" t="n">
        <v>0</v>
      </c>
      <c r="AB163" s="6" t="n">
        <v>0</v>
      </c>
      <c r="AC163" s="6" t="n">
        <v>0</v>
      </c>
      <c r="AD163" s="6" t="n">
        <v>0</v>
      </c>
      <c r="AE163" s="6" t="n">
        <v>0</v>
      </c>
      <c r="AF163" s="6" t="n">
        <v>0</v>
      </c>
      <c r="AG163" s="6" t="n">
        <v>0</v>
      </c>
      <c r="AH163" s="6" t="n">
        <v>0</v>
      </c>
      <c r="AI163" s="6" t="s">
        <v>84</v>
      </c>
    </row>
    <row r="164" customFormat="false" ht="15" hidden="false" customHeight="false" outlineLevel="0" collapsed="false">
      <c r="A164" s="6" t="n">
        <v>163</v>
      </c>
      <c r="B164" s="6" t="s">
        <v>4292</v>
      </c>
      <c r="C164" s="6" t="n">
        <v>4</v>
      </c>
      <c r="D164" s="6" t="s">
        <v>237</v>
      </c>
      <c r="E164" s="6" t="s">
        <v>116</v>
      </c>
      <c r="F164" s="6" t="n">
        <v>4</v>
      </c>
      <c r="G164" s="6" t="n">
        <v>101</v>
      </c>
      <c r="H164" s="6" t="s">
        <v>4293</v>
      </c>
      <c r="I164" s="22" t="n">
        <v>914800</v>
      </c>
      <c r="J164" s="22" t="n">
        <v>15000</v>
      </c>
      <c r="K164" s="22" t="n">
        <v>69735</v>
      </c>
      <c r="L164" s="22" t="n">
        <v>999535</v>
      </c>
      <c r="M164" s="6" t="s">
        <v>152</v>
      </c>
      <c r="N164" s="6" t="s">
        <v>84</v>
      </c>
      <c r="O164" s="6" t="s">
        <v>886</v>
      </c>
      <c r="P164" s="6" t="s">
        <v>85</v>
      </c>
      <c r="Q164" s="6" t="str">
        <f aca="false">IF(P164="pass","No","Yes")</f>
        <v>Yes</v>
      </c>
      <c r="R164" s="6" t="s">
        <v>86</v>
      </c>
      <c r="S164" s="6" t="s">
        <v>886</v>
      </c>
      <c r="T164" s="6" t="s">
        <v>336</v>
      </c>
      <c r="U164" s="23" t="n">
        <v>22.527</v>
      </c>
      <c r="V164" s="6" t="s">
        <v>4294</v>
      </c>
      <c r="W164" s="6" t="s">
        <v>4295</v>
      </c>
      <c r="X164" s="6" t="s">
        <v>4296</v>
      </c>
      <c r="Y164" s="6" t="s">
        <v>86</v>
      </c>
      <c r="Z164" s="6" t="n">
        <v>0</v>
      </c>
      <c r="AA164" s="6" t="n">
        <v>0</v>
      </c>
      <c r="AB164" s="6" t="n">
        <v>1</v>
      </c>
      <c r="AC164" s="6" t="n">
        <v>0</v>
      </c>
      <c r="AD164" s="6" t="n">
        <v>0</v>
      </c>
      <c r="AE164" s="6" t="n">
        <v>0</v>
      </c>
      <c r="AF164" s="6" t="n">
        <v>0</v>
      </c>
      <c r="AG164" s="6" t="n">
        <v>0</v>
      </c>
      <c r="AH164" s="6" t="n">
        <v>0</v>
      </c>
      <c r="AI164" s="6" t="s">
        <v>84</v>
      </c>
    </row>
    <row r="165" customFormat="false" ht="15" hidden="false" customHeight="false" outlineLevel="0" collapsed="false">
      <c r="A165" s="6" t="n">
        <v>164</v>
      </c>
      <c r="B165" s="6" t="s">
        <v>4297</v>
      </c>
      <c r="C165" s="6" t="n">
        <v>4</v>
      </c>
      <c r="D165" s="6" t="s">
        <v>77</v>
      </c>
      <c r="E165" s="6" t="s">
        <v>81</v>
      </c>
      <c r="F165" s="6" t="n">
        <v>2</v>
      </c>
      <c r="G165" s="6" t="n">
        <v>35</v>
      </c>
      <c r="H165" s="6" t="s">
        <v>4298</v>
      </c>
      <c r="I165" s="22" t="n">
        <v>410500</v>
      </c>
      <c r="J165" s="22" t="n">
        <v>4000</v>
      </c>
      <c r="K165" s="22" t="n">
        <v>31087.5</v>
      </c>
      <c r="L165" s="22" t="n">
        <v>445587.5</v>
      </c>
      <c r="M165" s="6" t="s">
        <v>83</v>
      </c>
      <c r="N165" s="6" t="s">
        <v>84</v>
      </c>
      <c r="O165" s="6" t="s">
        <v>886</v>
      </c>
      <c r="P165" s="6" t="s">
        <v>85</v>
      </c>
      <c r="Q165" s="6" t="str">
        <f aca="false">IF(P165="pass","No","Yes")</f>
        <v>Yes</v>
      </c>
      <c r="R165" s="6" t="s">
        <v>86</v>
      </c>
      <c r="S165" s="6" t="s">
        <v>886</v>
      </c>
      <c r="T165" s="6" t="s">
        <v>88</v>
      </c>
      <c r="U165" s="23" t="n">
        <v>20.198</v>
      </c>
      <c r="V165" s="6" t="s">
        <v>4299</v>
      </c>
      <c r="W165" s="6" t="s">
        <v>4300</v>
      </c>
      <c r="X165" s="6" t="s">
        <v>4301</v>
      </c>
      <c r="Y165" s="6" t="s">
        <v>86</v>
      </c>
      <c r="Z165" s="6" t="n">
        <v>0</v>
      </c>
      <c r="AA165" s="6" t="n">
        <v>0</v>
      </c>
      <c r="AB165" s="6" t="n">
        <v>1</v>
      </c>
      <c r="AC165" s="6" t="n">
        <v>0</v>
      </c>
      <c r="AD165" s="6" t="n">
        <v>0</v>
      </c>
      <c r="AE165" s="6" t="n">
        <v>0</v>
      </c>
      <c r="AF165" s="6" t="n">
        <v>0</v>
      </c>
      <c r="AG165" s="6" t="n">
        <v>0</v>
      </c>
      <c r="AH165" s="6" t="n">
        <v>0</v>
      </c>
      <c r="AI165" s="6" t="s">
        <v>84</v>
      </c>
    </row>
    <row r="166" customFormat="false" ht="15" hidden="false" customHeight="false" outlineLevel="0" collapsed="false">
      <c r="A166" s="6" t="n">
        <v>165</v>
      </c>
      <c r="B166" s="6" t="s">
        <v>4302</v>
      </c>
      <c r="C166" s="6" t="n">
        <v>4</v>
      </c>
      <c r="D166" s="6" t="s">
        <v>191</v>
      </c>
      <c r="E166" s="6" t="s">
        <v>116</v>
      </c>
      <c r="F166" s="6" t="n">
        <v>1</v>
      </c>
      <c r="G166" s="6" t="n">
        <v>34</v>
      </c>
      <c r="H166" s="6" t="s">
        <v>4303</v>
      </c>
      <c r="I166" s="22" t="n">
        <v>401200</v>
      </c>
      <c r="J166" s="22" t="n">
        <v>15000</v>
      </c>
      <c r="K166" s="22" t="n">
        <v>31215</v>
      </c>
      <c r="L166" s="22" t="n">
        <v>447415</v>
      </c>
      <c r="M166" s="6" t="s">
        <v>57</v>
      </c>
      <c r="N166" s="6" t="s">
        <v>58</v>
      </c>
      <c r="O166" s="6"/>
      <c r="P166" s="6" t="s">
        <v>69</v>
      </c>
      <c r="Q166" s="6" t="str">
        <f aca="false">IF(P166="pass","No","Yes")</f>
        <v>No</v>
      </c>
      <c r="R166" s="6" t="s">
        <v>60</v>
      </c>
      <c r="S166" s="6"/>
      <c r="T166" s="6"/>
      <c r="U166" s="23" t="n">
        <v>7.933</v>
      </c>
      <c r="V166" s="6" t="s">
        <v>4304</v>
      </c>
      <c r="W166" s="6" t="s">
        <v>4305</v>
      </c>
      <c r="X166" s="6" t="s">
        <v>4306</v>
      </c>
      <c r="Y166" s="6" t="s">
        <v>60</v>
      </c>
      <c r="Z166" s="6" t="n">
        <v>0</v>
      </c>
      <c r="AA166" s="6" t="n">
        <v>0</v>
      </c>
      <c r="AB166" s="6" t="n">
        <v>0</v>
      </c>
      <c r="AC166" s="6" t="n">
        <v>0</v>
      </c>
      <c r="AD166" s="6" t="n">
        <v>0</v>
      </c>
      <c r="AE166" s="6" t="n">
        <v>0</v>
      </c>
      <c r="AF166" s="6" t="n">
        <v>0</v>
      </c>
      <c r="AG166" s="6" t="n">
        <v>0</v>
      </c>
      <c r="AH166" s="6" t="n">
        <v>0</v>
      </c>
      <c r="AI166" s="6" t="s">
        <v>84</v>
      </c>
    </row>
    <row r="167" customFormat="false" ht="15" hidden="false" customHeight="false" outlineLevel="0" collapsed="false">
      <c r="A167" s="6" t="n">
        <v>166</v>
      </c>
      <c r="B167" s="6" t="s">
        <v>4307</v>
      </c>
      <c r="C167" s="6" t="n">
        <v>4</v>
      </c>
      <c r="D167" s="6" t="s">
        <v>112</v>
      </c>
      <c r="E167" s="6" t="s">
        <v>116</v>
      </c>
      <c r="F167" s="6" t="n">
        <v>2</v>
      </c>
      <c r="G167" s="6" t="n">
        <v>27</v>
      </c>
      <c r="H167" s="6" t="s">
        <v>4308</v>
      </c>
      <c r="I167" s="22" t="n">
        <v>930000</v>
      </c>
      <c r="J167" s="22" t="n">
        <v>15000</v>
      </c>
      <c r="K167" s="22" t="n">
        <v>70875</v>
      </c>
      <c r="L167" s="22" t="n">
        <v>1015875</v>
      </c>
      <c r="M167" s="6" t="s">
        <v>960</v>
      </c>
      <c r="N167" s="6" t="s">
        <v>84</v>
      </c>
      <c r="O167" s="6" t="s">
        <v>961</v>
      </c>
      <c r="P167" s="6" t="s">
        <v>85</v>
      </c>
      <c r="Q167" s="6" t="str">
        <f aca="false">IF(P167="pass","No","Yes")</f>
        <v>Yes</v>
      </c>
      <c r="R167" s="6" t="s">
        <v>86</v>
      </c>
      <c r="S167" s="6" t="s">
        <v>961</v>
      </c>
      <c r="T167" s="6" t="s">
        <v>962</v>
      </c>
      <c r="U167" s="23" t="n">
        <v>12.391</v>
      </c>
      <c r="V167" s="6" t="s">
        <v>4309</v>
      </c>
      <c r="W167" s="6" t="s">
        <v>4310</v>
      </c>
      <c r="X167" s="6" t="s">
        <v>4311</v>
      </c>
      <c r="Y167" s="6" t="s">
        <v>86</v>
      </c>
      <c r="Z167" s="6" t="n">
        <v>0</v>
      </c>
      <c r="AA167" s="6" t="n">
        <v>0</v>
      </c>
      <c r="AB167" s="6" t="n">
        <v>0</v>
      </c>
      <c r="AC167" s="6" t="n">
        <v>0</v>
      </c>
      <c r="AD167" s="6" t="n">
        <v>1</v>
      </c>
      <c r="AE167" s="6" t="n">
        <v>0</v>
      </c>
      <c r="AF167" s="6" t="n">
        <v>0</v>
      </c>
      <c r="AG167" s="6" t="n">
        <v>0</v>
      </c>
      <c r="AH167" s="6" t="n">
        <v>0</v>
      </c>
      <c r="AI167" s="6" t="s">
        <v>84</v>
      </c>
    </row>
    <row r="168" customFormat="false" ht="15" hidden="false" customHeight="false" outlineLevel="0" collapsed="false">
      <c r="A168" s="6" t="n">
        <v>167</v>
      </c>
      <c r="B168" s="6" t="s">
        <v>4312</v>
      </c>
      <c r="C168" s="6" t="n">
        <v>4</v>
      </c>
      <c r="D168" s="6" t="s">
        <v>191</v>
      </c>
      <c r="E168" s="6" t="s">
        <v>116</v>
      </c>
      <c r="F168" s="6" t="n">
        <v>1</v>
      </c>
      <c r="G168" s="6" t="n">
        <v>34</v>
      </c>
      <c r="H168" s="6" t="s">
        <v>4303</v>
      </c>
      <c r="I168" s="22" t="n">
        <v>401200</v>
      </c>
      <c r="J168" s="22" t="n">
        <v>15000</v>
      </c>
      <c r="K168" s="22" t="n">
        <v>31215</v>
      </c>
      <c r="L168" s="22" t="n">
        <v>447415</v>
      </c>
      <c r="M168" s="6" t="s">
        <v>97</v>
      </c>
      <c r="N168" s="6" t="s">
        <v>84</v>
      </c>
      <c r="O168" s="6" t="s">
        <v>1185</v>
      </c>
      <c r="P168" s="6" t="s">
        <v>59</v>
      </c>
      <c r="Q168" s="6" t="str">
        <f aca="false">IF(P168="pass","No","Yes")</f>
        <v>Yes</v>
      </c>
      <c r="R168" s="6" t="s">
        <v>98</v>
      </c>
      <c r="S168" s="6" t="s">
        <v>1185</v>
      </c>
      <c r="T168" s="6" t="s">
        <v>4313</v>
      </c>
      <c r="U168" s="23" t="n">
        <v>6.274</v>
      </c>
      <c r="V168" s="6" t="s">
        <v>4314</v>
      </c>
      <c r="W168" s="6"/>
      <c r="X168" s="6" t="s">
        <v>4314</v>
      </c>
      <c r="Y168" s="6" t="s">
        <v>98</v>
      </c>
      <c r="Z168" s="6" t="n">
        <v>0</v>
      </c>
      <c r="AA168" s="6" t="n">
        <v>0</v>
      </c>
      <c r="AB168" s="6" t="n">
        <v>0</v>
      </c>
      <c r="AC168" s="6" t="n">
        <v>0</v>
      </c>
      <c r="AD168" s="6" t="n">
        <v>0</v>
      </c>
      <c r="AE168" s="6" t="n">
        <v>0</v>
      </c>
      <c r="AF168" s="6" t="n">
        <v>0</v>
      </c>
      <c r="AG168" s="6" t="n">
        <v>1</v>
      </c>
      <c r="AH168" s="6" t="n">
        <v>0</v>
      </c>
      <c r="AI168" s="6" t="s">
        <v>84</v>
      </c>
    </row>
    <row r="169" customFormat="false" ht="15" hidden="false" customHeight="false" outlineLevel="0" collapsed="false">
      <c r="A169" s="6" t="n">
        <v>168</v>
      </c>
      <c r="B169" s="6" t="s">
        <v>4315</v>
      </c>
      <c r="C169" s="6" t="n">
        <v>4</v>
      </c>
      <c r="D169" s="6" t="s">
        <v>191</v>
      </c>
      <c r="E169" s="6" t="s">
        <v>116</v>
      </c>
      <c r="F169" s="6" t="n">
        <v>1</v>
      </c>
      <c r="G169" s="6" t="n">
        <v>43</v>
      </c>
      <c r="H169" s="6" t="s">
        <v>4316</v>
      </c>
      <c r="I169" s="22" t="n">
        <v>369800</v>
      </c>
      <c r="J169" s="22" t="n">
        <v>15000</v>
      </c>
      <c r="K169" s="22" t="n">
        <v>28860</v>
      </c>
      <c r="L169" s="22" t="n">
        <v>413660</v>
      </c>
      <c r="M169" s="6" t="s">
        <v>57</v>
      </c>
      <c r="N169" s="6" t="s">
        <v>58</v>
      </c>
      <c r="O169" s="6"/>
      <c r="P169" s="6" t="s">
        <v>69</v>
      </c>
      <c r="Q169" s="6" t="str">
        <f aca="false">IF(P169="pass","No","Yes")</f>
        <v>No</v>
      </c>
      <c r="R169" s="6" t="s">
        <v>60</v>
      </c>
      <c r="S169" s="6"/>
      <c r="T169" s="6"/>
      <c r="U169" s="23" t="n">
        <v>8.897</v>
      </c>
      <c r="V169" s="6" t="s">
        <v>4317</v>
      </c>
      <c r="W169" s="6" t="s">
        <v>4318</v>
      </c>
      <c r="X169" s="6" t="s">
        <v>4319</v>
      </c>
      <c r="Y169" s="6" t="s">
        <v>60</v>
      </c>
      <c r="Z169" s="6" t="n">
        <v>0</v>
      </c>
      <c r="AA169" s="6" t="n">
        <v>0</v>
      </c>
      <c r="AB169" s="6" t="n">
        <v>0</v>
      </c>
      <c r="AC169" s="6" t="n">
        <v>0</v>
      </c>
      <c r="AD169" s="6" t="n">
        <v>0</v>
      </c>
      <c r="AE169" s="6" t="n">
        <v>0</v>
      </c>
      <c r="AF169" s="6" t="n">
        <v>0</v>
      </c>
      <c r="AG169" s="6" t="n">
        <v>0</v>
      </c>
      <c r="AH169" s="6" t="n">
        <v>0</v>
      </c>
      <c r="AI169" s="6" t="s">
        <v>84</v>
      </c>
    </row>
    <row r="170" customFormat="false" ht="15" hidden="false" customHeight="false" outlineLevel="0" collapsed="false">
      <c r="A170" s="6" t="n">
        <v>169</v>
      </c>
      <c r="B170" s="6" t="s">
        <v>4320</v>
      </c>
      <c r="C170" s="6" t="n">
        <v>4</v>
      </c>
      <c r="D170" s="6" t="s">
        <v>51</v>
      </c>
      <c r="E170" s="6" t="s">
        <v>55</v>
      </c>
      <c r="F170" s="6" t="n">
        <v>2</v>
      </c>
      <c r="G170" s="6" t="n">
        <v>55</v>
      </c>
      <c r="H170" s="6" t="s">
        <v>4321</v>
      </c>
      <c r="I170" s="22" t="n">
        <v>1166000</v>
      </c>
      <c r="J170" s="22" t="n">
        <v>6000</v>
      </c>
      <c r="K170" s="22" t="n">
        <v>87900</v>
      </c>
      <c r="L170" s="22" t="n">
        <v>1259900</v>
      </c>
      <c r="M170" s="6" t="s">
        <v>57</v>
      </c>
      <c r="N170" s="6" t="s">
        <v>58</v>
      </c>
      <c r="O170" s="6"/>
      <c r="P170" s="6" t="s">
        <v>69</v>
      </c>
      <c r="Q170" s="6" t="str">
        <f aca="false">IF(P170="pass","No","Yes")</f>
        <v>No</v>
      </c>
      <c r="R170" s="6" t="s">
        <v>60</v>
      </c>
      <c r="S170" s="6"/>
      <c r="T170" s="6"/>
      <c r="U170" s="23" t="n">
        <v>20.142</v>
      </c>
      <c r="V170" s="6" t="s">
        <v>4322</v>
      </c>
      <c r="W170" s="6" t="s">
        <v>4323</v>
      </c>
      <c r="X170" s="6" t="s">
        <v>4324</v>
      </c>
      <c r="Y170" s="6" t="s">
        <v>60</v>
      </c>
      <c r="Z170" s="6" t="n">
        <v>0</v>
      </c>
      <c r="AA170" s="6" t="n">
        <v>0</v>
      </c>
      <c r="AB170" s="6" t="n">
        <v>0</v>
      </c>
      <c r="AC170" s="6" t="n">
        <v>0</v>
      </c>
      <c r="AD170" s="6" t="n">
        <v>0</v>
      </c>
      <c r="AE170" s="6" t="n">
        <v>0</v>
      </c>
      <c r="AF170" s="6" t="n">
        <v>0</v>
      </c>
      <c r="AG170" s="6" t="n">
        <v>0</v>
      </c>
      <c r="AH170" s="6" t="n">
        <v>0</v>
      </c>
      <c r="AI170" s="6" t="s">
        <v>84</v>
      </c>
    </row>
    <row r="171" customFormat="false" ht="15" hidden="false" customHeight="false" outlineLevel="0" collapsed="false">
      <c r="A171" s="6" t="n">
        <v>170</v>
      </c>
      <c r="B171" s="6" t="s">
        <v>4325</v>
      </c>
      <c r="C171" s="6" t="n">
        <v>4</v>
      </c>
      <c r="D171" s="6" t="s">
        <v>198</v>
      </c>
      <c r="E171" s="6" t="s">
        <v>81</v>
      </c>
      <c r="F171" s="6" t="n">
        <v>3</v>
      </c>
      <c r="G171" s="6" t="n">
        <v>444</v>
      </c>
      <c r="H171" s="6" t="s">
        <v>4326</v>
      </c>
      <c r="I171" s="22" t="n">
        <v>5366000</v>
      </c>
      <c r="J171" s="22" t="n">
        <v>4000</v>
      </c>
      <c r="K171" s="22" t="n">
        <v>402750</v>
      </c>
      <c r="L171" s="22" t="n">
        <v>5772750</v>
      </c>
      <c r="M171" s="6" t="s">
        <v>171</v>
      </c>
      <c r="N171" s="6" t="s">
        <v>84</v>
      </c>
      <c r="O171" s="6" t="s">
        <v>892</v>
      </c>
      <c r="P171" s="6" t="s">
        <v>85</v>
      </c>
      <c r="Q171" s="6" t="str">
        <f aca="false">IF(P171="pass","No","Yes")</f>
        <v>Yes</v>
      </c>
      <c r="R171" s="6" t="s">
        <v>86</v>
      </c>
      <c r="S171" s="6" t="s">
        <v>892</v>
      </c>
      <c r="T171" s="6" t="s">
        <v>618</v>
      </c>
      <c r="U171" s="23" t="n">
        <v>23.776</v>
      </c>
      <c r="V171" s="6" t="s">
        <v>4327</v>
      </c>
      <c r="W171" s="6" t="s">
        <v>4328</v>
      </c>
      <c r="X171" s="6" t="s">
        <v>4329</v>
      </c>
      <c r="Y171" s="6" t="s">
        <v>86</v>
      </c>
      <c r="Z171" s="6" t="n">
        <v>0</v>
      </c>
      <c r="AA171" s="6" t="n">
        <v>0</v>
      </c>
      <c r="AB171" s="6" t="n">
        <v>0</v>
      </c>
      <c r="AC171" s="6" t="n">
        <v>1</v>
      </c>
      <c r="AD171" s="6" t="n">
        <v>0</v>
      </c>
      <c r="AE171" s="6" t="n">
        <v>0</v>
      </c>
      <c r="AF171" s="6" t="n">
        <v>0</v>
      </c>
      <c r="AG171" s="6" t="n">
        <v>0</v>
      </c>
      <c r="AH171" s="6" t="n">
        <v>0</v>
      </c>
      <c r="AI171" s="6" t="s">
        <v>84</v>
      </c>
    </row>
    <row r="172" customFormat="false" ht="15" hidden="false" customHeight="false" outlineLevel="0" collapsed="false">
      <c r="A172" s="6" t="n">
        <v>171</v>
      </c>
      <c r="B172" s="6" t="s">
        <v>4330</v>
      </c>
      <c r="C172" s="6" t="n">
        <v>4</v>
      </c>
      <c r="D172" s="6" t="s">
        <v>112</v>
      </c>
      <c r="E172" s="6" t="s">
        <v>116</v>
      </c>
      <c r="F172" s="6" t="n">
        <v>4</v>
      </c>
      <c r="G172" s="6" t="n">
        <v>508</v>
      </c>
      <c r="H172" s="6" t="s">
        <v>4331</v>
      </c>
      <c r="I172" s="22" t="n">
        <v>5951500</v>
      </c>
      <c r="J172" s="22" t="n">
        <v>15000</v>
      </c>
      <c r="K172" s="22" t="n">
        <v>447487.5</v>
      </c>
      <c r="L172" s="22" t="n">
        <v>6413987.5</v>
      </c>
      <c r="M172" s="6" t="s">
        <v>171</v>
      </c>
      <c r="N172" s="6" t="s">
        <v>84</v>
      </c>
      <c r="O172" s="6" t="s">
        <v>892</v>
      </c>
      <c r="P172" s="6" t="s">
        <v>85</v>
      </c>
      <c r="Q172" s="6" t="str">
        <f aca="false">IF(P172="pass","No","Yes")</f>
        <v>Yes</v>
      </c>
      <c r="R172" s="6" t="s">
        <v>86</v>
      </c>
      <c r="S172" s="6" t="s">
        <v>892</v>
      </c>
      <c r="T172" s="6" t="s">
        <v>618</v>
      </c>
      <c r="U172" s="23" t="n">
        <v>27.98</v>
      </c>
      <c r="V172" s="6" t="s">
        <v>4332</v>
      </c>
      <c r="W172" s="6" t="s">
        <v>4333</v>
      </c>
      <c r="X172" s="6" t="s">
        <v>4334</v>
      </c>
      <c r="Y172" s="6" t="s">
        <v>86</v>
      </c>
      <c r="Z172" s="6" t="n">
        <v>0</v>
      </c>
      <c r="AA172" s="6" t="n">
        <v>0</v>
      </c>
      <c r="AB172" s="6" t="n">
        <v>0</v>
      </c>
      <c r="AC172" s="6" t="n">
        <v>1</v>
      </c>
      <c r="AD172" s="6" t="n">
        <v>0</v>
      </c>
      <c r="AE172" s="6" t="n">
        <v>0</v>
      </c>
      <c r="AF172" s="6" t="n">
        <v>0</v>
      </c>
      <c r="AG172" s="6" t="n">
        <v>0</v>
      </c>
      <c r="AH172" s="6" t="n">
        <v>0</v>
      </c>
      <c r="AI172" s="6" t="s">
        <v>84</v>
      </c>
    </row>
    <row r="173" customFormat="false" ht="15" hidden="false" customHeight="false" outlineLevel="0" collapsed="false">
      <c r="A173" s="6" t="n">
        <v>172</v>
      </c>
      <c r="B173" s="6" t="s">
        <v>4335</v>
      </c>
      <c r="C173" s="6" t="n">
        <v>4</v>
      </c>
      <c r="D173" s="6" t="s">
        <v>213</v>
      </c>
      <c r="E173" s="6" t="s">
        <v>67</v>
      </c>
      <c r="F173" s="6" t="n">
        <v>2</v>
      </c>
      <c r="G173" s="6" t="n">
        <v>41</v>
      </c>
      <c r="H173" s="6" t="s">
        <v>4336</v>
      </c>
      <c r="I173" s="22" t="n">
        <v>677000</v>
      </c>
      <c r="J173" s="22" t="n">
        <v>4500</v>
      </c>
      <c r="K173" s="22" t="n">
        <v>51112.5</v>
      </c>
      <c r="L173" s="22" t="n">
        <v>732612.5</v>
      </c>
      <c r="M173" s="6" t="s">
        <v>57</v>
      </c>
      <c r="N173" s="6" t="s">
        <v>58</v>
      </c>
      <c r="O173" s="6"/>
      <c r="P173" s="6" t="s">
        <v>69</v>
      </c>
      <c r="Q173" s="6" t="str">
        <f aca="false">IF(P173="pass","No","Yes")</f>
        <v>No</v>
      </c>
      <c r="R173" s="6" t="s">
        <v>60</v>
      </c>
      <c r="S173" s="6"/>
      <c r="T173" s="6"/>
      <c r="U173" s="23" t="n">
        <v>12.305</v>
      </c>
      <c r="V173" s="6" t="s">
        <v>4337</v>
      </c>
      <c r="W173" s="6" t="s">
        <v>4338</v>
      </c>
      <c r="X173" s="6" t="s">
        <v>4339</v>
      </c>
      <c r="Y173" s="6" t="s">
        <v>60</v>
      </c>
      <c r="Z173" s="6" t="n">
        <v>0</v>
      </c>
      <c r="AA173" s="6" t="n">
        <v>0</v>
      </c>
      <c r="AB173" s="6" t="n">
        <v>0</v>
      </c>
      <c r="AC173" s="6" t="n">
        <v>0</v>
      </c>
      <c r="AD173" s="6" t="n">
        <v>0</v>
      </c>
      <c r="AE173" s="6" t="n">
        <v>0</v>
      </c>
      <c r="AF173" s="6" t="n">
        <v>0</v>
      </c>
      <c r="AG173" s="6" t="n">
        <v>0</v>
      </c>
      <c r="AH173" s="6" t="n">
        <v>0</v>
      </c>
      <c r="AI173" s="6" t="s">
        <v>84</v>
      </c>
    </row>
    <row r="174" customFormat="false" ht="15" hidden="false" customHeight="false" outlineLevel="0" collapsed="false">
      <c r="A174" s="6" t="n">
        <v>173</v>
      </c>
      <c r="B174" s="6" t="s">
        <v>4340</v>
      </c>
      <c r="C174" s="6" t="n">
        <v>4</v>
      </c>
      <c r="D174" s="6" t="s">
        <v>213</v>
      </c>
      <c r="E174" s="6" t="s">
        <v>67</v>
      </c>
      <c r="F174" s="6" t="n">
        <v>3</v>
      </c>
      <c r="G174" s="6" t="n">
        <v>234</v>
      </c>
      <c r="H174" s="6" t="s">
        <v>4341</v>
      </c>
      <c r="I174" s="22" t="n">
        <v>2070400</v>
      </c>
      <c r="J174" s="22" t="n">
        <v>4500</v>
      </c>
      <c r="K174" s="22" t="n">
        <v>155617.5</v>
      </c>
      <c r="L174" s="22" t="n">
        <v>2230517.5</v>
      </c>
      <c r="M174" s="6" t="s">
        <v>57</v>
      </c>
      <c r="N174" s="6" t="s">
        <v>58</v>
      </c>
      <c r="O174" s="6"/>
      <c r="P174" s="6" t="s">
        <v>59</v>
      </c>
      <c r="Q174" s="6" t="str">
        <f aca="false">IF(P174="pass","No","Yes")</f>
        <v>Yes</v>
      </c>
      <c r="R174" s="6" t="s">
        <v>60</v>
      </c>
      <c r="S174" s="6" t="s">
        <v>915</v>
      </c>
      <c r="T174" s="6" t="s">
        <v>4342</v>
      </c>
      <c r="U174" s="23" t="n">
        <v>25.308</v>
      </c>
      <c r="V174" s="6" t="s">
        <v>4343</v>
      </c>
      <c r="W174" s="6" t="s">
        <v>4344</v>
      </c>
      <c r="X174" s="6" t="s">
        <v>4345</v>
      </c>
      <c r="Y174" s="6" t="s">
        <v>60</v>
      </c>
      <c r="Z174" s="6" t="n">
        <v>0</v>
      </c>
      <c r="AA174" s="6" t="n">
        <v>0</v>
      </c>
      <c r="AB174" s="6" t="n">
        <v>0</v>
      </c>
      <c r="AC174" s="6" t="n">
        <v>0</v>
      </c>
      <c r="AD174" s="6" t="n">
        <v>0</v>
      </c>
      <c r="AE174" s="6" t="n">
        <v>0</v>
      </c>
      <c r="AF174" s="6" t="n">
        <v>0</v>
      </c>
      <c r="AG174" s="6" t="n">
        <v>0</v>
      </c>
      <c r="AH174" s="6" t="n">
        <v>1</v>
      </c>
      <c r="AI174" s="6" t="s">
        <v>84</v>
      </c>
    </row>
    <row r="175" customFormat="false" ht="15" hidden="false" customHeight="false" outlineLevel="0" collapsed="false">
      <c r="A175" s="6" t="n">
        <v>174</v>
      </c>
      <c r="B175" s="6" t="s">
        <v>4346</v>
      </c>
      <c r="C175" s="6" t="n">
        <v>4</v>
      </c>
      <c r="D175" s="6" t="s">
        <v>177</v>
      </c>
      <c r="E175" s="6" t="s">
        <v>81</v>
      </c>
      <c r="F175" s="6" t="n">
        <v>3</v>
      </c>
      <c r="G175" s="6" t="n">
        <v>62</v>
      </c>
      <c r="H175" s="6" t="s">
        <v>4347</v>
      </c>
      <c r="I175" s="22" t="n">
        <v>1355000</v>
      </c>
      <c r="J175" s="22" t="n">
        <v>4000</v>
      </c>
      <c r="K175" s="22" t="n">
        <v>101925</v>
      </c>
      <c r="L175" s="22" t="n">
        <v>1460925</v>
      </c>
      <c r="M175" s="6" t="s">
        <v>57</v>
      </c>
      <c r="N175" s="6" t="s">
        <v>58</v>
      </c>
      <c r="O175" s="6"/>
      <c r="P175" s="6" t="s">
        <v>69</v>
      </c>
      <c r="Q175" s="6" t="str">
        <f aca="false">IF(P175="pass","No","Yes")</f>
        <v>No</v>
      </c>
      <c r="R175" s="6" t="s">
        <v>60</v>
      </c>
      <c r="S175" s="6"/>
      <c r="T175" s="6"/>
      <c r="U175" s="23" t="n">
        <v>17.98</v>
      </c>
      <c r="V175" s="6" t="s">
        <v>4348</v>
      </c>
      <c r="W175" s="6" t="s">
        <v>4349</v>
      </c>
      <c r="X175" s="6" t="s">
        <v>4350</v>
      </c>
      <c r="Y175" s="6" t="s">
        <v>60</v>
      </c>
      <c r="Z175" s="6" t="n">
        <v>0</v>
      </c>
      <c r="AA175" s="6" t="n">
        <v>0</v>
      </c>
      <c r="AB175" s="6" t="n">
        <v>0</v>
      </c>
      <c r="AC175" s="6" t="n">
        <v>0</v>
      </c>
      <c r="AD175" s="6" t="n">
        <v>0</v>
      </c>
      <c r="AE175" s="6" t="n">
        <v>0</v>
      </c>
      <c r="AF175" s="6" t="n">
        <v>0</v>
      </c>
      <c r="AG175" s="6" t="n">
        <v>0</v>
      </c>
      <c r="AH175" s="6" t="n">
        <v>0</v>
      </c>
      <c r="AI175" s="6" t="s">
        <v>84</v>
      </c>
    </row>
    <row r="176" customFormat="false" ht="15" hidden="false" customHeight="false" outlineLevel="0" collapsed="false">
      <c r="A176" s="6" t="n">
        <v>175</v>
      </c>
      <c r="B176" s="6" t="s">
        <v>4351</v>
      </c>
      <c r="C176" s="6" t="n">
        <v>4</v>
      </c>
      <c r="D176" s="6" t="s">
        <v>105</v>
      </c>
      <c r="E176" s="6" t="s">
        <v>81</v>
      </c>
      <c r="F176" s="6" t="n">
        <v>2</v>
      </c>
      <c r="G176" s="6" t="n">
        <v>11</v>
      </c>
      <c r="H176" s="6" t="s">
        <v>4352</v>
      </c>
      <c r="I176" s="22" t="n">
        <v>390000</v>
      </c>
      <c r="J176" s="22" t="n">
        <v>4000</v>
      </c>
      <c r="K176" s="22" t="n">
        <v>29550</v>
      </c>
      <c r="L176" s="22" t="n">
        <v>423550</v>
      </c>
      <c r="M176" s="6" t="s">
        <v>57</v>
      </c>
      <c r="N176" s="6" t="s">
        <v>58</v>
      </c>
      <c r="O176" s="6"/>
      <c r="P176" s="6" t="s">
        <v>69</v>
      </c>
      <c r="Q176" s="6" t="str">
        <f aca="false">IF(P176="pass","No","Yes")</f>
        <v>No</v>
      </c>
      <c r="R176" s="6" t="s">
        <v>60</v>
      </c>
      <c r="S176" s="6"/>
      <c r="T176" s="6"/>
      <c r="U176" s="23" t="n">
        <v>12.443</v>
      </c>
      <c r="V176" s="6" t="s">
        <v>4353</v>
      </c>
      <c r="W176" s="6" t="s">
        <v>4354</v>
      </c>
      <c r="X176" s="6" t="s">
        <v>4355</v>
      </c>
      <c r="Y176" s="6" t="s">
        <v>60</v>
      </c>
      <c r="Z176" s="6" t="n">
        <v>0</v>
      </c>
      <c r="AA176" s="6" t="n">
        <v>0</v>
      </c>
      <c r="AB176" s="6" t="n">
        <v>0</v>
      </c>
      <c r="AC176" s="6" t="n">
        <v>0</v>
      </c>
      <c r="AD176" s="6" t="n">
        <v>0</v>
      </c>
      <c r="AE176" s="6" t="n">
        <v>0</v>
      </c>
      <c r="AF176" s="6" t="n">
        <v>0</v>
      </c>
      <c r="AG176" s="6" t="n">
        <v>0</v>
      </c>
      <c r="AH176" s="6" t="n">
        <v>0</v>
      </c>
      <c r="AI176" s="6" t="s">
        <v>84</v>
      </c>
    </row>
    <row r="177" customFormat="false" ht="15" hidden="false" customHeight="false" outlineLevel="0" collapsed="false">
      <c r="A177" s="6" t="n">
        <v>176</v>
      </c>
      <c r="B177" s="6" t="s">
        <v>4356</v>
      </c>
      <c r="C177" s="6" t="n">
        <v>4</v>
      </c>
      <c r="D177" s="6" t="s">
        <v>105</v>
      </c>
      <c r="E177" s="6" t="s">
        <v>81</v>
      </c>
      <c r="F177" s="6" t="n">
        <v>2</v>
      </c>
      <c r="G177" s="6" t="n">
        <v>125</v>
      </c>
      <c r="H177" s="6" t="s">
        <v>4357</v>
      </c>
      <c r="I177" s="22" t="n">
        <v>1077800</v>
      </c>
      <c r="J177" s="22" t="n">
        <v>4000</v>
      </c>
      <c r="K177" s="22" t="n">
        <v>81135</v>
      </c>
      <c r="L177" s="22" t="n">
        <v>1162935</v>
      </c>
      <c r="M177" s="6" t="s">
        <v>132</v>
      </c>
      <c r="N177" s="6" t="s">
        <v>84</v>
      </c>
      <c r="O177" s="6" t="s">
        <v>879</v>
      </c>
      <c r="P177" s="6" t="s">
        <v>85</v>
      </c>
      <c r="Q177" s="6" t="str">
        <f aca="false">IF(P177="pass","No","Yes")</f>
        <v>Yes</v>
      </c>
      <c r="R177" s="6" t="s">
        <v>86</v>
      </c>
      <c r="S177" s="6" t="s">
        <v>3637</v>
      </c>
      <c r="T177" s="6" t="s">
        <v>4358</v>
      </c>
      <c r="U177" s="23" t="n">
        <v>17.48</v>
      </c>
      <c r="V177" s="6" t="s">
        <v>4359</v>
      </c>
      <c r="W177" s="6" t="s">
        <v>4360</v>
      </c>
      <c r="X177" s="6" t="s">
        <v>4361</v>
      </c>
      <c r="Y177" s="6" t="s">
        <v>86</v>
      </c>
      <c r="Z177" s="6" t="n">
        <v>0</v>
      </c>
      <c r="AA177" s="6" t="n">
        <v>1</v>
      </c>
      <c r="AB177" s="6" t="n">
        <v>0</v>
      </c>
      <c r="AC177" s="6" t="n">
        <v>1</v>
      </c>
      <c r="AD177" s="6" t="n">
        <v>0</v>
      </c>
      <c r="AE177" s="6" t="n">
        <v>0</v>
      </c>
      <c r="AF177" s="6" t="n">
        <v>0</v>
      </c>
      <c r="AG177" s="6" t="n">
        <v>0</v>
      </c>
      <c r="AH177" s="6" t="n">
        <v>1</v>
      </c>
      <c r="AI177" s="6" t="s">
        <v>84</v>
      </c>
    </row>
    <row r="178" customFormat="false" ht="15" hidden="false" customHeight="false" outlineLevel="0" collapsed="false">
      <c r="A178" s="6" t="n">
        <v>177</v>
      </c>
      <c r="B178" s="6" t="s">
        <v>4362</v>
      </c>
      <c r="C178" s="6" t="n">
        <v>4</v>
      </c>
      <c r="D178" s="6" t="s">
        <v>89</v>
      </c>
      <c r="E178" s="6" t="s">
        <v>67</v>
      </c>
      <c r="F178" s="6" t="n">
        <v>3</v>
      </c>
      <c r="G178" s="6" t="n">
        <v>118</v>
      </c>
      <c r="H178" s="6" t="s">
        <v>4363</v>
      </c>
      <c r="I178" s="22" t="n">
        <v>1586000</v>
      </c>
      <c r="J178" s="22" t="n">
        <v>4500</v>
      </c>
      <c r="K178" s="22" t="n">
        <v>119287.5</v>
      </c>
      <c r="L178" s="22" t="n">
        <v>1709787.5</v>
      </c>
      <c r="M178" s="6" t="s">
        <v>57</v>
      </c>
      <c r="N178" s="6" t="s">
        <v>58</v>
      </c>
      <c r="O178" s="6"/>
      <c r="P178" s="6" t="s">
        <v>59</v>
      </c>
      <c r="Q178" s="6" t="str">
        <f aca="false">IF(P178="pass","No","Yes")</f>
        <v>Yes</v>
      </c>
      <c r="R178" s="6" t="s">
        <v>60</v>
      </c>
      <c r="S178" s="6" t="s">
        <v>915</v>
      </c>
      <c r="T178" s="6" t="s">
        <v>292</v>
      </c>
      <c r="U178" s="23" t="n">
        <v>25.278</v>
      </c>
      <c r="V178" s="6" t="s">
        <v>4364</v>
      </c>
      <c r="W178" s="6" t="s">
        <v>4365</v>
      </c>
      <c r="X178" s="6" t="s">
        <v>4366</v>
      </c>
      <c r="Y178" s="6" t="s">
        <v>60</v>
      </c>
      <c r="Z178" s="6" t="n">
        <v>0</v>
      </c>
      <c r="AA178" s="6" t="n">
        <v>0</v>
      </c>
      <c r="AB178" s="6" t="n">
        <v>0</v>
      </c>
      <c r="AC178" s="6" t="n">
        <v>0</v>
      </c>
      <c r="AD178" s="6" t="n">
        <v>0</v>
      </c>
      <c r="AE178" s="6" t="n">
        <v>0</v>
      </c>
      <c r="AF178" s="6" t="n">
        <v>0</v>
      </c>
      <c r="AG178" s="6" t="n">
        <v>0</v>
      </c>
      <c r="AH178" s="6" t="n">
        <v>1</v>
      </c>
      <c r="AI178" s="6" t="s">
        <v>84</v>
      </c>
    </row>
    <row r="179" customFormat="false" ht="15" hidden="false" customHeight="false" outlineLevel="0" collapsed="false">
      <c r="A179" s="6" t="n">
        <v>178</v>
      </c>
      <c r="B179" s="6" t="s">
        <v>4367</v>
      </c>
      <c r="C179" s="6" t="n">
        <v>4</v>
      </c>
      <c r="D179" s="6" t="s">
        <v>213</v>
      </c>
      <c r="E179" s="6" t="s">
        <v>67</v>
      </c>
      <c r="F179" s="6" t="n">
        <v>2</v>
      </c>
      <c r="G179" s="6" t="n">
        <v>11</v>
      </c>
      <c r="H179" s="6" t="s">
        <v>4368</v>
      </c>
      <c r="I179" s="22" t="n">
        <v>93700</v>
      </c>
      <c r="J179" s="22" t="n">
        <v>4500</v>
      </c>
      <c r="K179" s="22" t="n">
        <v>7365</v>
      </c>
      <c r="L179" s="22" t="n">
        <v>105565</v>
      </c>
      <c r="M179" s="6" t="s">
        <v>83</v>
      </c>
      <c r="N179" s="6" t="s">
        <v>84</v>
      </c>
      <c r="O179" s="6" t="s">
        <v>886</v>
      </c>
      <c r="P179" s="6" t="s">
        <v>85</v>
      </c>
      <c r="Q179" s="6" t="str">
        <f aca="false">IF(P179="pass","No","Yes")</f>
        <v>Yes</v>
      </c>
      <c r="R179" s="6" t="s">
        <v>86</v>
      </c>
      <c r="S179" s="6" t="s">
        <v>886</v>
      </c>
      <c r="T179" s="6" t="s">
        <v>88</v>
      </c>
      <c r="U179" s="23" t="n">
        <v>19.888</v>
      </c>
      <c r="V179" s="6" t="s">
        <v>4369</v>
      </c>
      <c r="W179" s="6" t="s">
        <v>4370</v>
      </c>
      <c r="X179" s="6" t="s">
        <v>4371</v>
      </c>
      <c r="Y179" s="6" t="s">
        <v>86</v>
      </c>
      <c r="Z179" s="6" t="n">
        <v>0</v>
      </c>
      <c r="AA179" s="6" t="n">
        <v>0</v>
      </c>
      <c r="AB179" s="6" t="n">
        <v>1</v>
      </c>
      <c r="AC179" s="6" t="n">
        <v>0</v>
      </c>
      <c r="AD179" s="6" t="n">
        <v>0</v>
      </c>
      <c r="AE179" s="6" t="n">
        <v>0</v>
      </c>
      <c r="AF179" s="6" t="n">
        <v>0</v>
      </c>
      <c r="AG179" s="6" t="n">
        <v>0</v>
      </c>
      <c r="AH179" s="6" t="n">
        <v>0</v>
      </c>
      <c r="AI179" s="6" t="s">
        <v>84</v>
      </c>
    </row>
    <row r="180" customFormat="false" ht="15" hidden="false" customHeight="false" outlineLevel="0" collapsed="false">
      <c r="A180" s="6" t="n">
        <v>179</v>
      </c>
      <c r="B180" s="6" t="s">
        <v>4372</v>
      </c>
      <c r="C180" s="6" t="n">
        <v>4</v>
      </c>
      <c r="D180" s="6" t="s">
        <v>166</v>
      </c>
      <c r="E180" s="6" t="s">
        <v>74</v>
      </c>
      <c r="F180" s="6" t="n">
        <v>2</v>
      </c>
      <c r="G180" s="6" t="n">
        <v>11</v>
      </c>
      <c r="H180" s="6" t="s">
        <v>4373</v>
      </c>
      <c r="I180" s="22" t="n">
        <v>341000</v>
      </c>
      <c r="J180" s="22" t="n">
        <v>9000</v>
      </c>
      <c r="K180" s="22" t="n">
        <v>26250</v>
      </c>
      <c r="L180" s="22" t="n">
        <v>376250</v>
      </c>
      <c r="M180" s="6" t="s">
        <v>272</v>
      </c>
      <c r="N180" s="6" t="s">
        <v>84</v>
      </c>
      <c r="O180" s="6" t="s">
        <v>879</v>
      </c>
      <c r="P180" s="6" t="s">
        <v>85</v>
      </c>
      <c r="Q180" s="6" t="str">
        <f aca="false">IF(P180="pass","No","Yes")</f>
        <v>Yes</v>
      </c>
      <c r="R180" s="6" t="s">
        <v>86</v>
      </c>
      <c r="S180" s="6" t="s">
        <v>879</v>
      </c>
      <c r="T180" s="6" t="s">
        <v>4374</v>
      </c>
      <c r="U180" s="23" t="n">
        <v>7.798</v>
      </c>
      <c r="V180" s="6" t="s">
        <v>4375</v>
      </c>
      <c r="W180" s="6" t="s">
        <v>4376</v>
      </c>
      <c r="X180" s="6" t="s">
        <v>4377</v>
      </c>
      <c r="Y180" s="6" t="s">
        <v>86</v>
      </c>
      <c r="Z180" s="6" t="n">
        <v>0</v>
      </c>
      <c r="AA180" s="6" t="n">
        <v>1</v>
      </c>
      <c r="AB180" s="6" t="n">
        <v>0</v>
      </c>
      <c r="AC180" s="6" t="n">
        <v>0</v>
      </c>
      <c r="AD180" s="6" t="n">
        <v>0</v>
      </c>
      <c r="AE180" s="6" t="n">
        <v>0</v>
      </c>
      <c r="AF180" s="6" t="n">
        <v>0</v>
      </c>
      <c r="AG180" s="6" t="n">
        <v>0</v>
      </c>
      <c r="AH180" s="6" t="n">
        <v>0</v>
      </c>
      <c r="AI180" s="6" t="s">
        <v>84</v>
      </c>
    </row>
    <row r="181" customFormat="false" ht="15" hidden="false" customHeight="false" outlineLevel="0" collapsed="false">
      <c r="A181" s="6" t="n">
        <v>180</v>
      </c>
      <c r="B181" s="6" t="s">
        <v>4378</v>
      </c>
      <c r="C181" s="6" t="n">
        <v>4</v>
      </c>
      <c r="D181" s="6" t="s">
        <v>191</v>
      </c>
      <c r="E181" s="6" t="s">
        <v>116</v>
      </c>
      <c r="F181" s="6" t="n">
        <v>3</v>
      </c>
      <c r="G181" s="6" t="n">
        <v>80</v>
      </c>
      <c r="H181" s="6" t="s">
        <v>4379</v>
      </c>
      <c r="I181" s="22" t="n">
        <v>1730400</v>
      </c>
      <c r="J181" s="22" t="n">
        <v>15000</v>
      </c>
      <c r="K181" s="22" t="n">
        <v>130905</v>
      </c>
      <c r="L181" s="22" t="n">
        <v>1876305</v>
      </c>
      <c r="M181" s="6" t="s">
        <v>57</v>
      </c>
      <c r="N181" s="6" t="s">
        <v>58</v>
      </c>
      <c r="O181" s="6"/>
      <c r="P181" s="6" t="s">
        <v>69</v>
      </c>
      <c r="Q181" s="6" t="str">
        <f aca="false">IF(P181="pass","No","Yes")</f>
        <v>No</v>
      </c>
      <c r="R181" s="6" t="s">
        <v>60</v>
      </c>
      <c r="S181" s="6"/>
      <c r="T181" s="6"/>
      <c r="U181" s="23" t="n">
        <v>16.848</v>
      </c>
      <c r="V181" s="6" t="s">
        <v>4380</v>
      </c>
      <c r="W181" s="6" t="s">
        <v>4381</v>
      </c>
      <c r="X181" s="6" t="s">
        <v>4382</v>
      </c>
      <c r="Y181" s="6" t="s">
        <v>60</v>
      </c>
      <c r="Z181" s="6" t="n">
        <v>0</v>
      </c>
      <c r="AA181" s="6" t="n">
        <v>0</v>
      </c>
      <c r="AB181" s="6" t="n">
        <v>0</v>
      </c>
      <c r="AC181" s="6" t="n">
        <v>0</v>
      </c>
      <c r="AD181" s="6" t="n">
        <v>0</v>
      </c>
      <c r="AE181" s="6" t="n">
        <v>0</v>
      </c>
      <c r="AF181" s="6" t="n">
        <v>0</v>
      </c>
      <c r="AG181" s="6" t="n">
        <v>0</v>
      </c>
      <c r="AH181" s="6" t="n">
        <v>0</v>
      </c>
      <c r="AI181" s="6" t="s">
        <v>84</v>
      </c>
    </row>
    <row r="182" customFormat="false" ht="15" hidden="false" customHeight="false" outlineLevel="0" collapsed="false">
      <c r="A182" s="6" t="n">
        <v>181</v>
      </c>
      <c r="B182" s="6" t="s">
        <v>4383</v>
      </c>
      <c r="C182" s="6" t="n">
        <v>4</v>
      </c>
      <c r="D182" s="6" t="s">
        <v>105</v>
      </c>
      <c r="E182" s="6" t="s">
        <v>81</v>
      </c>
      <c r="F182" s="6" t="n">
        <v>3</v>
      </c>
      <c r="G182" s="6" t="n">
        <v>33</v>
      </c>
      <c r="H182" s="6" t="s">
        <v>4384</v>
      </c>
      <c r="I182" s="22" t="n">
        <v>756200</v>
      </c>
      <c r="J182" s="22" t="n">
        <v>4000</v>
      </c>
      <c r="K182" s="22" t="n">
        <v>57015</v>
      </c>
      <c r="L182" s="22" t="n">
        <v>817215</v>
      </c>
      <c r="M182" s="6" t="s">
        <v>57</v>
      </c>
      <c r="N182" s="6" t="s">
        <v>58</v>
      </c>
      <c r="O182" s="6"/>
      <c r="P182" s="6" t="s">
        <v>69</v>
      </c>
      <c r="Q182" s="6" t="str">
        <f aca="false">IF(P182="pass","No","Yes")</f>
        <v>No</v>
      </c>
      <c r="R182" s="6" t="s">
        <v>60</v>
      </c>
      <c r="S182" s="6"/>
      <c r="T182" s="6"/>
      <c r="U182" s="23" t="n">
        <v>17.937</v>
      </c>
      <c r="V182" s="6" t="s">
        <v>4385</v>
      </c>
      <c r="W182" s="6" t="s">
        <v>4386</v>
      </c>
      <c r="X182" s="6" t="s">
        <v>4387</v>
      </c>
      <c r="Y182" s="6" t="s">
        <v>60</v>
      </c>
      <c r="Z182" s="6" t="n">
        <v>0</v>
      </c>
      <c r="AA182" s="6" t="n">
        <v>0</v>
      </c>
      <c r="AB182" s="6" t="n">
        <v>0</v>
      </c>
      <c r="AC182" s="6" t="n">
        <v>0</v>
      </c>
      <c r="AD182" s="6" t="n">
        <v>0</v>
      </c>
      <c r="AE182" s="6" t="n">
        <v>0</v>
      </c>
      <c r="AF182" s="6" t="n">
        <v>0</v>
      </c>
      <c r="AG182" s="6" t="n">
        <v>0</v>
      </c>
      <c r="AH182" s="6" t="n">
        <v>0</v>
      </c>
      <c r="AI182" s="6" t="s">
        <v>84</v>
      </c>
    </row>
    <row r="183" customFormat="false" ht="15" hidden="false" customHeight="false" outlineLevel="0" collapsed="false">
      <c r="A183" s="6" t="n">
        <v>182</v>
      </c>
      <c r="B183" s="6" t="s">
        <v>4388</v>
      </c>
      <c r="C183" s="6" t="n">
        <v>4</v>
      </c>
      <c r="D183" s="6" t="s">
        <v>51</v>
      </c>
      <c r="E183" s="6" t="s">
        <v>55</v>
      </c>
      <c r="F183" s="6" t="n">
        <v>2</v>
      </c>
      <c r="G183" s="6" t="n">
        <v>54</v>
      </c>
      <c r="H183" s="6" t="s">
        <v>4389</v>
      </c>
      <c r="I183" s="22" t="n">
        <v>464400</v>
      </c>
      <c r="J183" s="22" t="n">
        <v>6000</v>
      </c>
      <c r="K183" s="22" t="n">
        <v>35280</v>
      </c>
      <c r="L183" s="22" t="n">
        <v>505680</v>
      </c>
      <c r="M183" s="6" t="s">
        <v>152</v>
      </c>
      <c r="N183" s="6" t="s">
        <v>84</v>
      </c>
      <c r="O183" s="6" t="s">
        <v>886</v>
      </c>
      <c r="P183" s="6" t="s">
        <v>85</v>
      </c>
      <c r="Q183" s="6" t="str">
        <f aca="false">IF(P183="pass","No","Yes")</f>
        <v>Yes</v>
      </c>
      <c r="R183" s="6" t="s">
        <v>86</v>
      </c>
      <c r="S183" s="6" t="s">
        <v>886</v>
      </c>
      <c r="T183" s="6" t="s">
        <v>322</v>
      </c>
      <c r="U183" s="23" t="n">
        <v>8.944</v>
      </c>
      <c r="V183" s="6" t="s">
        <v>4390</v>
      </c>
      <c r="W183" s="6" t="s">
        <v>4391</v>
      </c>
      <c r="X183" s="6" t="s">
        <v>4392</v>
      </c>
      <c r="Y183" s="6" t="s">
        <v>86</v>
      </c>
      <c r="Z183" s="6" t="n">
        <v>0</v>
      </c>
      <c r="AA183" s="6" t="n">
        <v>0</v>
      </c>
      <c r="AB183" s="6" t="n">
        <v>1</v>
      </c>
      <c r="AC183" s="6" t="n">
        <v>0</v>
      </c>
      <c r="AD183" s="6" t="n">
        <v>0</v>
      </c>
      <c r="AE183" s="6" t="n">
        <v>0</v>
      </c>
      <c r="AF183" s="6" t="n">
        <v>0</v>
      </c>
      <c r="AG183" s="6" t="n">
        <v>0</v>
      </c>
      <c r="AH183" s="6" t="n">
        <v>0</v>
      </c>
      <c r="AI183" s="6" t="s">
        <v>84</v>
      </c>
    </row>
    <row r="184" customFormat="false" ht="15" hidden="false" customHeight="false" outlineLevel="0" collapsed="false">
      <c r="A184" s="6" t="n">
        <v>183</v>
      </c>
      <c r="B184" s="6" t="s">
        <v>4393</v>
      </c>
      <c r="C184" s="6" t="n">
        <v>4</v>
      </c>
      <c r="D184" s="6" t="s">
        <v>191</v>
      </c>
      <c r="E184" s="6" t="s">
        <v>116</v>
      </c>
      <c r="F184" s="6" t="n">
        <v>2</v>
      </c>
      <c r="G184" s="6" t="n">
        <v>59</v>
      </c>
      <c r="H184" s="6" t="s">
        <v>4394</v>
      </c>
      <c r="I184" s="22" t="n">
        <v>773000</v>
      </c>
      <c r="J184" s="22" t="n">
        <v>15000</v>
      </c>
      <c r="K184" s="22" t="n">
        <v>59100</v>
      </c>
      <c r="L184" s="22" t="n">
        <v>847100</v>
      </c>
      <c r="M184" s="6" t="s">
        <v>960</v>
      </c>
      <c r="N184" s="6" t="s">
        <v>84</v>
      </c>
      <c r="O184" s="6" t="s">
        <v>961</v>
      </c>
      <c r="P184" s="6" t="s">
        <v>85</v>
      </c>
      <c r="Q184" s="6" t="str">
        <f aca="false">IF(P184="pass","No","Yes")</f>
        <v>Yes</v>
      </c>
      <c r="R184" s="6" t="s">
        <v>86</v>
      </c>
      <c r="S184" s="6" t="s">
        <v>961</v>
      </c>
      <c r="T184" s="6" t="s">
        <v>962</v>
      </c>
      <c r="U184" s="23" t="n">
        <v>12.505</v>
      </c>
      <c r="V184" s="6" t="s">
        <v>4395</v>
      </c>
      <c r="W184" s="6" t="s">
        <v>4396</v>
      </c>
      <c r="X184" s="6" t="s">
        <v>4397</v>
      </c>
      <c r="Y184" s="6" t="s">
        <v>86</v>
      </c>
      <c r="Z184" s="6" t="n">
        <v>0</v>
      </c>
      <c r="AA184" s="6" t="n">
        <v>0</v>
      </c>
      <c r="AB184" s="6" t="n">
        <v>0</v>
      </c>
      <c r="AC184" s="6" t="n">
        <v>0</v>
      </c>
      <c r="AD184" s="6" t="n">
        <v>1</v>
      </c>
      <c r="AE184" s="6" t="n">
        <v>0</v>
      </c>
      <c r="AF184" s="6" t="n">
        <v>0</v>
      </c>
      <c r="AG184" s="6" t="n">
        <v>0</v>
      </c>
      <c r="AH184" s="6" t="n">
        <v>0</v>
      </c>
      <c r="AI184" s="6" t="s">
        <v>84</v>
      </c>
    </row>
    <row r="185" customFormat="false" ht="15" hidden="false" customHeight="false" outlineLevel="0" collapsed="false">
      <c r="A185" s="6" t="n">
        <v>184</v>
      </c>
      <c r="B185" s="6" t="s">
        <v>4398</v>
      </c>
      <c r="C185" s="6" t="n">
        <v>4</v>
      </c>
      <c r="D185" s="6" t="s">
        <v>89</v>
      </c>
      <c r="E185" s="6" t="s">
        <v>67</v>
      </c>
      <c r="F185" s="6" t="n">
        <v>2</v>
      </c>
      <c r="G185" s="6" t="n">
        <v>48</v>
      </c>
      <c r="H185" s="6" t="s">
        <v>4399</v>
      </c>
      <c r="I185" s="22" t="n">
        <v>803500</v>
      </c>
      <c r="J185" s="22" t="n">
        <v>4500</v>
      </c>
      <c r="K185" s="22" t="n">
        <v>60600</v>
      </c>
      <c r="L185" s="22" t="n">
        <v>868600</v>
      </c>
      <c r="M185" s="6" t="s">
        <v>57</v>
      </c>
      <c r="N185" s="6" t="s">
        <v>58</v>
      </c>
      <c r="O185" s="6"/>
      <c r="P185" s="6" t="s">
        <v>69</v>
      </c>
      <c r="Q185" s="6" t="str">
        <f aca="false">IF(P185="pass","No","Yes")</f>
        <v>No</v>
      </c>
      <c r="R185" s="6" t="s">
        <v>60</v>
      </c>
      <c r="S185" s="6"/>
      <c r="T185" s="6"/>
      <c r="U185" s="23" t="n">
        <v>14.203</v>
      </c>
      <c r="V185" s="6" t="s">
        <v>4400</v>
      </c>
      <c r="W185" s="6" t="s">
        <v>4401</v>
      </c>
      <c r="X185" s="6" t="s">
        <v>4402</v>
      </c>
      <c r="Y185" s="6" t="s">
        <v>60</v>
      </c>
      <c r="Z185" s="6" t="n">
        <v>0</v>
      </c>
      <c r="AA185" s="6" t="n">
        <v>0</v>
      </c>
      <c r="AB185" s="6" t="n">
        <v>0</v>
      </c>
      <c r="AC185" s="6" t="n">
        <v>0</v>
      </c>
      <c r="AD185" s="6" t="n">
        <v>0</v>
      </c>
      <c r="AE185" s="6" t="n">
        <v>0</v>
      </c>
      <c r="AF185" s="6" t="n">
        <v>0</v>
      </c>
      <c r="AG185" s="6" t="n">
        <v>0</v>
      </c>
      <c r="AH185" s="6" t="n">
        <v>0</v>
      </c>
      <c r="AI185" s="6" t="s">
        <v>84</v>
      </c>
    </row>
    <row r="186" customFormat="false" ht="15" hidden="false" customHeight="false" outlineLevel="0" collapsed="false">
      <c r="A186" s="6" t="n">
        <v>185</v>
      </c>
      <c r="B186" s="6" t="s">
        <v>4403</v>
      </c>
      <c r="C186" s="6" t="n">
        <v>4</v>
      </c>
      <c r="D186" s="6" t="s">
        <v>100</v>
      </c>
      <c r="E186" s="6" t="s">
        <v>67</v>
      </c>
      <c r="F186" s="6" t="n">
        <v>2</v>
      </c>
      <c r="G186" s="6" t="n">
        <v>131</v>
      </c>
      <c r="H186" s="6" t="s">
        <v>4404</v>
      </c>
      <c r="I186" s="22" t="n">
        <v>1256000</v>
      </c>
      <c r="J186" s="22" t="n">
        <v>4500</v>
      </c>
      <c r="K186" s="22" t="n">
        <v>94537.5</v>
      </c>
      <c r="L186" s="22" t="n">
        <v>1355037.5</v>
      </c>
      <c r="M186" s="6" t="s">
        <v>57</v>
      </c>
      <c r="N186" s="6" t="s">
        <v>58</v>
      </c>
      <c r="O186" s="6"/>
      <c r="P186" s="6" t="s">
        <v>69</v>
      </c>
      <c r="Q186" s="6" t="str">
        <f aca="false">IF(P186="pass","No","Yes")</f>
        <v>No</v>
      </c>
      <c r="R186" s="6" t="s">
        <v>60</v>
      </c>
      <c r="S186" s="6"/>
      <c r="T186" s="6"/>
      <c r="U186" s="23" t="n">
        <v>22.015</v>
      </c>
      <c r="V186" s="6" t="s">
        <v>4405</v>
      </c>
      <c r="W186" s="6" t="s">
        <v>4406</v>
      </c>
      <c r="X186" s="6" t="s">
        <v>4407</v>
      </c>
      <c r="Y186" s="6" t="s">
        <v>60</v>
      </c>
      <c r="Z186" s="6" t="n">
        <v>0</v>
      </c>
      <c r="AA186" s="6" t="n">
        <v>0</v>
      </c>
      <c r="AB186" s="6" t="n">
        <v>0</v>
      </c>
      <c r="AC186" s="6" t="n">
        <v>0</v>
      </c>
      <c r="AD186" s="6" t="n">
        <v>0</v>
      </c>
      <c r="AE186" s="6" t="n">
        <v>0</v>
      </c>
      <c r="AF186" s="6" t="n">
        <v>0</v>
      </c>
      <c r="AG186" s="6" t="n">
        <v>0</v>
      </c>
      <c r="AH186" s="6" t="n">
        <v>0</v>
      </c>
      <c r="AI186" s="6" t="s">
        <v>84</v>
      </c>
    </row>
    <row r="187" customFormat="false" ht="15" hidden="false" customHeight="false" outlineLevel="0" collapsed="false">
      <c r="A187" s="6" t="n">
        <v>186</v>
      </c>
      <c r="B187" s="6" t="s">
        <v>4408</v>
      </c>
      <c r="C187" s="6" t="n">
        <v>4</v>
      </c>
      <c r="D187" s="6" t="s">
        <v>100</v>
      </c>
      <c r="E187" s="6" t="s">
        <v>67</v>
      </c>
      <c r="F187" s="6" t="n">
        <v>2</v>
      </c>
      <c r="G187" s="6" t="n">
        <v>52</v>
      </c>
      <c r="H187" s="6" t="s">
        <v>4409</v>
      </c>
      <c r="I187" s="22" t="n">
        <v>718400</v>
      </c>
      <c r="J187" s="22" t="n">
        <v>4500</v>
      </c>
      <c r="K187" s="22" t="n">
        <v>54217.5</v>
      </c>
      <c r="L187" s="22" t="n">
        <v>777117.5</v>
      </c>
      <c r="M187" s="6" t="s">
        <v>984</v>
      </c>
      <c r="N187" s="6" t="s">
        <v>84</v>
      </c>
      <c r="O187" s="6" t="s">
        <v>985</v>
      </c>
      <c r="P187" s="6" t="s">
        <v>85</v>
      </c>
      <c r="Q187" s="6" t="str">
        <f aca="false">IF(P187="pass","No","Yes")</f>
        <v>Yes</v>
      </c>
      <c r="R187" s="6" t="s">
        <v>86</v>
      </c>
      <c r="S187" s="6" t="s">
        <v>985</v>
      </c>
      <c r="T187" s="6" t="s">
        <v>1152</v>
      </c>
      <c r="U187" s="23" t="n">
        <v>13.179</v>
      </c>
      <c r="V187" s="6" t="s">
        <v>4410</v>
      </c>
      <c r="W187" s="6" t="s">
        <v>4411</v>
      </c>
      <c r="X187" s="6" t="s">
        <v>4412</v>
      </c>
      <c r="Y187" s="6" t="s">
        <v>86</v>
      </c>
      <c r="Z187" s="6" t="n">
        <v>0</v>
      </c>
      <c r="AA187" s="6" t="n">
        <v>0</v>
      </c>
      <c r="AB187" s="6" t="n">
        <v>0</v>
      </c>
      <c r="AC187" s="6" t="n">
        <v>0</v>
      </c>
      <c r="AD187" s="6" t="n">
        <v>0</v>
      </c>
      <c r="AE187" s="6" t="n">
        <v>1</v>
      </c>
      <c r="AF187" s="6" t="n">
        <v>0</v>
      </c>
      <c r="AG187" s="6" t="n">
        <v>0</v>
      </c>
      <c r="AH187" s="6" t="n">
        <v>0</v>
      </c>
      <c r="AI187" s="6" t="s">
        <v>84</v>
      </c>
    </row>
    <row r="188" customFormat="false" ht="15" hidden="false" customHeight="false" outlineLevel="0" collapsed="false">
      <c r="A188" s="6" t="n">
        <v>187</v>
      </c>
      <c r="B188" s="6" t="s">
        <v>4413</v>
      </c>
      <c r="C188" s="6" t="n">
        <v>4</v>
      </c>
      <c r="D188" s="6" t="s">
        <v>154</v>
      </c>
      <c r="E188" s="6" t="s">
        <v>123</v>
      </c>
      <c r="F188" s="6" t="n">
        <v>3</v>
      </c>
      <c r="G188" s="6" t="n">
        <v>29</v>
      </c>
      <c r="H188" s="6" t="s">
        <v>4414</v>
      </c>
      <c r="I188" s="22" t="n">
        <v>842000</v>
      </c>
      <c r="J188" s="22" t="n">
        <v>5000</v>
      </c>
      <c r="K188" s="22" t="n">
        <v>63525</v>
      </c>
      <c r="L188" s="22" t="n">
        <v>910525</v>
      </c>
      <c r="M188" s="6" t="s">
        <v>57</v>
      </c>
      <c r="N188" s="6" t="s">
        <v>58</v>
      </c>
      <c r="O188" s="6"/>
      <c r="P188" s="6" t="s">
        <v>69</v>
      </c>
      <c r="Q188" s="6" t="str">
        <f aca="false">IF(P188="pass","No","Yes")</f>
        <v>No</v>
      </c>
      <c r="R188" s="6" t="s">
        <v>60</v>
      </c>
      <c r="S188" s="6"/>
      <c r="T188" s="6"/>
      <c r="U188" s="23" t="n">
        <v>18.682</v>
      </c>
      <c r="V188" s="6" t="s">
        <v>4415</v>
      </c>
      <c r="W188" s="6" t="s">
        <v>4416</v>
      </c>
      <c r="X188" s="6" t="s">
        <v>4417</v>
      </c>
      <c r="Y188" s="6" t="s">
        <v>60</v>
      </c>
      <c r="Z188" s="6" t="n">
        <v>0</v>
      </c>
      <c r="AA188" s="6" t="n">
        <v>0</v>
      </c>
      <c r="AB188" s="6" t="n">
        <v>0</v>
      </c>
      <c r="AC188" s="6" t="n">
        <v>0</v>
      </c>
      <c r="AD188" s="6" t="n">
        <v>0</v>
      </c>
      <c r="AE188" s="6" t="n">
        <v>0</v>
      </c>
      <c r="AF188" s="6" t="n">
        <v>0</v>
      </c>
      <c r="AG188" s="6" t="n">
        <v>0</v>
      </c>
      <c r="AH188" s="6" t="n">
        <v>0</v>
      </c>
      <c r="AI188" s="6" t="s">
        <v>84</v>
      </c>
    </row>
    <row r="189" customFormat="false" ht="15" hidden="false" customHeight="false" outlineLevel="0" collapsed="false">
      <c r="A189" s="6" t="n">
        <v>188</v>
      </c>
      <c r="B189" s="6" t="s">
        <v>4418</v>
      </c>
      <c r="C189" s="6" t="n">
        <v>4</v>
      </c>
      <c r="D189" s="6" t="s">
        <v>142</v>
      </c>
      <c r="E189" s="6" t="s">
        <v>74</v>
      </c>
      <c r="F189" s="6" t="n">
        <v>4</v>
      </c>
      <c r="G189" s="6" t="n">
        <v>806</v>
      </c>
      <c r="H189" s="6" t="s">
        <v>4419</v>
      </c>
      <c r="I189" s="22" t="n">
        <v>8619500</v>
      </c>
      <c r="J189" s="22" t="n">
        <v>9000</v>
      </c>
      <c r="K189" s="22" t="n">
        <v>647137.5</v>
      </c>
      <c r="L189" s="22" t="n">
        <v>9275637.5</v>
      </c>
      <c r="M189" s="6" t="s">
        <v>171</v>
      </c>
      <c r="N189" s="6" t="s">
        <v>84</v>
      </c>
      <c r="O189" s="6" t="s">
        <v>892</v>
      </c>
      <c r="P189" s="6" t="s">
        <v>85</v>
      </c>
      <c r="Q189" s="6" t="str">
        <f aca="false">IF(P189="pass","No","Yes")</f>
        <v>Yes</v>
      </c>
      <c r="R189" s="6" t="s">
        <v>86</v>
      </c>
      <c r="S189" s="6" t="s">
        <v>893</v>
      </c>
      <c r="T189" s="6" t="s">
        <v>4420</v>
      </c>
      <c r="U189" s="23" t="n">
        <v>31.153</v>
      </c>
      <c r="V189" s="6" t="s">
        <v>4421</v>
      </c>
      <c r="W189" s="6" t="s">
        <v>4422</v>
      </c>
      <c r="X189" s="6" t="s">
        <v>4423</v>
      </c>
      <c r="Y189" s="6" t="s">
        <v>86</v>
      </c>
      <c r="Z189" s="6" t="n">
        <v>0</v>
      </c>
      <c r="AA189" s="6" t="n">
        <v>0</v>
      </c>
      <c r="AB189" s="6" t="n">
        <v>0</v>
      </c>
      <c r="AC189" s="6" t="n">
        <v>1</v>
      </c>
      <c r="AD189" s="6" t="n">
        <v>0</v>
      </c>
      <c r="AE189" s="6" t="n">
        <v>0</v>
      </c>
      <c r="AF189" s="6" t="n">
        <v>0</v>
      </c>
      <c r="AG189" s="6" t="n">
        <v>0</v>
      </c>
      <c r="AH189" s="6" t="n">
        <v>1</v>
      </c>
      <c r="AI189" s="6" t="s">
        <v>84</v>
      </c>
    </row>
    <row r="190" customFormat="false" ht="15" hidden="false" customHeight="false" outlineLevel="0" collapsed="false">
      <c r="A190" s="6" t="n">
        <v>189</v>
      </c>
      <c r="B190" s="6" t="s">
        <v>4424</v>
      </c>
      <c r="C190" s="6" t="n">
        <v>4</v>
      </c>
      <c r="D190" s="6" t="s">
        <v>191</v>
      </c>
      <c r="E190" s="6" t="s">
        <v>116</v>
      </c>
      <c r="F190" s="6" t="n">
        <v>3</v>
      </c>
      <c r="G190" s="6" t="n">
        <v>89</v>
      </c>
      <c r="H190" s="6" t="s">
        <v>4425</v>
      </c>
      <c r="I190" s="22" t="n">
        <v>1284400</v>
      </c>
      <c r="J190" s="22" t="n">
        <v>15000</v>
      </c>
      <c r="K190" s="22" t="n">
        <v>97455</v>
      </c>
      <c r="L190" s="22" t="n">
        <v>1396855</v>
      </c>
      <c r="M190" s="6" t="s">
        <v>57</v>
      </c>
      <c r="N190" s="6" t="s">
        <v>58</v>
      </c>
      <c r="O190" s="6"/>
      <c r="P190" s="6" t="s">
        <v>69</v>
      </c>
      <c r="Q190" s="6" t="str">
        <f aca="false">IF(P190="pass","No","Yes")</f>
        <v>No</v>
      </c>
      <c r="R190" s="6" t="s">
        <v>60</v>
      </c>
      <c r="S190" s="6"/>
      <c r="T190" s="6"/>
      <c r="U190" s="23" t="n">
        <v>18.335</v>
      </c>
      <c r="V190" s="6" t="s">
        <v>4426</v>
      </c>
      <c r="W190" s="6" t="s">
        <v>4427</v>
      </c>
      <c r="X190" s="6" t="s">
        <v>4428</v>
      </c>
      <c r="Y190" s="6" t="s">
        <v>60</v>
      </c>
      <c r="Z190" s="6" t="n">
        <v>0</v>
      </c>
      <c r="AA190" s="6" t="n">
        <v>0</v>
      </c>
      <c r="AB190" s="6" t="n">
        <v>0</v>
      </c>
      <c r="AC190" s="6" t="n">
        <v>0</v>
      </c>
      <c r="AD190" s="6" t="n">
        <v>0</v>
      </c>
      <c r="AE190" s="6" t="n">
        <v>0</v>
      </c>
      <c r="AF190" s="6" t="n">
        <v>0</v>
      </c>
      <c r="AG190" s="6" t="n">
        <v>0</v>
      </c>
      <c r="AH190" s="6" t="n">
        <v>0</v>
      </c>
      <c r="AI190" s="6" t="s">
        <v>84</v>
      </c>
    </row>
    <row r="191" customFormat="false" ht="15" hidden="false" customHeight="false" outlineLevel="0" collapsed="false">
      <c r="A191" s="6" t="n">
        <v>190</v>
      </c>
      <c r="B191" s="6" t="s">
        <v>4429</v>
      </c>
      <c r="C191" s="6" t="n">
        <v>4</v>
      </c>
      <c r="D191" s="6" t="s">
        <v>51</v>
      </c>
      <c r="E191" s="6" t="s">
        <v>55</v>
      </c>
      <c r="F191" s="6" t="n">
        <v>3</v>
      </c>
      <c r="G191" s="6" t="n">
        <v>102</v>
      </c>
      <c r="H191" s="6" t="s">
        <v>4430</v>
      </c>
      <c r="I191" s="22" t="n">
        <v>966700</v>
      </c>
      <c r="J191" s="22" t="n">
        <v>6000</v>
      </c>
      <c r="K191" s="22" t="n">
        <v>72952.5</v>
      </c>
      <c r="L191" s="22" t="n">
        <v>1045652.5</v>
      </c>
      <c r="M191" s="6" t="s">
        <v>57</v>
      </c>
      <c r="N191" s="6" t="s">
        <v>58</v>
      </c>
      <c r="O191" s="6"/>
      <c r="P191" s="6" t="s">
        <v>69</v>
      </c>
      <c r="Q191" s="6" t="str">
        <f aca="false">IF(P191="pass","No","Yes")</f>
        <v>No</v>
      </c>
      <c r="R191" s="6" t="s">
        <v>60</v>
      </c>
      <c r="S191" s="6"/>
      <c r="T191" s="6"/>
      <c r="U191" s="23" t="n">
        <v>27.333</v>
      </c>
      <c r="V191" s="6" t="s">
        <v>4431</v>
      </c>
      <c r="W191" s="6" t="s">
        <v>4432</v>
      </c>
      <c r="X191" s="6" t="s">
        <v>4433</v>
      </c>
      <c r="Y191" s="6" t="s">
        <v>60</v>
      </c>
      <c r="Z191" s="6" t="n">
        <v>0</v>
      </c>
      <c r="AA191" s="6" t="n">
        <v>0</v>
      </c>
      <c r="AB191" s="6" t="n">
        <v>0</v>
      </c>
      <c r="AC191" s="6" t="n">
        <v>0</v>
      </c>
      <c r="AD191" s="6" t="n">
        <v>0</v>
      </c>
      <c r="AE191" s="6" t="n">
        <v>0</v>
      </c>
      <c r="AF191" s="6" t="n">
        <v>0</v>
      </c>
      <c r="AG191" s="6" t="n">
        <v>0</v>
      </c>
      <c r="AH191" s="6" t="n">
        <v>0</v>
      </c>
      <c r="AI191" s="6" t="s">
        <v>84</v>
      </c>
    </row>
    <row r="192" customFormat="false" ht="15" hidden="false" customHeight="false" outlineLevel="0" collapsed="false">
      <c r="A192" s="6" t="n">
        <v>191</v>
      </c>
      <c r="B192" s="6" t="s">
        <v>4434</v>
      </c>
      <c r="C192" s="6" t="n">
        <v>4</v>
      </c>
      <c r="D192" s="6" t="s">
        <v>70</v>
      </c>
      <c r="E192" s="6" t="s">
        <v>74</v>
      </c>
      <c r="F192" s="6" t="n">
        <v>2</v>
      </c>
      <c r="G192" s="6" t="n">
        <v>42</v>
      </c>
      <c r="H192" s="6" t="s">
        <v>4435</v>
      </c>
      <c r="I192" s="22" t="n">
        <v>369100</v>
      </c>
      <c r="J192" s="22" t="n">
        <v>9000</v>
      </c>
      <c r="K192" s="22" t="n">
        <v>28357.5</v>
      </c>
      <c r="L192" s="22" t="n">
        <v>406457.5</v>
      </c>
      <c r="M192" s="6" t="s">
        <v>57</v>
      </c>
      <c r="N192" s="6" t="s">
        <v>58</v>
      </c>
      <c r="O192" s="6"/>
      <c r="P192" s="6" t="s">
        <v>69</v>
      </c>
      <c r="Q192" s="6" t="str">
        <f aca="false">IF(P192="pass","No","Yes")</f>
        <v>No</v>
      </c>
      <c r="R192" s="6" t="s">
        <v>60</v>
      </c>
      <c r="S192" s="6"/>
      <c r="T192" s="6"/>
      <c r="U192" s="23" t="n">
        <v>30.614</v>
      </c>
      <c r="V192" s="6" t="s">
        <v>4436</v>
      </c>
      <c r="W192" s="6" t="s">
        <v>4437</v>
      </c>
      <c r="X192" s="6" t="s">
        <v>4438</v>
      </c>
      <c r="Y192" s="6" t="s">
        <v>60</v>
      </c>
      <c r="Z192" s="6" t="n">
        <v>0</v>
      </c>
      <c r="AA192" s="6" t="n">
        <v>0</v>
      </c>
      <c r="AB192" s="6" t="n">
        <v>0</v>
      </c>
      <c r="AC192" s="6" t="n">
        <v>0</v>
      </c>
      <c r="AD192" s="6" t="n">
        <v>0</v>
      </c>
      <c r="AE192" s="6" t="n">
        <v>0</v>
      </c>
      <c r="AF192" s="6" t="n">
        <v>0</v>
      </c>
      <c r="AG192" s="6" t="n">
        <v>0</v>
      </c>
      <c r="AH192" s="6" t="n">
        <v>0</v>
      </c>
      <c r="AI192" s="6" t="s">
        <v>84</v>
      </c>
    </row>
    <row r="193" customFormat="false" ht="15" hidden="false" customHeight="false" outlineLevel="0" collapsed="false">
      <c r="A193" s="6" t="n">
        <v>192</v>
      </c>
      <c r="B193" s="6" t="s">
        <v>4439</v>
      </c>
      <c r="C193" s="6" t="n">
        <v>4</v>
      </c>
      <c r="D193" s="6" t="s">
        <v>77</v>
      </c>
      <c r="E193" s="6" t="s">
        <v>81</v>
      </c>
      <c r="F193" s="6" t="n">
        <v>2</v>
      </c>
      <c r="G193" s="6" t="n">
        <v>23</v>
      </c>
      <c r="H193" s="6" t="s">
        <v>4440</v>
      </c>
      <c r="I193" s="22" t="n">
        <v>333500</v>
      </c>
      <c r="J193" s="22" t="n">
        <v>4000</v>
      </c>
      <c r="K193" s="22" t="n">
        <v>25312.5</v>
      </c>
      <c r="L193" s="22" t="n">
        <v>362812.5</v>
      </c>
      <c r="M193" s="6" t="s">
        <v>152</v>
      </c>
      <c r="N193" s="6" t="s">
        <v>84</v>
      </c>
      <c r="O193" s="6" t="s">
        <v>886</v>
      </c>
      <c r="P193" s="6" t="s">
        <v>85</v>
      </c>
      <c r="Q193" s="6" t="str">
        <f aca="false">IF(P193="pass","No","Yes")</f>
        <v>Yes</v>
      </c>
      <c r="R193" s="6" t="s">
        <v>86</v>
      </c>
      <c r="S193" s="6" t="s">
        <v>886</v>
      </c>
      <c r="T193" s="6" t="s">
        <v>322</v>
      </c>
      <c r="U193" s="23" t="n">
        <v>8.94</v>
      </c>
      <c r="V193" s="6" t="s">
        <v>4441</v>
      </c>
      <c r="W193" s="6" t="s">
        <v>4442</v>
      </c>
      <c r="X193" s="6" t="s">
        <v>4443</v>
      </c>
      <c r="Y193" s="6" t="s">
        <v>86</v>
      </c>
      <c r="Z193" s="6" t="n">
        <v>0</v>
      </c>
      <c r="AA193" s="6" t="n">
        <v>0</v>
      </c>
      <c r="AB193" s="6" t="n">
        <v>1</v>
      </c>
      <c r="AC193" s="6" t="n">
        <v>0</v>
      </c>
      <c r="AD193" s="6" t="n">
        <v>0</v>
      </c>
      <c r="AE193" s="6" t="n">
        <v>0</v>
      </c>
      <c r="AF193" s="6" t="n">
        <v>0</v>
      </c>
      <c r="AG193" s="6" t="n">
        <v>0</v>
      </c>
      <c r="AH193" s="6" t="n">
        <v>0</v>
      </c>
      <c r="AI193" s="6" t="s">
        <v>84</v>
      </c>
    </row>
    <row r="194" customFormat="false" ht="15" hidden="false" customHeight="false" outlineLevel="0" collapsed="false">
      <c r="A194" s="6" t="n">
        <v>193</v>
      </c>
      <c r="B194" s="6" t="s">
        <v>4444</v>
      </c>
      <c r="C194" s="6" t="n">
        <v>4</v>
      </c>
      <c r="D194" s="6" t="s">
        <v>70</v>
      </c>
      <c r="E194" s="6" t="s">
        <v>74</v>
      </c>
      <c r="F194" s="6" t="n">
        <v>2</v>
      </c>
      <c r="G194" s="6" t="n">
        <v>42</v>
      </c>
      <c r="H194" s="6" t="s">
        <v>4435</v>
      </c>
      <c r="I194" s="22" t="n">
        <v>369100</v>
      </c>
      <c r="J194" s="22" t="n">
        <v>9000</v>
      </c>
      <c r="K194" s="22" t="n">
        <v>28357.5</v>
      </c>
      <c r="L194" s="22" t="n">
        <v>406457.5</v>
      </c>
      <c r="M194" s="6" t="s">
        <v>97</v>
      </c>
      <c r="N194" s="6" t="s">
        <v>84</v>
      </c>
      <c r="O194" s="6" t="s">
        <v>1185</v>
      </c>
      <c r="P194" s="6" t="s">
        <v>59</v>
      </c>
      <c r="Q194" s="6" t="str">
        <f aca="false">IF(P194="pass","No","Yes")</f>
        <v>Yes</v>
      </c>
      <c r="R194" s="6" t="s">
        <v>98</v>
      </c>
      <c r="S194" s="6" t="s">
        <v>1185</v>
      </c>
      <c r="T194" s="6" t="s">
        <v>4445</v>
      </c>
      <c r="U194" s="23" t="n">
        <v>28.847</v>
      </c>
      <c r="V194" s="6" t="s">
        <v>4446</v>
      </c>
      <c r="W194" s="6"/>
      <c r="X194" s="6" t="s">
        <v>4446</v>
      </c>
      <c r="Y194" s="6" t="s">
        <v>98</v>
      </c>
      <c r="Z194" s="6" t="n">
        <v>0</v>
      </c>
      <c r="AA194" s="6" t="n">
        <v>0</v>
      </c>
      <c r="AB194" s="6" t="n">
        <v>0</v>
      </c>
      <c r="AC194" s="6" t="n">
        <v>0</v>
      </c>
      <c r="AD194" s="6" t="n">
        <v>0</v>
      </c>
      <c r="AE194" s="6" t="n">
        <v>0</v>
      </c>
      <c r="AF194" s="6" t="n">
        <v>0</v>
      </c>
      <c r="AG194" s="6" t="n">
        <v>1</v>
      </c>
      <c r="AH194" s="6" t="n">
        <v>0</v>
      </c>
      <c r="AI194" s="6" t="s">
        <v>84</v>
      </c>
    </row>
    <row r="195" customFormat="false" ht="15" hidden="false" customHeight="false" outlineLevel="0" collapsed="false">
      <c r="A195" s="6" t="n">
        <v>194</v>
      </c>
      <c r="B195" s="6" t="s">
        <v>4447</v>
      </c>
      <c r="C195" s="6" t="n">
        <v>4</v>
      </c>
      <c r="D195" s="6" t="s">
        <v>112</v>
      </c>
      <c r="E195" s="6" t="s">
        <v>116</v>
      </c>
      <c r="F195" s="6" t="n">
        <v>1</v>
      </c>
      <c r="G195" s="6" t="n">
        <v>60</v>
      </c>
      <c r="H195" s="6" t="s">
        <v>4448</v>
      </c>
      <c r="I195" s="22" t="n">
        <v>870000</v>
      </c>
      <c r="J195" s="22" t="n">
        <v>15000</v>
      </c>
      <c r="K195" s="22" t="n">
        <v>66375</v>
      </c>
      <c r="L195" s="22" t="n">
        <v>951375</v>
      </c>
      <c r="M195" s="6" t="s">
        <v>57</v>
      </c>
      <c r="N195" s="6" t="s">
        <v>58</v>
      </c>
      <c r="O195" s="6"/>
      <c r="P195" s="6" t="s">
        <v>69</v>
      </c>
      <c r="Q195" s="6" t="str">
        <f aca="false">IF(P195="pass","No","Yes")</f>
        <v>No</v>
      </c>
      <c r="R195" s="6" t="s">
        <v>60</v>
      </c>
      <c r="S195" s="6"/>
      <c r="T195" s="6"/>
      <c r="U195" s="23" t="n">
        <v>9.583</v>
      </c>
      <c r="V195" s="6" t="s">
        <v>4449</v>
      </c>
      <c r="W195" s="6" t="s">
        <v>4450</v>
      </c>
      <c r="X195" s="6" t="s">
        <v>4451</v>
      </c>
      <c r="Y195" s="6" t="s">
        <v>60</v>
      </c>
      <c r="Z195" s="6" t="n">
        <v>0</v>
      </c>
      <c r="AA195" s="6" t="n">
        <v>0</v>
      </c>
      <c r="AB195" s="6" t="n">
        <v>0</v>
      </c>
      <c r="AC195" s="6" t="n">
        <v>0</v>
      </c>
      <c r="AD195" s="6" t="n">
        <v>0</v>
      </c>
      <c r="AE195" s="6" t="n">
        <v>0</v>
      </c>
      <c r="AF195" s="6" t="n">
        <v>0</v>
      </c>
      <c r="AG195" s="6" t="n">
        <v>0</v>
      </c>
      <c r="AH195" s="6" t="n">
        <v>0</v>
      </c>
      <c r="AI195" s="6" t="s">
        <v>84</v>
      </c>
    </row>
    <row r="196" customFormat="false" ht="15" hidden="false" customHeight="false" outlineLevel="0" collapsed="false">
      <c r="A196" s="6" t="n">
        <v>195</v>
      </c>
      <c r="B196" s="6" t="s">
        <v>4452</v>
      </c>
      <c r="C196" s="6" t="n">
        <v>4</v>
      </c>
      <c r="D196" s="6" t="s">
        <v>237</v>
      </c>
      <c r="E196" s="6" t="s">
        <v>116</v>
      </c>
      <c r="F196" s="6" t="n">
        <v>4</v>
      </c>
      <c r="G196" s="6" t="n">
        <v>864</v>
      </c>
      <c r="H196" s="6" t="s">
        <v>4453</v>
      </c>
      <c r="I196" s="22" t="n">
        <v>12512700</v>
      </c>
      <c r="J196" s="22" t="n">
        <v>15000</v>
      </c>
      <c r="K196" s="22" t="n">
        <v>939577.5</v>
      </c>
      <c r="L196" s="22" t="n">
        <v>13467277.5</v>
      </c>
      <c r="M196" s="6" t="s">
        <v>159</v>
      </c>
      <c r="N196" s="6" t="s">
        <v>84</v>
      </c>
      <c r="O196" s="6" t="s">
        <v>886</v>
      </c>
      <c r="P196" s="6" t="s">
        <v>85</v>
      </c>
      <c r="Q196" s="6" t="str">
        <f aca="false">IF(P196="pass","No","Yes")</f>
        <v>Yes</v>
      </c>
      <c r="R196" s="6" t="s">
        <v>86</v>
      </c>
      <c r="S196" s="6" t="s">
        <v>934</v>
      </c>
      <c r="T196" s="6" t="s">
        <v>161</v>
      </c>
      <c r="U196" s="23" t="n">
        <v>23.586</v>
      </c>
      <c r="V196" s="6" t="s">
        <v>4454</v>
      </c>
      <c r="W196" s="6" t="s">
        <v>4455</v>
      </c>
      <c r="X196" s="6" t="s">
        <v>4456</v>
      </c>
      <c r="Y196" s="6" t="s">
        <v>86</v>
      </c>
      <c r="Z196" s="6" t="n">
        <v>0</v>
      </c>
      <c r="AA196" s="6" t="n">
        <v>0</v>
      </c>
      <c r="AB196" s="6" t="n">
        <v>1</v>
      </c>
      <c r="AC196" s="6" t="n">
        <v>1</v>
      </c>
      <c r="AD196" s="6" t="n">
        <v>0</v>
      </c>
      <c r="AE196" s="6" t="n">
        <v>0</v>
      </c>
      <c r="AF196" s="6" t="n">
        <v>0</v>
      </c>
      <c r="AG196" s="6" t="n">
        <v>0</v>
      </c>
      <c r="AH196" s="6" t="n">
        <v>0</v>
      </c>
      <c r="AI196" s="6" t="s">
        <v>84</v>
      </c>
    </row>
    <row r="197" customFormat="false" ht="15" hidden="false" customHeight="false" outlineLevel="0" collapsed="false">
      <c r="A197" s="6" t="n">
        <v>196</v>
      </c>
      <c r="B197" s="6" t="s">
        <v>4457</v>
      </c>
      <c r="C197" s="6" t="n">
        <v>4</v>
      </c>
      <c r="D197" s="6" t="s">
        <v>177</v>
      </c>
      <c r="E197" s="6" t="s">
        <v>81</v>
      </c>
      <c r="F197" s="6" t="n">
        <v>2</v>
      </c>
      <c r="G197" s="6" t="n">
        <v>188</v>
      </c>
      <c r="H197" s="6" t="s">
        <v>4458</v>
      </c>
      <c r="I197" s="22" t="n">
        <v>1786000</v>
      </c>
      <c r="J197" s="22" t="n">
        <v>4000</v>
      </c>
      <c r="K197" s="22" t="n">
        <v>134250</v>
      </c>
      <c r="L197" s="22" t="n">
        <v>1924250</v>
      </c>
      <c r="M197" s="6" t="s">
        <v>152</v>
      </c>
      <c r="N197" s="6" t="s">
        <v>84</v>
      </c>
      <c r="O197" s="6" t="s">
        <v>886</v>
      </c>
      <c r="P197" s="6" t="s">
        <v>85</v>
      </c>
      <c r="Q197" s="6" t="str">
        <f aca="false">IF(P197="pass","No","Yes")</f>
        <v>Yes</v>
      </c>
      <c r="R197" s="6" t="s">
        <v>86</v>
      </c>
      <c r="S197" s="6" t="s">
        <v>1479</v>
      </c>
      <c r="T197" s="6" t="s">
        <v>4459</v>
      </c>
      <c r="U197" s="23" t="n">
        <v>18.093</v>
      </c>
      <c r="V197" s="6" t="s">
        <v>4460</v>
      </c>
      <c r="W197" s="6" t="s">
        <v>4461</v>
      </c>
      <c r="X197" s="6" t="s">
        <v>4462</v>
      </c>
      <c r="Y197" s="6" t="s">
        <v>86</v>
      </c>
      <c r="Z197" s="6" t="n">
        <v>0</v>
      </c>
      <c r="AA197" s="6" t="n">
        <v>0</v>
      </c>
      <c r="AB197" s="6" t="n">
        <v>1</v>
      </c>
      <c r="AC197" s="6" t="n">
        <v>0</v>
      </c>
      <c r="AD197" s="6" t="n">
        <v>0</v>
      </c>
      <c r="AE197" s="6" t="n">
        <v>0</v>
      </c>
      <c r="AF197" s="6" t="n">
        <v>0</v>
      </c>
      <c r="AG197" s="6" t="n">
        <v>0</v>
      </c>
      <c r="AH197" s="6" t="n">
        <v>1</v>
      </c>
      <c r="AI197" s="6" t="s">
        <v>84</v>
      </c>
    </row>
    <row r="198" customFormat="false" ht="15" hidden="false" customHeight="false" outlineLevel="0" collapsed="false">
      <c r="A198" s="6" t="n">
        <v>197</v>
      </c>
      <c r="B198" s="6" t="s">
        <v>4463</v>
      </c>
      <c r="C198" s="6" t="n">
        <v>4</v>
      </c>
      <c r="D198" s="6" t="s">
        <v>63</v>
      </c>
      <c r="E198" s="6" t="s">
        <v>67</v>
      </c>
      <c r="F198" s="6" t="n">
        <v>3</v>
      </c>
      <c r="G198" s="6" t="n">
        <v>316</v>
      </c>
      <c r="H198" s="6" t="s">
        <v>4464</v>
      </c>
      <c r="I198" s="22" t="n">
        <v>4054000</v>
      </c>
      <c r="J198" s="22" t="n">
        <v>4500</v>
      </c>
      <c r="K198" s="22" t="n">
        <v>304387.5</v>
      </c>
      <c r="L198" s="22" t="n">
        <v>4362887.5</v>
      </c>
      <c r="M198" s="6" t="s">
        <v>171</v>
      </c>
      <c r="N198" s="6" t="s">
        <v>84</v>
      </c>
      <c r="O198" s="6" t="s">
        <v>892</v>
      </c>
      <c r="P198" s="6" t="s">
        <v>85</v>
      </c>
      <c r="Q198" s="6" t="str">
        <f aca="false">IF(P198="pass","No","Yes")</f>
        <v>Yes</v>
      </c>
      <c r="R198" s="6" t="s">
        <v>86</v>
      </c>
      <c r="S198" s="6" t="s">
        <v>892</v>
      </c>
      <c r="T198" s="6" t="s">
        <v>368</v>
      </c>
      <c r="U198" s="23" t="n">
        <v>19.227</v>
      </c>
      <c r="V198" s="6" t="s">
        <v>4465</v>
      </c>
      <c r="W198" s="6" t="s">
        <v>4466</v>
      </c>
      <c r="X198" s="6" t="s">
        <v>4467</v>
      </c>
      <c r="Y198" s="6" t="s">
        <v>86</v>
      </c>
      <c r="Z198" s="6" t="n">
        <v>0</v>
      </c>
      <c r="AA198" s="6" t="n">
        <v>0</v>
      </c>
      <c r="AB198" s="6" t="n">
        <v>0</v>
      </c>
      <c r="AC198" s="6" t="n">
        <v>1</v>
      </c>
      <c r="AD198" s="6" t="n">
        <v>0</v>
      </c>
      <c r="AE198" s="6" t="n">
        <v>0</v>
      </c>
      <c r="AF198" s="6" t="n">
        <v>0</v>
      </c>
      <c r="AG198" s="6" t="n">
        <v>0</v>
      </c>
      <c r="AH198" s="6" t="n">
        <v>0</v>
      </c>
      <c r="AI198" s="6" t="s">
        <v>84</v>
      </c>
    </row>
    <row r="199" customFormat="false" ht="15" hidden="false" customHeight="false" outlineLevel="0" collapsed="false">
      <c r="A199" s="6" t="n">
        <v>198</v>
      </c>
      <c r="B199" s="6" t="s">
        <v>4468</v>
      </c>
      <c r="C199" s="6" t="n">
        <v>4</v>
      </c>
      <c r="D199" s="6" t="s">
        <v>177</v>
      </c>
      <c r="E199" s="6" t="s">
        <v>81</v>
      </c>
      <c r="F199" s="6" t="n">
        <v>3</v>
      </c>
      <c r="G199" s="6" t="n">
        <v>98</v>
      </c>
      <c r="H199" s="6" t="s">
        <v>4469</v>
      </c>
      <c r="I199" s="22" t="n">
        <v>1208200</v>
      </c>
      <c r="J199" s="22" t="n">
        <v>4000</v>
      </c>
      <c r="K199" s="22" t="n">
        <v>90915</v>
      </c>
      <c r="L199" s="22" t="n">
        <v>1303115</v>
      </c>
      <c r="M199" s="6" t="s">
        <v>57</v>
      </c>
      <c r="N199" s="6" t="s">
        <v>58</v>
      </c>
      <c r="O199" s="6"/>
      <c r="P199" s="6" t="s">
        <v>69</v>
      </c>
      <c r="Q199" s="6" t="str">
        <f aca="false">IF(P199="pass","No","Yes")</f>
        <v>No</v>
      </c>
      <c r="R199" s="6" t="s">
        <v>60</v>
      </c>
      <c r="S199" s="6"/>
      <c r="T199" s="6"/>
      <c r="U199" s="23" t="n">
        <v>21.131</v>
      </c>
      <c r="V199" s="6" t="s">
        <v>4470</v>
      </c>
      <c r="W199" s="6" t="s">
        <v>4471</v>
      </c>
      <c r="X199" s="6" t="s">
        <v>4472</v>
      </c>
      <c r="Y199" s="6" t="s">
        <v>60</v>
      </c>
      <c r="Z199" s="6" t="n">
        <v>0</v>
      </c>
      <c r="AA199" s="6" t="n">
        <v>0</v>
      </c>
      <c r="AB199" s="6" t="n">
        <v>0</v>
      </c>
      <c r="AC199" s="6" t="n">
        <v>0</v>
      </c>
      <c r="AD199" s="6" t="n">
        <v>0</v>
      </c>
      <c r="AE199" s="6" t="n">
        <v>0</v>
      </c>
      <c r="AF199" s="6" t="n">
        <v>0</v>
      </c>
      <c r="AG199" s="6" t="n">
        <v>0</v>
      </c>
      <c r="AH199" s="6" t="n">
        <v>0</v>
      </c>
      <c r="AI199" s="6" t="s">
        <v>84</v>
      </c>
    </row>
    <row r="200" customFormat="false" ht="15" hidden="false" customHeight="false" outlineLevel="0" collapsed="false">
      <c r="A200" s="6" t="n">
        <v>199</v>
      </c>
      <c r="B200" s="6" t="s">
        <v>4473</v>
      </c>
      <c r="C200" s="6" t="n">
        <v>4</v>
      </c>
      <c r="D200" s="6" t="s">
        <v>137</v>
      </c>
      <c r="E200" s="6" t="s">
        <v>55</v>
      </c>
      <c r="F200" s="6" t="n">
        <v>1</v>
      </c>
      <c r="G200" s="6" t="n">
        <v>50</v>
      </c>
      <c r="H200" s="6" t="s">
        <v>4474</v>
      </c>
      <c r="I200" s="22" t="n">
        <v>430000</v>
      </c>
      <c r="J200" s="22" t="n">
        <v>6000</v>
      </c>
      <c r="K200" s="22" t="n">
        <v>32700</v>
      </c>
      <c r="L200" s="22" t="n">
        <v>468700</v>
      </c>
      <c r="M200" s="6" t="s">
        <v>960</v>
      </c>
      <c r="N200" s="6" t="s">
        <v>84</v>
      </c>
      <c r="O200" s="6" t="s">
        <v>961</v>
      </c>
      <c r="P200" s="6" t="s">
        <v>85</v>
      </c>
      <c r="Q200" s="6" t="str">
        <f aca="false">IF(P200="pass","No","Yes")</f>
        <v>Yes</v>
      </c>
      <c r="R200" s="6" t="s">
        <v>86</v>
      </c>
      <c r="S200" s="6" t="s">
        <v>961</v>
      </c>
      <c r="T200" s="6" t="s">
        <v>962</v>
      </c>
      <c r="U200" s="23" t="n">
        <v>9.538</v>
      </c>
      <c r="V200" s="6" t="s">
        <v>4475</v>
      </c>
      <c r="W200" s="6" t="s">
        <v>4476</v>
      </c>
      <c r="X200" s="6" t="s">
        <v>4477</v>
      </c>
      <c r="Y200" s="6" t="s">
        <v>86</v>
      </c>
      <c r="Z200" s="6" t="n">
        <v>0</v>
      </c>
      <c r="AA200" s="6" t="n">
        <v>0</v>
      </c>
      <c r="AB200" s="6" t="n">
        <v>0</v>
      </c>
      <c r="AC200" s="6" t="n">
        <v>0</v>
      </c>
      <c r="AD200" s="6" t="n">
        <v>1</v>
      </c>
      <c r="AE200" s="6" t="n">
        <v>0</v>
      </c>
      <c r="AF200" s="6" t="n">
        <v>0</v>
      </c>
      <c r="AG200" s="6" t="n">
        <v>0</v>
      </c>
      <c r="AH200" s="6" t="n">
        <v>0</v>
      </c>
      <c r="AI200" s="6" t="s">
        <v>84</v>
      </c>
    </row>
    <row r="201" customFormat="false" ht="15" hidden="false" customHeight="false" outlineLevel="0" collapsed="false">
      <c r="A201" s="6" t="n">
        <v>200</v>
      </c>
      <c r="B201" s="6" t="s">
        <v>4478</v>
      </c>
      <c r="C201" s="6" t="n">
        <v>4</v>
      </c>
      <c r="D201" s="6" t="s">
        <v>127</v>
      </c>
      <c r="E201" s="6" t="s">
        <v>55</v>
      </c>
      <c r="F201" s="6" t="n">
        <v>2</v>
      </c>
      <c r="G201" s="6" t="n">
        <v>41</v>
      </c>
      <c r="H201" s="6" t="s">
        <v>4479</v>
      </c>
      <c r="I201" s="22" t="n">
        <v>1150000</v>
      </c>
      <c r="J201" s="22" t="n">
        <v>6000</v>
      </c>
      <c r="K201" s="22" t="n">
        <v>86700</v>
      </c>
      <c r="L201" s="22" t="n">
        <v>1242700</v>
      </c>
      <c r="M201" s="6" t="s">
        <v>1042</v>
      </c>
      <c r="N201" s="6" t="s">
        <v>58</v>
      </c>
      <c r="O201" s="6"/>
      <c r="P201" s="6" t="s">
        <v>69</v>
      </c>
      <c r="Q201" s="6" t="str">
        <f aca="false">IF(P201="pass","No","Yes")</f>
        <v>No</v>
      </c>
      <c r="R201" s="6" t="s">
        <v>60</v>
      </c>
      <c r="S201" s="6"/>
      <c r="T201" s="6"/>
      <c r="U201" s="23" t="n">
        <v>16.041</v>
      </c>
      <c r="V201" s="6" t="s">
        <v>4480</v>
      </c>
      <c r="W201" s="6" t="s">
        <v>4481</v>
      </c>
      <c r="X201" s="6" t="s">
        <v>4482</v>
      </c>
      <c r="Y201" s="6" t="s">
        <v>60</v>
      </c>
      <c r="Z201" s="6" t="n">
        <v>0</v>
      </c>
      <c r="AA201" s="6" t="n">
        <v>0</v>
      </c>
      <c r="AB201" s="6" t="n">
        <v>0</v>
      </c>
      <c r="AC201" s="6" t="n">
        <v>0</v>
      </c>
      <c r="AD201" s="6" t="n">
        <v>0</v>
      </c>
      <c r="AE201" s="6" t="n">
        <v>0</v>
      </c>
      <c r="AF201" s="6" t="n">
        <v>0</v>
      </c>
      <c r="AG201" s="6" t="n">
        <v>0</v>
      </c>
      <c r="AH201" s="6" t="n">
        <v>0</v>
      </c>
      <c r="AI201" s="6" t="s">
        <v>84</v>
      </c>
    </row>
    <row r="202" customFormat="false" ht="15" hidden="false" customHeight="false" outlineLevel="0" collapsed="false">
      <c r="A202" s="6" t="n">
        <v>201</v>
      </c>
      <c r="B202" s="6" t="s">
        <v>4483</v>
      </c>
      <c r="C202" s="6" t="n">
        <v>5</v>
      </c>
      <c r="D202" s="6" t="s">
        <v>70</v>
      </c>
      <c r="E202" s="6" t="s">
        <v>74</v>
      </c>
      <c r="F202" s="6" t="n">
        <v>3</v>
      </c>
      <c r="G202" s="6" t="n">
        <v>105</v>
      </c>
      <c r="H202" s="6" t="s">
        <v>4484</v>
      </c>
      <c r="I202" s="22" t="n">
        <v>2184500</v>
      </c>
      <c r="J202" s="22" t="n">
        <v>9000</v>
      </c>
      <c r="K202" s="22" t="n">
        <v>164512.5</v>
      </c>
      <c r="L202" s="22" t="n">
        <v>2358012.5</v>
      </c>
      <c r="M202" s="6" t="s">
        <v>57</v>
      </c>
      <c r="N202" s="6" t="s">
        <v>58</v>
      </c>
      <c r="O202" s="6"/>
      <c r="P202" s="6" t="s">
        <v>69</v>
      </c>
      <c r="Q202" s="6" t="str">
        <f aca="false">IF(P202="pass","No","Yes")</f>
        <v>No</v>
      </c>
      <c r="R202" s="6" t="s">
        <v>60</v>
      </c>
      <c r="S202" s="6"/>
      <c r="T202" s="6"/>
      <c r="U202" s="23" t="n">
        <v>20.275</v>
      </c>
      <c r="V202" s="6" t="s">
        <v>4485</v>
      </c>
      <c r="W202" s="6" t="s">
        <v>4486</v>
      </c>
      <c r="X202" s="6" t="s">
        <v>4487</v>
      </c>
      <c r="Y202" s="6" t="s">
        <v>60</v>
      </c>
      <c r="Z202" s="6" t="n">
        <v>0</v>
      </c>
      <c r="AA202" s="6" t="n">
        <v>0</v>
      </c>
      <c r="AB202" s="6" t="n">
        <v>0</v>
      </c>
      <c r="AC202" s="6" t="n">
        <v>0</v>
      </c>
      <c r="AD202" s="6" t="n">
        <v>0</v>
      </c>
      <c r="AE202" s="6" t="n">
        <v>0</v>
      </c>
      <c r="AF202" s="6" t="n">
        <v>0</v>
      </c>
      <c r="AG202" s="6" t="n">
        <v>0</v>
      </c>
      <c r="AH202" s="6" t="n">
        <v>0</v>
      </c>
      <c r="AI202" s="6" t="s">
        <v>84</v>
      </c>
    </row>
    <row r="203" customFormat="false" ht="15" hidden="false" customHeight="false" outlineLevel="0" collapsed="false">
      <c r="A203" s="6" t="n">
        <v>202</v>
      </c>
      <c r="B203" s="6" t="s">
        <v>4488</v>
      </c>
      <c r="C203" s="6" t="n">
        <v>5</v>
      </c>
      <c r="D203" s="6" t="s">
        <v>89</v>
      </c>
      <c r="E203" s="6" t="s">
        <v>67</v>
      </c>
      <c r="F203" s="6" t="n">
        <v>3</v>
      </c>
      <c r="G203" s="6" t="n">
        <v>39</v>
      </c>
      <c r="H203" s="6" t="s">
        <v>4489</v>
      </c>
      <c r="I203" s="22" t="n">
        <v>1664000</v>
      </c>
      <c r="J203" s="22" t="n">
        <v>4500</v>
      </c>
      <c r="K203" s="22" t="n">
        <v>125137.5</v>
      </c>
      <c r="L203" s="22" t="n">
        <v>1793637.5</v>
      </c>
      <c r="M203" s="6" t="s">
        <v>272</v>
      </c>
      <c r="N203" s="6" t="s">
        <v>84</v>
      </c>
      <c r="O203" s="6" t="s">
        <v>879</v>
      </c>
      <c r="P203" s="6" t="s">
        <v>85</v>
      </c>
      <c r="Q203" s="6" t="str">
        <f aca="false">IF(P203="pass","No","Yes")</f>
        <v>Yes</v>
      </c>
      <c r="R203" s="6" t="s">
        <v>86</v>
      </c>
      <c r="S203" s="6" t="s">
        <v>879</v>
      </c>
      <c r="T203" s="6" t="s">
        <v>4490</v>
      </c>
      <c r="U203" s="23" t="n">
        <v>14.963</v>
      </c>
      <c r="V203" s="6" t="s">
        <v>4491</v>
      </c>
      <c r="W203" s="6" t="s">
        <v>4492</v>
      </c>
      <c r="X203" s="6" t="s">
        <v>4493</v>
      </c>
      <c r="Y203" s="6" t="s">
        <v>86</v>
      </c>
      <c r="Z203" s="6" t="n">
        <v>0</v>
      </c>
      <c r="AA203" s="6" t="n">
        <v>1</v>
      </c>
      <c r="AB203" s="6" t="n">
        <v>0</v>
      </c>
      <c r="AC203" s="6" t="n">
        <v>0</v>
      </c>
      <c r="AD203" s="6" t="n">
        <v>0</v>
      </c>
      <c r="AE203" s="6" t="n">
        <v>0</v>
      </c>
      <c r="AF203" s="6" t="n">
        <v>0</v>
      </c>
      <c r="AG203" s="6" t="n">
        <v>0</v>
      </c>
      <c r="AH203" s="6" t="n">
        <v>0</v>
      </c>
      <c r="AI203" s="6" t="s">
        <v>84</v>
      </c>
    </row>
    <row r="204" customFormat="false" ht="15" hidden="false" customHeight="false" outlineLevel="0" collapsed="false">
      <c r="A204" s="6" t="n">
        <v>203</v>
      </c>
      <c r="B204" s="6" t="s">
        <v>4494</v>
      </c>
      <c r="C204" s="6" t="n">
        <v>5</v>
      </c>
      <c r="D204" s="6" t="s">
        <v>177</v>
      </c>
      <c r="E204" s="6" t="s">
        <v>81</v>
      </c>
      <c r="F204" s="6" t="n">
        <v>3</v>
      </c>
      <c r="G204" s="6" t="n">
        <v>8</v>
      </c>
      <c r="H204" s="6" t="s">
        <v>4495</v>
      </c>
      <c r="I204" s="22" t="n">
        <v>304000</v>
      </c>
      <c r="J204" s="22" t="n">
        <v>4000</v>
      </c>
      <c r="K204" s="22" t="n">
        <v>23100</v>
      </c>
      <c r="L204" s="22" t="n">
        <v>331100</v>
      </c>
      <c r="M204" s="6" t="s">
        <v>152</v>
      </c>
      <c r="N204" s="6" t="s">
        <v>84</v>
      </c>
      <c r="O204" s="6" t="s">
        <v>886</v>
      </c>
      <c r="P204" s="6" t="s">
        <v>85</v>
      </c>
      <c r="Q204" s="6" t="str">
        <f aca="false">IF(P204="pass","No","Yes")</f>
        <v>Yes</v>
      </c>
      <c r="R204" s="6" t="s">
        <v>86</v>
      </c>
      <c r="S204" s="6" t="s">
        <v>886</v>
      </c>
      <c r="T204" s="6" t="s">
        <v>264</v>
      </c>
      <c r="U204" s="23" t="n">
        <v>15.182</v>
      </c>
      <c r="V204" s="6" t="s">
        <v>4496</v>
      </c>
      <c r="W204" s="6" t="s">
        <v>4497</v>
      </c>
      <c r="X204" s="6" t="s">
        <v>4498</v>
      </c>
      <c r="Y204" s="6" t="s">
        <v>86</v>
      </c>
      <c r="Z204" s="6" t="n">
        <v>0</v>
      </c>
      <c r="AA204" s="6" t="n">
        <v>0</v>
      </c>
      <c r="AB204" s="6" t="n">
        <v>1</v>
      </c>
      <c r="AC204" s="6" t="n">
        <v>0</v>
      </c>
      <c r="AD204" s="6" t="n">
        <v>0</v>
      </c>
      <c r="AE204" s="6" t="n">
        <v>0</v>
      </c>
      <c r="AF204" s="6" t="n">
        <v>0</v>
      </c>
      <c r="AG204" s="6" t="n">
        <v>0</v>
      </c>
      <c r="AH204" s="6" t="n">
        <v>0</v>
      </c>
      <c r="AI204" s="6" t="s">
        <v>84</v>
      </c>
    </row>
    <row r="205" customFormat="false" ht="15" hidden="false" customHeight="false" outlineLevel="0" collapsed="false">
      <c r="A205" s="6" t="n">
        <v>204</v>
      </c>
      <c r="B205" s="6" t="s">
        <v>4499</v>
      </c>
      <c r="C205" s="6" t="n">
        <v>5</v>
      </c>
      <c r="D205" s="6" t="s">
        <v>142</v>
      </c>
      <c r="E205" s="6" t="s">
        <v>74</v>
      </c>
      <c r="F205" s="6" t="n">
        <v>3</v>
      </c>
      <c r="G205" s="6" t="n">
        <v>62</v>
      </c>
      <c r="H205" s="6" t="s">
        <v>4500</v>
      </c>
      <c r="I205" s="22" t="n">
        <v>583200</v>
      </c>
      <c r="J205" s="22" t="n">
        <v>9000</v>
      </c>
      <c r="K205" s="22" t="n">
        <v>44415</v>
      </c>
      <c r="L205" s="22" t="n">
        <v>636615</v>
      </c>
      <c r="M205" s="6" t="s">
        <v>83</v>
      </c>
      <c r="N205" s="6" t="s">
        <v>84</v>
      </c>
      <c r="O205" s="6" t="s">
        <v>886</v>
      </c>
      <c r="P205" s="6" t="s">
        <v>85</v>
      </c>
      <c r="Q205" s="6" t="str">
        <f aca="false">IF(P205="pass","No","Yes")</f>
        <v>Yes</v>
      </c>
      <c r="R205" s="6" t="s">
        <v>86</v>
      </c>
      <c r="S205" s="6" t="s">
        <v>886</v>
      </c>
      <c r="T205" s="6" t="s">
        <v>517</v>
      </c>
      <c r="U205" s="23" t="n">
        <v>27.627</v>
      </c>
      <c r="V205" s="6" t="s">
        <v>4501</v>
      </c>
      <c r="W205" s="6" t="s">
        <v>4502</v>
      </c>
      <c r="X205" s="6" t="s">
        <v>4503</v>
      </c>
      <c r="Y205" s="6" t="s">
        <v>86</v>
      </c>
      <c r="Z205" s="6" t="n">
        <v>0</v>
      </c>
      <c r="AA205" s="6" t="n">
        <v>0</v>
      </c>
      <c r="AB205" s="6" t="n">
        <v>1</v>
      </c>
      <c r="AC205" s="6" t="n">
        <v>0</v>
      </c>
      <c r="AD205" s="6" t="n">
        <v>0</v>
      </c>
      <c r="AE205" s="6" t="n">
        <v>0</v>
      </c>
      <c r="AF205" s="6" t="n">
        <v>0</v>
      </c>
      <c r="AG205" s="6" t="n">
        <v>0</v>
      </c>
      <c r="AH205" s="6" t="n">
        <v>0</v>
      </c>
      <c r="AI205" s="6" t="s">
        <v>84</v>
      </c>
    </row>
    <row r="206" customFormat="false" ht="15" hidden="false" customHeight="false" outlineLevel="0" collapsed="false">
      <c r="A206" s="6" t="n">
        <v>205</v>
      </c>
      <c r="B206" s="6" t="s">
        <v>4504</v>
      </c>
      <c r="C206" s="6" t="n">
        <v>5</v>
      </c>
      <c r="D206" s="6" t="s">
        <v>127</v>
      </c>
      <c r="E206" s="6" t="s">
        <v>55</v>
      </c>
      <c r="F206" s="6" t="n">
        <v>2</v>
      </c>
      <c r="G206" s="6" t="n">
        <v>1567</v>
      </c>
      <c r="H206" s="6" t="s">
        <v>4505</v>
      </c>
      <c r="I206" s="22" t="n">
        <v>11512400</v>
      </c>
      <c r="J206" s="22" t="n">
        <v>6000</v>
      </c>
      <c r="K206" s="22" t="n">
        <v>863880</v>
      </c>
      <c r="L206" s="22" t="n">
        <v>12382280</v>
      </c>
      <c r="M206" s="6" t="s">
        <v>159</v>
      </c>
      <c r="N206" s="6" t="s">
        <v>84</v>
      </c>
      <c r="O206" s="6" t="s">
        <v>886</v>
      </c>
      <c r="P206" s="6" t="s">
        <v>85</v>
      </c>
      <c r="Q206" s="6" t="str">
        <f aca="false">IF(P206="pass","No","Yes")</f>
        <v>Yes</v>
      </c>
      <c r="R206" s="6" t="s">
        <v>86</v>
      </c>
      <c r="S206" s="6" t="s">
        <v>992</v>
      </c>
      <c r="T206" s="6" t="s">
        <v>4506</v>
      </c>
      <c r="U206" s="23" t="n">
        <v>24.224</v>
      </c>
      <c r="V206" s="6" t="s">
        <v>4507</v>
      </c>
      <c r="W206" s="6" t="s">
        <v>4508</v>
      </c>
      <c r="X206" s="6" t="s">
        <v>4509</v>
      </c>
      <c r="Y206" s="6" t="s">
        <v>86</v>
      </c>
      <c r="Z206" s="6" t="n">
        <v>0</v>
      </c>
      <c r="AA206" s="6" t="n">
        <v>0</v>
      </c>
      <c r="AB206" s="6" t="n">
        <v>1</v>
      </c>
      <c r="AC206" s="6" t="n">
        <v>1</v>
      </c>
      <c r="AD206" s="6" t="n">
        <v>0</v>
      </c>
      <c r="AE206" s="6" t="n">
        <v>0</v>
      </c>
      <c r="AF206" s="6" t="n">
        <v>0</v>
      </c>
      <c r="AG206" s="6" t="n">
        <v>0</v>
      </c>
      <c r="AH206" s="6" t="n">
        <v>1</v>
      </c>
      <c r="AI206" s="6" t="s">
        <v>84</v>
      </c>
    </row>
    <row r="207" customFormat="false" ht="15" hidden="false" customHeight="false" outlineLevel="0" collapsed="false">
      <c r="A207" s="6" t="n">
        <v>206</v>
      </c>
      <c r="B207" s="6" t="s">
        <v>4510</v>
      </c>
      <c r="C207" s="6" t="n">
        <v>5</v>
      </c>
      <c r="D207" s="6" t="s">
        <v>112</v>
      </c>
      <c r="E207" s="6" t="s">
        <v>116</v>
      </c>
      <c r="F207" s="6" t="n">
        <v>1</v>
      </c>
      <c r="G207" s="6" t="n">
        <v>31</v>
      </c>
      <c r="H207" s="6" t="s">
        <v>4511</v>
      </c>
      <c r="I207" s="22" t="n">
        <v>449500</v>
      </c>
      <c r="J207" s="22" t="n">
        <v>15000</v>
      </c>
      <c r="K207" s="22" t="n">
        <v>34837.5</v>
      </c>
      <c r="L207" s="22" t="n">
        <v>499337.5</v>
      </c>
      <c r="M207" s="6" t="s">
        <v>57</v>
      </c>
      <c r="N207" s="6" t="s">
        <v>58</v>
      </c>
      <c r="O207" s="6"/>
      <c r="P207" s="6" t="s">
        <v>69</v>
      </c>
      <c r="Q207" s="6" t="str">
        <f aca="false">IF(P207="pass","No","Yes")</f>
        <v>No</v>
      </c>
      <c r="R207" s="6" t="s">
        <v>60</v>
      </c>
      <c r="S207" s="6"/>
      <c r="T207" s="6"/>
      <c r="U207" s="23" t="n">
        <v>10.646</v>
      </c>
      <c r="V207" s="6" t="s">
        <v>4512</v>
      </c>
      <c r="W207" s="6" t="s">
        <v>4513</v>
      </c>
      <c r="X207" s="6" t="s">
        <v>4514</v>
      </c>
      <c r="Y207" s="6" t="s">
        <v>60</v>
      </c>
      <c r="Z207" s="6" t="n">
        <v>0</v>
      </c>
      <c r="AA207" s="6" t="n">
        <v>0</v>
      </c>
      <c r="AB207" s="6" t="n">
        <v>0</v>
      </c>
      <c r="AC207" s="6" t="n">
        <v>0</v>
      </c>
      <c r="AD207" s="6" t="n">
        <v>0</v>
      </c>
      <c r="AE207" s="6" t="n">
        <v>0</v>
      </c>
      <c r="AF207" s="6" t="n">
        <v>0</v>
      </c>
      <c r="AG207" s="6" t="n">
        <v>0</v>
      </c>
      <c r="AH207" s="6" t="n">
        <v>0</v>
      </c>
      <c r="AI207" s="6" t="s">
        <v>84</v>
      </c>
    </row>
    <row r="208" customFormat="false" ht="15" hidden="false" customHeight="false" outlineLevel="0" collapsed="false">
      <c r="A208" s="6" t="n">
        <v>207</v>
      </c>
      <c r="B208" s="6" t="s">
        <v>4515</v>
      </c>
      <c r="C208" s="6" t="n">
        <v>5</v>
      </c>
      <c r="D208" s="6" t="s">
        <v>100</v>
      </c>
      <c r="E208" s="6" t="s">
        <v>67</v>
      </c>
      <c r="F208" s="6" t="n">
        <v>2</v>
      </c>
      <c r="G208" s="6" t="n">
        <v>32</v>
      </c>
      <c r="H208" s="6" t="s">
        <v>4516</v>
      </c>
      <c r="I208" s="22" t="n">
        <v>744400</v>
      </c>
      <c r="J208" s="22" t="n">
        <v>4500</v>
      </c>
      <c r="K208" s="22" t="n">
        <v>56167.5</v>
      </c>
      <c r="L208" s="22" t="n">
        <v>805067.5</v>
      </c>
      <c r="M208" s="6" t="s">
        <v>1042</v>
      </c>
      <c r="N208" s="6" t="s">
        <v>58</v>
      </c>
      <c r="O208" s="6"/>
      <c r="P208" s="6" t="s">
        <v>69</v>
      </c>
      <c r="Q208" s="6" t="str">
        <f aca="false">IF(P208="pass","No","Yes")</f>
        <v>No</v>
      </c>
      <c r="R208" s="6" t="s">
        <v>60</v>
      </c>
      <c r="S208" s="6"/>
      <c r="T208" s="6"/>
      <c r="U208" s="23" t="n">
        <v>16.841</v>
      </c>
      <c r="V208" s="6" t="s">
        <v>4517</v>
      </c>
      <c r="W208" s="6" t="s">
        <v>4518</v>
      </c>
      <c r="X208" s="6" t="s">
        <v>4519</v>
      </c>
      <c r="Y208" s="6" t="s">
        <v>60</v>
      </c>
      <c r="Z208" s="6" t="n">
        <v>0</v>
      </c>
      <c r="AA208" s="6" t="n">
        <v>0</v>
      </c>
      <c r="AB208" s="6" t="n">
        <v>0</v>
      </c>
      <c r="AC208" s="6" t="n">
        <v>0</v>
      </c>
      <c r="AD208" s="6" t="n">
        <v>0</v>
      </c>
      <c r="AE208" s="6" t="n">
        <v>0</v>
      </c>
      <c r="AF208" s="6" t="n">
        <v>0</v>
      </c>
      <c r="AG208" s="6" t="n">
        <v>0</v>
      </c>
      <c r="AH208" s="6" t="n">
        <v>0</v>
      </c>
      <c r="AI208" s="6" t="s">
        <v>84</v>
      </c>
    </row>
    <row r="209" customFormat="false" ht="15" hidden="false" customHeight="false" outlineLevel="0" collapsed="false">
      <c r="A209" s="6" t="n">
        <v>208</v>
      </c>
      <c r="B209" s="6" t="s">
        <v>4520</v>
      </c>
      <c r="C209" s="6" t="n">
        <v>5</v>
      </c>
      <c r="D209" s="6" t="s">
        <v>51</v>
      </c>
      <c r="E209" s="6" t="s">
        <v>55</v>
      </c>
      <c r="F209" s="6" t="n">
        <v>3</v>
      </c>
      <c r="G209" s="6" t="n">
        <v>20</v>
      </c>
      <c r="H209" s="6" t="s">
        <v>4521</v>
      </c>
      <c r="I209" s="22" t="n">
        <v>454900</v>
      </c>
      <c r="J209" s="22" t="n">
        <v>6000</v>
      </c>
      <c r="K209" s="22" t="n">
        <v>34567.5</v>
      </c>
      <c r="L209" s="22" t="n">
        <v>495467.5</v>
      </c>
      <c r="M209" s="6" t="s">
        <v>1009</v>
      </c>
      <c r="N209" s="6" t="s">
        <v>58</v>
      </c>
      <c r="O209" s="6"/>
      <c r="P209" s="6" t="s">
        <v>69</v>
      </c>
      <c r="Q209" s="6" t="str">
        <f aca="false">IF(P209="pass","No","Yes")</f>
        <v>No</v>
      </c>
      <c r="R209" s="6" t="s">
        <v>60</v>
      </c>
      <c r="S209" s="6"/>
      <c r="T209" s="6"/>
      <c r="U209" s="23" t="n">
        <v>21.117</v>
      </c>
      <c r="V209" s="6" t="s">
        <v>4522</v>
      </c>
      <c r="W209" s="6" t="s">
        <v>4523</v>
      </c>
      <c r="X209" s="6" t="s">
        <v>4524</v>
      </c>
      <c r="Y209" s="6" t="s">
        <v>60</v>
      </c>
      <c r="Z209" s="6" t="n">
        <v>0</v>
      </c>
      <c r="AA209" s="6" t="n">
        <v>0</v>
      </c>
      <c r="AB209" s="6" t="n">
        <v>0</v>
      </c>
      <c r="AC209" s="6" t="n">
        <v>0</v>
      </c>
      <c r="AD209" s="6" t="n">
        <v>0</v>
      </c>
      <c r="AE209" s="6" t="n">
        <v>0</v>
      </c>
      <c r="AF209" s="6" t="n">
        <v>0</v>
      </c>
      <c r="AG209" s="6" t="n">
        <v>0</v>
      </c>
      <c r="AH209" s="6" t="n">
        <v>0</v>
      </c>
      <c r="AI209" s="6" t="s">
        <v>84</v>
      </c>
    </row>
    <row r="210" customFormat="false" ht="15" hidden="false" customHeight="false" outlineLevel="0" collapsed="false">
      <c r="A210" s="6" t="n">
        <v>209</v>
      </c>
      <c r="B210" s="6" t="s">
        <v>4525</v>
      </c>
      <c r="C210" s="6" t="n">
        <v>5</v>
      </c>
      <c r="D210" s="6" t="s">
        <v>127</v>
      </c>
      <c r="E210" s="6" t="s">
        <v>55</v>
      </c>
      <c r="F210" s="6" t="n">
        <v>4</v>
      </c>
      <c r="G210" s="6" t="n">
        <v>44</v>
      </c>
      <c r="H210" s="6" t="s">
        <v>4526</v>
      </c>
      <c r="I210" s="22" t="n">
        <v>1861000</v>
      </c>
      <c r="J210" s="22" t="n">
        <v>6000</v>
      </c>
      <c r="K210" s="22" t="n">
        <v>140025</v>
      </c>
      <c r="L210" s="22" t="n">
        <v>2007025</v>
      </c>
      <c r="M210" s="6" t="s">
        <v>152</v>
      </c>
      <c r="N210" s="6" t="s">
        <v>84</v>
      </c>
      <c r="O210" s="6" t="s">
        <v>886</v>
      </c>
      <c r="P210" s="6" t="s">
        <v>85</v>
      </c>
      <c r="Q210" s="6" t="str">
        <f aca="false">IF(P210="pass","No","Yes")</f>
        <v>Yes</v>
      </c>
      <c r="R210" s="6" t="s">
        <v>86</v>
      </c>
      <c r="S210" s="6" t="s">
        <v>886</v>
      </c>
      <c r="T210" s="6" t="s">
        <v>262</v>
      </c>
      <c r="U210" s="23" t="n">
        <v>21.088</v>
      </c>
      <c r="V210" s="6" t="s">
        <v>4527</v>
      </c>
      <c r="W210" s="6" t="s">
        <v>4528</v>
      </c>
      <c r="X210" s="6" t="s">
        <v>4529</v>
      </c>
      <c r="Y210" s="6" t="s">
        <v>86</v>
      </c>
      <c r="Z210" s="6" t="n">
        <v>0</v>
      </c>
      <c r="AA210" s="6" t="n">
        <v>0</v>
      </c>
      <c r="AB210" s="6" t="n">
        <v>1</v>
      </c>
      <c r="AC210" s="6" t="n">
        <v>0</v>
      </c>
      <c r="AD210" s="6" t="n">
        <v>0</v>
      </c>
      <c r="AE210" s="6" t="n">
        <v>0</v>
      </c>
      <c r="AF210" s="6" t="n">
        <v>0</v>
      </c>
      <c r="AG210" s="6" t="n">
        <v>0</v>
      </c>
      <c r="AH210" s="6" t="n">
        <v>0</v>
      </c>
      <c r="AI210" s="6" t="s">
        <v>84</v>
      </c>
    </row>
    <row r="211" customFormat="false" ht="15" hidden="false" customHeight="false" outlineLevel="0" collapsed="false">
      <c r="A211" s="6" t="n">
        <v>210</v>
      </c>
      <c r="B211" s="6" t="s">
        <v>4530</v>
      </c>
      <c r="C211" s="6" t="n">
        <v>5</v>
      </c>
      <c r="D211" s="6" t="s">
        <v>112</v>
      </c>
      <c r="E211" s="6" t="s">
        <v>116</v>
      </c>
      <c r="F211" s="6" t="n">
        <v>4</v>
      </c>
      <c r="G211" s="6" t="n">
        <v>47</v>
      </c>
      <c r="H211" s="6" t="s">
        <v>4531</v>
      </c>
      <c r="I211" s="22" t="n">
        <v>1368800</v>
      </c>
      <c r="J211" s="22" t="n">
        <v>15000</v>
      </c>
      <c r="K211" s="22" t="n">
        <v>103785</v>
      </c>
      <c r="L211" s="22" t="n">
        <v>1487585</v>
      </c>
      <c r="M211" s="6" t="s">
        <v>132</v>
      </c>
      <c r="N211" s="6" t="s">
        <v>84</v>
      </c>
      <c r="O211" s="6" t="s">
        <v>879</v>
      </c>
      <c r="P211" s="6" t="s">
        <v>85</v>
      </c>
      <c r="Q211" s="6" t="str">
        <f aca="false">IF(P211="pass","No","Yes")</f>
        <v>Yes</v>
      </c>
      <c r="R211" s="6" t="s">
        <v>86</v>
      </c>
      <c r="S211" s="6" t="s">
        <v>880</v>
      </c>
      <c r="T211" s="6" t="s">
        <v>134</v>
      </c>
      <c r="U211" s="23" t="n">
        <v>22.482</v>
      </c>
      <c r="V211" s="6" t="s">
        <v>4532</v>
      </c>
      <c r="W211" s="6" t="s">
        <v>4533</v>
      </c>
      <c r="X211" s="6" t="s">
        <v>4534</v>
      </c>
      <c r="Y211" s="6" t="s">
        <v>86</v>
      </c>
      <c r="Z211" s="6" t="n">
        <v>0</v>
      </c>
      <c r="AA211" s="6" t="n">
        <v>1</v>
      </c>
      <c r="AB211" s="6" t="n">
        <v>0</v>
      </c>
      <c r="AC211" s="6" t="n">
        <v>1</v>
      </c>
      <c r="AD211" s="6" t="n">
        <v>0</v>
      </c>
      <c r="AE211" s="6" t="n">
        <v>0</v>
      </c>
      <c r="AF211" s="6" t="n">
        <v>0</v>
      </c>
      <c r="AG211" s="6" t="n">
        <v>0</v>
      </c>
      <c r="AH211" s="6" t="n">
        <v>0</v>
      </c>
      <c r="AI211" s="6" t="s">
        <v>84</v>
      </c>
    </row>
    <row r="212" customFormat="false" ht="15" hidden="false" customHeight="false" outlineLevel="0" collapsed="false">
      <c r="A212" s="6" t="n">
        <v>211</v>
      </c>
      <c r="B212" s="6" t="s">
        <v>4535</v>
      </c>
      <c r="C212" s="6" t="n">
        <v>5</v>
      </c>
      <c r="D212" s="6" t="s">
        <v>105</v>
      </c>
      <c r="E212" s="6" t="s">
        <v>81</v>
      </c>
      <c r="F212" s="6" t="n">
        <v>3</v>
      </c>
      <c r="G212" s="6" t="n">
        <v>109</v>
      </c>
      <c r="H212" s="6" t="s">
        <v>4536</v>
      </c>
      <c r="I212" s="22" t="n">
        <v>1068800</v>
      </c>
      <c r="J212" s="22" t="n">
        <v>4000</v>
      </c>
      <c r="K212" s="22" t="n">
        <v>80460</v>
      </c>
      <c r="L212" s="22" t="n">
        <v>1153260</v>
      </c>
      <c r="M212" s="6" t="s">
        <v>57</v>
      </c>
      <c r="N212" s="6" t="s">
        <v>58</v>
      </c>
      <c r="O212" s="6"/>
      <c r="P212" s="6" t="s">
        <v>59</v>
      </c>
      <c r="Q212" s="6" t="str">
        <f aca="false">IF(P212="pass","No","Yes")</f>
        <v>Yes</v>
      </c>
      <c r="R212" s="6" t="s">
        <v>60</v>
      </c>
      <c r="S212" s="6" t="s">
        <v>915</v>
      </c>
      <c r="T212" s="6" t="s">
        <v>1197</v>
      </c>
      <c r="U212" s="23" t="n">
        <v>39.798</v>
      </c>
      <c r="V212" s="6" t="s">
        <v>4537</v>
      </c>
      <c r="W212" s="6" t="s">
        <v>4538</v>
      </c>
      <c r="X212" s="6" t="s">
        <v>4539</v>
      </c>
      <c r="Y212" s="6" t="s">
        <v>60</v>
      </c>
      <c r="Z212" s="6" t="n">
        <v>0</v>
      </c>
      <c r="AA212" s="6" t="n">
        <v>0</v>
      </c>
      <c r="AB212" s="6" t="n">
        <v>0</v>
      </c>
      <c r="AC212" s="6" t="n">
        <v>0</v>
      </c>
      <c r="AD212" s="6" t="n">
        <v>0</v>
      </c>
      <c r="AE212" s="6" t="n">
        <v>0</v>
      </c>
      <c r="AF212" s="6" t="n">
        <v>0</v>
      </c>
      <c r="AG212" s="6" t="n">
        <v>0</v>
      </c>
      <c r="AH212" s="6" t="n">
        <v>1</v>
      </c>
      <c r="AI212" s="6" t="s">
        <v>84</v>
      </c>
    </row>
    <row r="213" customFormat="false" ht="15" hidden="false" customHeight="false" outlineLevel="0" collapsed="false">
      <c r="A213" s="6" t="n">
        <v>212</v>
      </c>
      <c r="B213" s="6" t="s">
        <v>4540</v>
      </c>
      <c r="C213" s="6" t="n">
        <v>5</v>
      </c>
      <c r="D213" s="6" t="s">
        <v>89</v>
      </c>
      <c r="E213" s="6" t="s">
        <v>67</v>
      </c>
      <c r="F213" s="6" t="n">
        <v>3</v>
      </c>
      <c r="G213" s="6" t="n">
        <v>139</v>
      </c>
      <c r="H213" s="6" t="s">
        <v>4541</v>
      </c>
      <c r="I213" s="22" t="n">
        <v>1566200</v>
      </c>
      <c r="J213" s="22" t="n">
        <v>4500</v>
      </c>
      <c r="K213" s="22" t="n">
        <v>117802.5</v>
      </c>
      <c r="L213" s="22" t="n">
        <v>1688502.5</v>
      </c>
      <c r="M213" s="6" t="s">
        <v>57</v>
      </c>
      <c r="N213" s="6" t="s">
        <v>58</v>
      </c>
      <c r="O213" s="6"/>
      <c r="P213" s="6" t="s">
        <v>59</v>
      </c>
      <c r="Q213" s="6" t="str">
        <f aca="false">IF(P213="pass","No","Yes")</f>
        <v>Yes</v>
      </c>
      <c r="R213" s="6" t="s">
        <v>60</v>
      </c>
      <c r="S213" s="6" t="s">
        <v>915</v>
      </c>
      <c r="T213" s="6" t="s">
        <v>4542</v>
      </c>
      <c r="U213" s="23" t="n">
        <v>30.929</v>
      </c>
      <c r="V213" s="6" t="s">
        <v>4543</v>
      </c>
      <c r="W213" s="6" t="s">
        <v>4544</v>
      </c>
      <c r="X213" s="6" t="s">
        <v>4545</v>
      </c>
      <c r="Y213" s="6" t="s">
        <v>60</v>
      </c>
      <c r="Z213" s="6" t="n">
        <v>0</v>
      </c>
      <c r="AA213" s="6" t="n">
        <v>0</v>
      </c>
      <c r="AB213" s="6" t="n">
        <v>0</v>
      </c>
      <c r="AC213" s="6" t="n">
        <v>0</v>
      </c>
      <c r="AD213" s="6" t="n">
        <v>0</v>
      </c>
      <c r="AE213" s="6" t="n">
        <v>0</v>
      </c>
      <c r="AF213" s="6" t="n">
        <v>0</v>
      </c>
      <c r="AG213" s="6" t="n">
        <v>0</v>
      </c>
      <c r="AH213" s="6" t="n">
        <v>1</v>
      </c>
      <c r="AI213" s="6" t="s">
        <v>84</v>
      </c>
    </row>
    <row r="214" customFormat="false" ht="15" hidden="false" customHeight="false" outlineLevel="0" collapsed="false">
      <c r="A214" s="6" t="n">
        <v>213</v>
      </c>
      <c r="B214" s="6" t="s">
        <v>4546</v>
      </c>
      <c r="C214" s="6" t="n">
        <v>5</v>
      </c>
      <c r="D214" s="6" t="s">
        <v>112</v>
      </c>
      <c r="E214" s="6" t="s">
        <v>116</v>
      </c>
      <c r="F214" s="6" t="n">
        <v>4</v>
      </c>
      <c r="G214" s="6" t="n">
        <v>79</v>
      </c>
      <c r="H214" s="6" t="s">
        <v>4547</v>
      </c>
      <c r="I214" s="22" t="n">
        <v>1816400</v>
      </c>
      <c r="J214" s="22" t="n">
        <v>15000</v>
      </c>
      <c r="K214" s="22" t="n">
        <v>137355</v>
      </c>
      <c r="L214" s="22" t="n">
        <v>1968755</v>
      </c>
      <c r="M214" s="6" t="s">
        <v>132</v>
      </c>
      <c r="N214" s="6" t="s">
        <v>84</v>
      </c>
      <c r="O214" s="6" t="s">
        <v>879</v>
      </c>
      <c r="P214" s="6" t="s">
        <v>85</v>
      </c>
      <c r="Q214" s="6" t="str">
        <f aca="false">IF(P214="pass","No","Yes")</f>
        <v>Yes</v>
      </c>
      <c r="R214" s="6" t="s">
        <v>86</v>
      </c>
      <c r="S214" s="6" t="s">
        <v>880</v>
      </c>
      <c r="T214" s="6" t="s">
        <v>134</v>
      </c>
      <c r="U214" s="23" t="n">
        <v>22.916</v>
      </c>
      <c r="V214" s="6" t="s">
        <v>4548</v>
      </c>
      <c r="W214" s="6" t="s">
        <v>4549</v>
      </c>
      <c r="X214" s="6" t="s">
        <v>4550</v>
      </c>
      <c r="Y214" s="6" t="s">
        <v>86</v>
      </c>
      <c r="Z214" s="6" t="n">
        <v>0</v>
      </c>
      <c r="AA214" s="6" t="n">
        <v>1</v>
      </c>
      <c r="AB214" s="6" t="n">
        <v>0</v>
      </c>
      <c r="AC214" s="6" t="n">
        <v>1</v>
      </c>
      <c r="AD214" s="6" t="n">
        <v>0</v>
      </c>
      <c r="AE214" s="6" t="n">
        <v>0</v>
      </c>
      <c r="AF214" s="6" t="n">
        <v>0</v>
      </c>
      <c r="AG214" s="6" t="n">
        <v>0</v>
      </c>
      <c r="AH214" s="6" t="n">
        <v>0</v>
      </c>
      <c r="AI214" s="6" t="s">
        <v>84</v>
      </c>
    </row>
    <row r="215" customFormat="false" ht="15" hidden="false" customHeight="false" outlineLevel="0" collapsed="false">
      <c r="A215" s="6" t="n">
        <v>214</v>
      </c>
      <c r="B215" s="6" t="s">
        <v>4551</v>
      </c>
      <c r="C215" s="6" t="n">
        <v>5</v>
      </c>
      <c r="D215" s="6" t="s">
        <v>105</v>
      </c>
      <c r="E215" s="6" t="s">
        <v>81</v>
      </c>
      <c r="F215" s="6" t="n">
        <v>4</v>
      </c>
      <c r="G215" s="6" t="n">
        <v>237</v>
      </c>
      <c r="H215" s="6" t="s">
        <v>4552</v>
      </c>
      <c r="I215" s="22" t="n">
        <v>2508900</v>
      </c>
      <c r="J215" s="22" t="n">
        <v>4000</v>
      </c>
      <c r="K215" s="22" t="n">
        <v>188467.5</v>
      </c>
      <c r="L215" s="22" t="n">
        <v>2701367.5</v>
      </c>
      <c r="M215" s="6" t="s">
        <v>927</v>
      </c>
      <c r="N215" s="6" t="s">
        <v>58</v>
      </c>
      <c r="O215" s="6"/>
      <c r="P215" s="6" t="s">
        <v>59</v>
      </c>
      <c r="Q215" s="6" t="str">
        <f aca="false">IF(P215="pass","No","Yes")</f>
        <v>Yes</v>
      </c>
      <c r="R215" s="6" t="s">
        <v>60</v>
      </c>
      <c r="S215" s="6" t="s">
        <v>915</v>
      </c>
      <c r="T215" s="6" t="s">
        <v>4553</v>
      </c>
      <c r="U215" s="23" t="n">
        <v>37.724</v>
      </c>
      <c r="V215" s="6" t="s">
        <v>4554</v>
      </c>
      <c r="W215" s="6" t="s">
        <v>4555</v>
      </c>
      <c r="X215" s="6" t="s">
        <v>4556</v>
      </c>
      <c r="Y215" s="6" t="s">
        <v>60</v>
      </c>
      <c r="Z215" s="6" t="n">
        <v>0</v>
      </c>
      <c r="AA215" s="6" t="n">
        <v>0</v>
      </c>
      <c r="AB215" s="6" t="n">
        <v>0</v>
      </c>
      <c r="AC215" s="6" t="n">
        <v>0</v>
      </c>
      <c r="AD215" s="6" t="n">
        <v>0</v>
      </c>
      <c r="AE215" s="6" t="n">
        <v>0</v>
      </c>
      <c r="AF215" s="6" t="n">
        <v>0</v>
      </c>
      <c r="AG215" s="6" t="n">
        <v>0</v>
      </c>
      <c r="AH215" s="6" t="n">
        <v>1</v>
      </c>
      <c r="AI215" s="6" t="s">
        <v>84</v>
      </c>
    </row>
    <row r="216" customFormat="false" ht="15" hidden="false" customHeight="false" outlineLevel="0" collapsed="false">
      <c r="A216" s="6" t="n">
        <v>215</v>
      </c>
      <c r="B216" s="6" t="s">
        <v>4557</v>
      </c>
      <c r="C216" s="6" t="n">
        <v>5</v>
      </c>
      <c r="D216" s="6" t="s">
        <v>137</v>
      </c>
      <c r="E216" s="6" t="s">
        <v>55</v>
      </c>
      <c r="F216" s="6" t="n">
        <v>2</v>
      </c>
      <c r="G216" s="6" t="n">
        <v>49</v>
      </c>
      <c r="H216" s="6" t="s">
        <v>4558</v>
      </c>
      <c r="I216" s="22" t="n">
        <v>466200</v>
      </c>
      <c r="J216" s="22" t="n">
        <v>6000</v>
      </c>
      <c r="K216" s="22" t="n">
        <v>35415</v>
      </c>
      <c r="L216" s="22" t="n">
        <v>507615</v>
      </c>
      <c r="M216" s="6" t="s">
        <v>1042</v>
      </c>
      <c r="N216" s="6" t="s">
        <v>58</v>
      </c>
      <c r="O216" s="6"/>
      <c r="P216" s="6" t="s">
        <v>69</v>
      </c>
      <c r="Q216" s="6" t="str">
        <f aca="false">IF(P216="pass","No","Yes")</f>
        <v>No</v>
      </c>
      <c r="R216" s="6" t="s">
        <v>60</v>
      </c>
      <c r="S216" s="6"/>
      <c r="T216" s="6"/>
      <c r="U216" s="23" t="n">
        <v>17.089</v>
      </c>
      <c r="V216" s="6" t="s">
        <v>4559</v>
      </c>
      <c r="W216" s="6" t="s">
        <v>4560</v>
      </c>
      <c r="X216" s="6" t="s">
        <v>4561</v>
      </c>
      <c r="Y216" s="6" t="s">
        <v>60</v>
      </c>
      <c r="Z216" s="6" t="n">
        <v>0</v>
      </c>
      <c r="AA216" s="6" t="n">
        <v>0</v>
      </c>
      <c r="AB216" s="6" t="n">
        <v>0</v>
      </c>
      <c r="AC216" s="6" t="n">
        <v>0</v>
      </c>
      <c r="AD216" s="6" t="n">
        <v>0</v>
      </c>
      <c r="AE216" s="6" t="n">
        <v>0</v>
      </c>
      <c r="AF216" s="6" t="n">
        <v>0</v>
      </c>
      <c r="AG216" s="6" t="n">
        <v>0</v>
      </c>
      <c r="AH216" s="6" t="n">
        <v>0</v>
      </c>
      <c r="AI216" s="6" t="s">
        <v>84</v>
      </c>
    </row>
    <row r="217" customFormat="false" ht="15" hidden="false" customHeight="false" outlineLevel="0" collapsed="false">
      <c r="A217" s="6" t="n">
        <v>216</v>
      </c>
      <c r="B217" s="6" t="s">
        <v>4562</v>
      </c>
      <c r="C217" s="6" t="n">
        <v>5</v>
      </c>
      <c r="D217" s="6" t="s">
        <v>186</v>
      </c>
      <c r="E217" s="6" t="s">
        <v>123</v>
      </c>
      <c r="F217" s="6" t="n">
        <v>2</v>
      </c>
      <c r="G217" s="6" t="n">
        <v>8</v>
      </c>
      <c r="H217" s="6" t="s">
        <v>4563</v>
      </c>
      <c r="I217" s="22" t="n">
        <v>416000</v>
      </c>
      <c r="J217" s="22" t="n">
        <v>5000</v>
      </c>
      <c r="K217" s="22" t="n">
        <v>31575</v>
      </c>
      <c r="L217" s="22" t="n">
        <v>452575</v>
      </c>
      <c r="M217" s="6" t="s">
        <v>152</v>
      </c>
      <c r="N217" s="6" t="s">
        <v>84</v>
      </c>
      <c r="O217" s="6" t="s">
        <v>886</v>
      </c>
      <c r="P217" s="6" t="s">
        <v>85</v>
      </c>
      <c r="Q217" s="6" t="str">
        <f aca="false">IF(P217="pass","No","Yes")</f>
        <v>Yes</v>
      </c>
      <c r="R217" s="6" t="s">
        <v>86</v>
      </c>
      <c r="S217" s="6" t="s">
        <v>886</v>
      </c>
      <c r="T217" s="6" t="s">
        <v>153</v>
      </c>
      <c r="U217" s="23" t="n">
        <v>10.063</v>
      </c>
      <c r="V217" s="6" t="s">
        <v>4564</v>
      </c>
      <c r="W217" s="6" t="s">
        <v>4565</v>
      </c>
      <c r="X217" s="6" t="s">
        <v>4566</v>
      </c>
      <c r="Y217" s="6" t="s">
        <v>86</v>
      </c>
      <c r="Z217" s="6" t="n">
        <v>0</v>
      </c>
      <c r="AA217" s="6" t="n">
        <v>0</v>
      </c>
      <c r="AB217" s="6" t="n">
        <v>1</v>
      </c>
      <c r="AC217" s="6" t="n">
        <v>0</v>
      </c>
      <c r="AD217" s="6" t="n">
        <v>0</v>
      </c>
      <c r="AE217" s="6" t="n">
        <v>0</v>
      </c>
      <c r="AF217" s="6" t="n">
        <v>0</v>
      </c>
      <c r="AG217" s="6" t="n">
        <v>0</v>
      </c>
      <c r="AH217" s="6" t="n">
        <v>0</v>
      </c>
      <c r="AI217" s="6" t="s">
        <v>84</v>
      </c>
    </row>
    <row r="218" customFormat="false" ht="15" hidden="false" customHeight="false" outlineLevel="0" collapsed="false">
      <c r="A218" s="6" t="n">
        <v>217</v>
      </c>
      <c r="B218" s="6" t="s">
        <v>4567</v>
      </c>
      <c r="C218" s="6" t="n">
        <v>5</v>
      </c>
      <c r="D218" s="6" t="s">
        <v>191</v>
      </c>
      <c r="E218" s="6" t="s">
        <v>116</v>
      </c>
      <c r="F218" s="6" t="n">
        <v>2</v>
      </c>
      <c r="G218" s="6" t="n">
        <v>276</v>
      </c>
      <c r="H218" s="6" t="s">
        <v>4568</v>
      </c>
      <c r="I218" s="22" t="n">
        <v>2751000</v>
      </c>
      <c r="J218" s="22" t="n">
        <v>15000</v>
      </c>
      <c r="K218" s="22" t="n">
        <v>207450</v>
      </c>
      <c r="L218" s="22" t="n">
        <v>2973450</v>
      </c>
      <c r="M218" s="6" t="s">
        <v>927</v>
      </c>
      <c r="N218" s="6" t="s">
        <v>58</v>
      </c>
      <c r="O218" s="6"/>
      <c r="P218" s="6" t="s">
        <v>59</v>
      </c>
      <c r="Q218" s="6" t="str">
        <f aca="false">IF(P218="pass","No","Yes")</f>
        <v>Yes</v>
      </c>
      <c r="R218" s="6" t="s">
        <v>60</v>
      </c>
      <c r="S218" s="6" t="s">
        <v>915</v>
      </c>
      <c r="T218" s="6" t="s">
        <v>4569</v>
      </c>
      <c r="U218" s="23" t="n">
        <v>26.254</v>
      </c>
      <c r="V218" s="6" t="s">
        <v>4570</v>
      </c>
      <c r="W218" s="6" t="s">
        <v>4571</v>
      </c>
      <c r="X218" s="6" t="s">
        <v>4572</v>
      </c>
      <c r="Y218" s="6" t="s">
        <v>60</v>
      </c>
      <c r="Z218" s="6" t="n">
        <v>0</v>
      </c>
      <c r="AA218" s="6" t="n">
        <v>0</v>
      </c>
      <c r="AB218" s="6" t="n">
        <v>0</v>
      </c>
      <c r="AC218" s="6" t="n">
        <v>0</v>
      </c>
      <c r="AD218" s="6" t="n">
        <v>0</v>
      </c>
      <c r="AE218" s="6" t="n">
        <v>0</v>
      </c>
      <c r="AF218" s="6" t="n">
        <v>0</v>
      </c>
      <c r="AG218" s="6" t="n">
        <v>0</v>
      </c>
      <c r="AH218" s="6" t="n">
        <v>1</v>
      </c>
      <c r="AI218" s="6" t="s">
        <v>84</v>
      </c>
    </row>
    <row r="219" customFormat="false" ht="15" hidden="false" customHeight="false" outlineLevel="0" collapsed="false">
      <c r="A219" s="6" t="n">
        <v>218</v>
      </c>
      <c r="B219" s="6" t="s">
        <v>4573</v>
      </c>
      <c r="C219" s="6" t="n">
        <v>5</v>
      </c>
      <c r="D219" s="6" t="s">
        <v>137</v>
      </c>
      <c r="E219" s="6" t="s">
        <v>55</v>
      </c>
      <c r="F219" s="6" t="n">
        <v>2</v>
      </c>
      <c r="G219" s="6" t="n">
        <v>146</v>
      </c>
      <c r="H219" s="6" t="s">
        <v>4574</v>
      </c>
      <c r="I219" s="22" t="n">
        <v>1623500</v>
      </c>
      <c r="J219" s="22" t="n">
        <v>6000</v>
      </c>
      <c r="K219" s="22" t="n">
        <v>122212.5</v>
      </c>
      <c r="L219" s="22" t="n">
        <v>1751712.5</v>
      </c>
      <c r="M219" s="6" t="s">
        <v>57</v>
      </c>
      <c r="N219" s="6" t="s">
        <v>58</v>
      </c>
      <c r="O219" s="6"/>
      <c r="P219" s="6" t="s">
        <v>69</v>
      </c>
      <c r="Q219" s="6" t="str">
        <f aca="false">IF(P219="pass","No","Yes")</f>
        <v>No</v>
      </c>
      <c r="R219" s="6" t="s">
        <v>60</v>
      </c>
      <c r="S219" s="6"/>
      <c r="T219" s="6"/>
      <c r="U219" s="23" t="n">
        <v>26.112</v>
      </c>
      <c r="V219" s="6" t="s">
        <v>4575</v>
      </c>
      <c r="W219" s="6" t="s">
        <v>4576</v>
      </c>
      <c r="X219" s="6" t="s">
        <v>4577</v>
      </c>
      <c r="Y219" s="6" t="s">
        <v>60</v>
      </c>
      <c r="Z219" s="6" t="n">
        <v>0</v>
      </c>
      <c r="AA219" s="6" t="n">
        <v>0</v>
      </c>
      <c r="AB219" s="6" t="n">
        <v>0</v>
      </c>
      <c r="AC219" s="6" t="n">
        <v>0</v>
      </c>
      <c r="AD219" s="6" t="n">
        <v>0</v>
      </c>
      <c r="AE219" s="6" t="n">
        <v>0</v>
      </c>
      <c r="AF219" s="6" t="n">
        <v>0</v>
      </c>
      <c r="AG219" s="6" t="n">
        <v>0</v>
      </c>
      <c r="AH219" s="6" t="n">
        <v>0</v>
      </c>
      <c r="AI219" s="6" t="s">
        <v>84</v>
      </c>
    </row>
    <row r="220" customFormat="false" ht="15" hidden="false" customHeight="false" outlineLevel="0" collapsed="false">
      <c r="A220" s="6" t="n">
        <v>219</v>
      </c>
      <c r="B220" s="6" t="s">
        <v>4578</v>
      </c>
      <c r="C220" s="6" t="n">
        <v>5</v>
      </c>
      <c r="D220" s="6" t="s">
        <v>166</v>
      </c>
      <c r="E220" s="6" t="s">
        <v>74</v>
      </c>
      <c r="F220" s="6" t="n">
        <v>1</v>
      </c>
      <c r="G220" s="6" t="n">
        <v>2</v>
      </c>
      <c r="H220" s="6" t="s">
        <v>959</v>
      </c>
      <c r="I220" s="22" t="n">
        <v>8200</v>
      </c>
      <c r="J220" s="22" t="n">
        <v>9000</v>
      </c>
      <c r="K220" s="22" t="n">
        <v>1290</v>
      </c>
      <c r="L220" s="22" t="n">
        <v>18490</v>
      </c>
      <c r="M220" s="6" t="s">
        <v>57</v>
      </c>
      <c r="N220" s="6" t="s">
        <v>58</v>
      </c>
      <c r="O220" s="6"/>
      <c r="P220" s="6" t="s">
        <v>69</v>
      </c>
      <c r="Q220" s="6" t="str">
        <f aca="false">IF(P220="pass","No","Yes")</f>
        <v>No</v>
      </c>
      <c r="R220" s="6" t="s">
        <v>60</v>
      </c>
      <c r="S220" s="6"/>
      <c r="T220" s="6"/>
      <c r="U220" s="23" t="n">
        <v>10.294</v>
      </c>
      <c r="V220" s="6" t="s">
        <v>4579</v>
      </c>
      <c r="W220" s="6" t="s">
        <v>4580</v>
      </c>
      <c r="X220" s="6" t="s">
        <v>4581</v>
      </c>
      <c r="Y220" s="6" t="s">
        <v>60</v>
      </c>
      <c r="Z220" s="6" t="n">
        <v>0</v>
      </c>
      <c r="AA220" s="6" t="n">
        <v>0</v>
      </c>
      <c r="AB220" s="6" t="n">
        <v>0</v>
      </c>
      <c r="AC220" s="6" t="n">
        <v>0</v>
      </c>
      <c r="AD220" s="6" t="n">
        <v>0</v>
      </c>
      <c r="AE220" s="6" t="n">
        <v>0</v>
      </c>
      <c r="AF220" s="6" t="n">
        <v>0</v>
      </c>
      <c r="AG220" s="6" t="n">
        <v>0</v>
      </c>
      <c r="AH220" s="6" t="n">
        <v>0</v>
      </c>
      <c r="AI220" s="6" t="s">
        <v>84</v>
      </c>
    </row>
    <row r="221" customFormat="false" ht="15" hidden="false" customHeight="false" outlineLevel="0" collapsed="false">
      <c r="A221" s="6" t="n">
        <v>220</v>
      </c>
      <c r="B221" s="6" t="s">
        <v>4582</v>
      </c>
      <c r="C221" s="6" t="n">
        <v>5</v>
      </c>
      <c r="D221" s="6" t="s">
        <v>51</v>
      </c>
      <c r="E221" s="6" t="s">
        <v>55</v>
      </c>
      <c r="F221" s="6" t="n">
        <v>3</v>
      </c>
      <c r="G221" s="6" t="n">
        <v>1583</v>
      </c>
      <c r="H221" s="6" t="s">
        <v>4583</v>
      </c>
      <c r="I221" s="22" t="n">
        <v>11560800</v>
      </c>
      <c r="J221" s="22" t="n">
        <v>6000</v>
      </c>
      <c r="K221" s="22" t="n">
        <v>867510</v>
      </c>
      <c r="L221" s="22" t="n">
        <v>12434310</v>
      </c>
      <c r="M221" s="6" t="s">
        <v>159</v>
      </c>
      <c r="N221" s="6" t="s">
        <v>84</v>
      </c>
      <c r="O221" s="6" t="s">
        <v>886</v>
      </c>
      <c r="P221" s="6" t="s">
        <v>85</v>
      </c>
      <c r="Q221" s="6" t="str">
        <f aca="false">IF(P221="pass","No","Yes")</f>
        <v>Yes</v>
      </c>
      <c r="R221" s="6" t="s">
        <v>86</v>
      </c>
      <c r="S221" s="6" t="s">
        <v>992</v>
      </c>
      <c r="T221" s="6" t="s">
        <v>4584</v>
      </c>
      <c r="U221" s="23" t="n">
        <v>32.469</v>
      </c>
      <c r="V221" s="6" t="s">
        <v>4585</v>
      </c>
      <c r="W221" s="6" t="s">
        <v>4586</v>
      </c>
      <c r="X221" s="6" t="s">
        <v>4587</v>
      </c>
      <c r="Y221" s="6" t="s">
        <v>86</v>
      </c>
      <c r="Z221" s="6" t="n">
        <v>0</v>
      </c>
      <c r="AA221" s="6" t="n">
        <v>0</v>
      </c>
      <c r="AB221" s="6" t="n">
        <v>1</v>
      </c>
      <c r="AC221" s="6" t="n">
        <v>1</v>
      </c>
      <c r="AD221" s="6" t="n">
        <v>0</v>
      </c>
      <c r="AE221" s="6" t="n">
        <v>0</v>
      </c>
      <c r="AF221" s="6" t="n">
        <v>0</v>
      </c>
      <c r="AG221" s="6" t="n">
        <v>0</v>
      </c>
      <c r="AH221" s="6" t="n">
        <v>1</v>
      </c>
      <c r="AI221" s="6" t="s">
        <v>84</v>
      </c>
    </row>
    <row r="222" customFormat="false" ht="15" hidden="false" customHeight="false" outlineLevel="0" collapsed="false">
      <c r="A222" s="6" t="n">
        <v>221</v>
      </c>
      <c r="B222" s="6" t="s">
        <v>4588</v>
      </c>
      <c r="C222" s="6" t="n">
        <v>5</v>
      </c>
      <c r="D222" s="6" t="s">
        <v>177</v>
      </c>
      <c r="E222" s="6" t="s">
        <v>81</v>
      </c>
      <c r="F222" s="6" t="n">
        <v>1</v>
      </c>
      <c r="G222" s="6" t="n">
        <v>5</v>
      </c>
      <c r="H222" s="6" t="s">
        <v>2581</v>
      </c>
      <c r="I222" s="22" t="n">
        <v>155000</v>
      </c>
      <c r="J222" s="22" t="n">
        <v>4000</v>
      </c>
      <c r="K222" s="22" t="n">
        <v>11925</v>
      </c>
      <c r="L222" s="22" t="n">
        <v>170925</v>
      </c>
      <c r="M222" s="6" t="s">
        <v>94</v>
      </c>
      <c r="N222" s="6" t="s">
        <v>84</v>
      </c>
      <c r="O222" s="6" t="s">
        <v>909</v>
      </c>
      <c r="P222" s="6" t="s">
        <v>85</v>
      </c>
      <c r="Q222" s="6" t="str">
        <f aca="false">IF(P222="pass","No","Yes")</f>
        <v>Yes</v>
      </c>
      <c r="R222" s="6" t="s">
        <v>86</v>
      </c>
      <c r="S222" s="6" t="s">
        <v>909</v>
      </c>
      <c r="T222" s="6" t="s">
        <v>254</v>
      </c>
      <c r="U222" s="23" t="n">
        <v>11.036</v>
      </c>
      <c r="V222" s="6" t="s">
        <v>4589</v>
      </c>
      <c r="W222" s="6" t="s">
        <v>4590</v>
      </c>
      <c r="X222" s="6" t="s">
        <v>4591</v>
      </c>
      <c r="Y222" s="6" t="s">
        <v>86</v>
      </c>
      <c r="Z222" s="6" t="n">
        <v>0</v>
      </c>
      <c r="AA222" s="6" t="n">
        <v>0</v>
      </c>
      <c r="AB222" s="6" t="n">
        <v>0</v>
      </c>
      <c r="AC222" s="6" t="n">
        <v>0</v>
      </c>
      <c r="AD222" s="6" t="n">
        <v>0</v>
      </c>
      <c r="AE222" s="6" t="n">
        <v>0</v>
      </c>
      <c r="AF222" s="6" t="n">
        <v>1</v>
      </c>
      <c r="AG222" s="6" t="n">
        <v>0</v>
      </c>
      <c r="AH222" s="6" t="n">
        <v>0</v>
      </c>
      <c r="AI222" s="6" t="s">
        <v>84</v>
      </c>
    </row>
    <row r="223" customFormat="false" ht="15" hidden="false" customHeight="false" outlineLevel="0" collapsed="false">
      <c r="A223" s="6" t="n">
        <v>222</v>
      </c>
      <c r="B223" s="6" t="s">
        <v>4592</v>
      </c>
      <c r="C223" s="6" t="n">
        <v>5</v>
      </c>
      <c r="D223" s="6" t="s">
        <v>177</v>
      </c>
      <c r="E223" s="6" t="s">
        <v>146</v>
      </c>
      <c r="F223" s="6" t="n">
        <v>3</v>
      </c>
      <c r="G223" s="6" t="n">
        <v>188</v>
      </c>
      <c r="H223" s="6" t="s">
        <v>4593</v>
      </c>
      <c r="I223" s="22" t="n">
        <v>2235200</v>
      </c>
      <c r="J223" s="22" t="n">
        <v>0</v>
      </c>
      <c r="K223" s="22" t="n">
        <v>167640</v>
      </c>
      <c r="L223" s="22" t="n">
        <v>2402840</v>
      </c>
      <c r="M223" s="6" t="s">
        <v>148</v>
      </c>
      <c r="N223" s="6" t="s">
        <v>84</v>
      </c>
      <c r="O223" s="6" t="s">
        <v>866</v>
      </c>
      <c r="P223" s="6" t="s">
        <v>85</v>
      </c>
      <c r="Q223" s="6" t="str">
        <f aca="false">IF(P223="pass","No","Yes")</f>
        <v>Yes</v>
      </c>
      <c r="R223" s="6" t="s">
        <v>86</v>
      </c>
      <c r="S223" s="6" t="s">
        <v>872</v>
      </c>
      <c r="T223" s="6" t="s">
        <v>4594</v>
      </c>
      <c r="U223" s="23" t="n">
        <v>31.36</v>
      </c>
      <c r="V223" s="6" t="s">
        <v>4595</v>
      </c>
      <c r="W223" s="6" t="s">
        <v>4596</v>
      </c>
      <c r="X223" s="6" t="s">
        <v>4597</v>
      </c>
      <c r="Y223" s="6" t="s">
        <v>86</v>
      </c>
      <c r="Z223" s="6" t="n">
        <v>1</v>
      </c>
      <c r="AA223" s="6" t="n">
        <v>0</v>
      </c>
      <c r="AB223" s="6" t="n">
        <v>0</v>
      </c>
      <c r="AC223" s="6" t="n">
        <v>0</v>
      </c>
      <c r="AD223" s="6" t="n">
        <v>0</v>
      </c>
      <c r="AE223" s="6" t="n">
        <v>0</v>
      </c>
      <c r="AF223" s="6" t="n">
        <v>0</v>
      </c>
      <c r="AG223" s="6" t="n">
        <v>0</v>
      </c>
      <c r="AH223" s="6" t="n">
        <v>1</v>
      </c>
      <c r="AI223" s="6" t="s">
        <v>84</v>
      </c>
    </row>
    <row r="224" customFormat="false" ht="15" hidden="false" customHeight="false" outlineLevel="0" collapsed="false">
      <c r="A224" s="6" t="n">
        <v>223</v>
      </c>
      <c r="B224" s="6" t="s">
        <v>4598</v>
      </c>
      <c r="C224" s="6" t="n">
        <v>5</v>
      </c>
      <c r="D224" s="6" t="s">
        <v>105</v>
      </c>
      <c r="E224" s="6" t="s">
        <v>81</v>
      </c>
      <c r="F224" s="6" t="n">
        <v>2</v>
      </c>
      <c r="G224" s="6" t="n">
        <v>64</v>
      </c>
      <c r="H224" s="6" t="s">
        <v>4599</v>
      </c>
      <c r="I224" s="22" t="n">
        <v>1436400</v>
      </c>
      <c r="J224" s="22" t="n">
        <v>4000</v>
      </c>
      <c r="K224" s="22" t="n">
        <v>108030</v>
      </c>
      <c r="L224" s="22" t="n">
        <v>1548430</v>
      </c>
      <c r="M224" s="6" t="s">
        <v>57</v>
      </c>
      <c r="N224" s="6" t="s">
        <v>58</v>
      </c>
      <c r="O224" s="6"/>
      <c r="P224" s="6" t="s">
        <v>69</v>
      </c>
      <c r="Q224" s="6" t="str">
        <f aca="false">IF(P224="pass","No","Yes")</f>
        <v>No</v>
      </c>
      <c r="R224" s="6" t="s">
        <v>60</v>
      </c>
      <c r="S224" s="6"/>
      <c r="T224" s="6"/>
      <c r="U224" s="23" t="n">
        <v>18.66</v>
      </c>
      <c r="V224" s="6" t="s">
        <v>4600</v>
      </c>
      <c r="W224" s="6" t="s">
        <v>4601</v>
      </c>
      <c r="X224" s="6" t="s">
        <v>4602</v>
      </c>
      <c r="Y224" s="6" t="s">
        <v>60</v>
      </c>
      <c r="Z224" s="6" t="n">
        <v>0</v>
      </c>
      <c r="AA224" s="6" t="n">
        <v>0</v>
      </c>
      <c r="AB224" s="6" t="n">
        <v>0</v>
      </c>
      <c r="AC224" s="6" t="n">
        <v>0</v>
      </c>
      <c r="AD224" s="6" t="n">
        <v>0</v>
      </c>
      <c r="AE224" s="6" t="n">
        <v>0</v>
      </c>
      <c r="AF224" s="6" t="n">
        <v>0</v>
      </c>
      <c r="AG224" s="6" t="n">
        <v>0</v>
      </c>
      <c r="AH224" s="6" t="n">
        <v>0</v>
      </c>
      <c r="AI224" s="6" t="s">
        <v>84</v>
      </c>
    </row>
    <row r="225" customFormat="false" ht="15" hidden="false" customHeight="false" outlineLevel="0" collapsed="false">
      <c r="A225" s="6" t="n">
        <v>224</v>
      </c>
      <c r="B225" s="6" t="s">
        <v>4603</v>
      </c>
      <c r="C225" s="6" t="n">
        <v>5</v>
      </c>
      <c r="D225" s="6" t="s">
        <v>198</v>
      </c>
      <c r="E225" s="6" t="s">
        <v>81</v>
      </c>
      <c r="F225" s="6" t="n">
        <v>2</v>
      </c>
      <c r="G225" s="6" t="n">
        <v>89</v>
      </c>
      <c r="H225" s="6" t="s">
        <v>4604</v>
      </c>
      <c r="I225" s="22" t="n">
        <v>808700</v>
      </c>
      <c r="J225" s="22" t="n">
        <v>4000</v>
      </c>
      <c r="K225" s="22" t="n">
        <v>60952.5</v>
      </c>
      <c r="L225" s="22" t="n">
        <v>873652.5</v>
      </c>
      <c r="M225" s="6" t="s">
        <v>960</v>
      </c>
      <c r="N225" s="6" t="s">
        <v>84</v>
      </c>
      <c r="O225" s="6" t="s">
        <v>961</v>
      </c>
      <c r="P225" s="6" t="s">
        <v>85</v>
      </c>
      <c r="Q225" s="6" t="str">
        <f aca="false">IF(P225="pass","No","Yes")</f>
        <v>Yes</v>
      </c>
      <c r="R225" s="6" t="s">
        <v>86</v>
      </c>
      <c r="S225" s="6" t="s">
        <v>961</v>
      </c>
      <c r="T225" s="6" t="s">
        <v>962</v>
      </c>
      <c r="U225" s="23" t="n">
        <v>34.779</v>
      </c>
      <c r="V225" s="6" t="s">
        <v>4605</v>
      </c>
      <c r="W225" s="6" t="s">
        <v>4606</v>
      </c>
      <c r="X225" s="6" t="s">
        <v>4607</v>
      </c>
      <c r="Y225" s="6" t="s">
        <v>86</v>
      </c>
      <c r="Z225" s="6" t="n">
        <v>0</v>
      </c>
      <c r="AA225" s="6" t="n">
        <v>0</v>
      </c>
      <c r="AB225" s="6" t="n">
        <v>0</v>
      </c>
      <c r="AC225" s="6" t="n">
        <v>0</v>
      </c>
      <c r="AD225" s="6" t="n">
        <v>1</v>
      </c>
      <c r="AE225" s="6" t="n">
        <v>0</v>
      </c>
      <c r="AF225" s="6" t="n">
        <v>0</v>
      </c>
      <c r="AG225" s="6" t="n">
        <v>0</v>
      </c>
      <c r="AH225" s="6" t="n">
        <v>0</v>
      </c>
      <c r="AI225" s="6" t="s">
        <v>84</v>
      </c>
    </row>
    <row r="226" customFormat="false" ht="15" hidden="false" customHeight="false" outlineLevel="0" collapsed="false">
      <c r="A226" s="6" t="n">
        <v>225</v>
      </c>
      <c r="B226" s="6" t="s">
        <v>4608</v>
      </c>
      <c r="C226" s="6" t="n">
        <v>5</v>
      </c>
      <c r="D226" s="6" t="s">
        <v>198</v>
      </c>
      <c r="E226" s="6" t="s">
        <v>81</v>
      </c>
      <c r="F226" s="6" t="n">
        <v>3</v>
      </c>
      <c r="G226" s="6" t="n">
        <v>42</v>
      </c>
      <c r="H226" s="6" t="s">
        <v>4609</v>
      </c>
      <c r="I226" s="22" t="n">
        <v>1238500</v>
      </c>
      <c r="J226" s="22" t="n">
        <v>4000</v>
      </c>
      <c r="K226" s="22" t="n">
        <v>93187.5</v>
      </c>
      <c r="L226" s="22" t="n">
        <v>1335687.5</v>
      </c>
      <c r="M226" s="6" t="s">
        <v>1042</v>
      </c>
      <c r="N226" s="6" t="s">
        <v>58</v>
      </c>
      <c r="O226" s="6"/>
      <c r="P226" s="6" t="s">
        <v>69</v>
      </c>
      <c r="Q226" s="6" t="str">
        <f aca="false">IF(P226="pass","No","Yes")</f>
        <v>No</v>
      </c>
      <c r="R226" s="6" t="s">
        <v>60</v>
      </c>
      <c r="S226" s="6"/>
      <c r="T226" s="6"/>
      <c r="U226" s="23" t="n">
        <v>25.41</v>
      </c>
      <c r="V226" s="6" t="s">
        <v>4610</v>
      </c>
      <c r="W226" s="6" t="s">
        <v>4611</v>
      </c>
      <c r="X226" s="6" t="s">
        <v>4612</v>
      </c>
      <c r="Y226" s="6" t="s">
        <v>60</v>
      </c>
      <c r="Z226" s="6" t="n">
        <v>0</v>
      </c>
      <c r="AA226" s="6" t="n">
        <v>0</v>
      </c>
      <c r="AB226" s="6" t="n">
        <v>0</v>
      </c>
      <c r="AC226" s="6" t="n">
        <v>0</v>
      </c>
      <c r="AD226" s="6" t="n">
        <v>0</v>
      </c>
      <c r="AE226" s="6" t="n">
        <v>0</v>
      </c>
      <c r="AF226" s="6" t="n">
        <v>0</v>
      </c>
      <c r="AG226" s="6" t="n">
        <v>0</v>
      </c>
      <c r="AH226" s="6" t="n">
        <v>0</v>
      </c>
      <c r="AI226" s="6" t="s">
        <v>84</v>
      </c>
    </row>
    <row r="227" customFormat="false" ht="15" hidden="false" customHeight="false" outlineLevel="0" collapsed="false">
      <c r="A227" s="6" t="n">
        <v>226</v>
      </c>
      <c r="B227" s="6" t="s">
        <v>4613</v>
      </c>
      <c r="C227" s="6" t="n">
        <v>5</v>
      </c>
      <c r="D227" s="6" t="s">
        <v>237</v>
      </c>
      <c r="E227" s="6" t="s">
        <v>116</v>
      </c>
      <c r="F227" s="6" t="n">
        <v>4</v>
      </c>
      <c r="G227" s="6" t="n">
        <v>48</v>
      </c>
      <c r="H227" s="6" t="s">
        <v>4614</v>
      </c>
      <c r="I227" s="22" t="n">
        <v>1056800</v>
      </c>
      <c r="J227" s="22" t="n">
        <v>15000</v>
      </c>
      <c r="K227" s="22" t="n">
        <v>80385</v>
      </c>
      <c r="L227" s="22" t="n">
        <v>1152185</v>
      </c>
      <c r="M227" s="6" t="s">
        <v>272</v>
      </c>
      <c r="N227" s="6" t="s">
        <v>84</v>
      </c>
      <c r="O227" s="6" t="s">
        <v>879</v>
      </c>
      <c r="P227" s="6" t="s">
        <v>85</v>
      </c>
      <c r="Q227" s="6" t="str">
        <f aca="false">IF(P227="pass","No","Yes")</f>
        <v>Yes</v>
      </c>
      <c r="R227" s="6" t="s">
        <v>86</v>
      </c>
      <c r="S227" s="6" t="s">
        <v>879</v>
      </c>
      <c r="T227" s="6" t="s">
        <v>4615</v>
      </c>
      <c r="U227" s="23" t="n">
        <v>24.184</v>
      </c>
      <c r="V227" s="6" t="s">
        <v>4616</v>
      </c>
      <c r="W227" s="6" t="s">
        <v>4617</v>
      </c>
      <c r="X227" s="6" t="s">
        <v>4618</v>
      </c>
      <c r="Y227" s="6" t="s">
        <v>86</v>
      </c>
      <c r="Z227" s="6" t="n">
        <v>0</v>
      </c>
      <c r="AA227" s="6" t="n">
        <v>1</v>
      </c>
      <c r="AB227" s="6" t="n">
        <v>0</v>
      </c>
      <c r="AC227" s="6" t="n">
        <v>0</v>
      </c>
      <c r="AD227" s="6" t="n">
        <v>0</v>
      </c>
      <c r="AE227" s="6" t="n">
        <v>0</v>
      </c>
      <c r="AF227" s="6" t="n">
        <v>0</v>
      </c>
      <c r="AG227" s="6" t="n">
        <v>0</v>
      </c>
      <c r="AH227" s="6" t="n">
        <v>0</v>
      </c>
      <c r="AI227" s="6" t="s">
        <v>84</v>
      </c>
    </row>
    <row r="228" customFormat="false" ht="15" hidden="false" customHeight="false" outlineLevel="0" collapsed="false">
      <c r="A228" s="6" t="n">
        <v>227</v>
      </c>
      <c r="B228" s="6" t="s">
        <v>4619</v>
      </c>
      <c r="C228" s="6" t="n">
        <v>5</v>
      </c>
      <c r="D228" s="6" t="s">
        <v>63</v>
      </c>
      <c r="E228" s="6" t="s">
        <v>67</v>
      </c>
      <c r="F228" s="6" t="n">
        <v>2</v>
      </c>
      <c r="G228" s="6" t="n">
        <v>124</v>
      </c>
      <c r="H228" s="6" t="s">
        <v>4620</v>
      </c>
      <c r="I228" s="22" t="n">
        <v>1130300</v>
      </c>
      <c r="J228" s="22" t="n">
        <v>4500</v>
      </c>
      <c r="K228" s="22" t="n">
        <v>85110</v>
      </c>
      <c r="L228" s="22" t="n">
        <v>1219910</v>
      </c>
      <c r="M228" s="6" t="s">
        <v>57</v>
      </c>
      <c r="N228" s="6" t="s">
        <v>58</v>
      </c>
      <c r="O228" s="6"/>
      <c r="P228" s="6" t="s">
        <v>59</v>
      </c>
      <c r="Q228" s="6" t="str">
        <f aca="false">IF(P228="pass","No","Yes")</f>
        <v>Yes</v>
      </c>
      <c r="R228" s="6" t="s">
        <v>60</v>
      </c>
      <c r="S228" s="6" t="s">
        <v>915</v>
      </c>
      <c r="T228" s="6" t="s">
        <v>3573</v>
      </c>
      <c r="U228" s="23" t="n">
        <v>28.157</v>
      </c>
      <c r="V228" s="6" t="s">
        <v>4621</v>
      </c>
      <c r="W228" s="6" t="s">
        <v>4622</v>
      </c>
      <c r="X228" s="6" t="s">
        <v>4623</v>
      </c>
      <c r="Y228" s="6" t="s">
        <v>60</v>
      </c>
      <c r="Z228" s="6" t="n">
        <v>0</v>
      </c>
      <c r="AA228" s="6" t="n">
        <v>0</v>
      </c>
      <c r="AB228" s="6" t="n">
        <v>0</v>
      </c>
      <c r="AC228" s="6" t="n">
        <v>0</v>
      </c>
      <c r="AD228" s="6" t="n">
        <v>0</v>
      </c>
      <c r="AE228" s="6" t="n">
        <v>0</v>
      </c>
      <c r="AF228" s="6" t="n">
        <v>0</v>
      </c>
      <c r="AG228" s="6" t="n">
        <v>0</v>
      </c>
      <c r="AH228" s="6" t="n">
        <v>1</v>
      </c>
      <c r="AI228" s="6" t="s">
        <v>84</v>
      </c>
    </row>
    <row r="229" customFormat="false" ht="15" hidden="false" customHeight="false" outlineLevel="0" collapsed="false">
      <c r="A229" s="6" t="n">
        <v>228</v>
      </c>
      <c r="B229" s="6" t="s">
        <v>4624</v>
      </c>
      <c r="C229" s="6" t="n">
        <v>5</v>
      </c>
      <c r="D229" s="6" t="s">
        <v>127</v>
      </c>
      <c r="E229" s="6" t="s">
        <v>55</v>
      </c>
      <c r="F229" s="6" t="n">
        <v>1</v>
      </c>
      <c r="G229" s="6" t="n">
        <v>82</v>
      </c>
      <c r="H229" s="6" t="s">
        <v>4625</v>
      </c>
      <c r="I229" s="22" t="n">
        <v>1189000</v>
      </c>
      <c r="J229" s="22" t="n">
        <v>6000</v>
      </c>
      <c r="K229" s="22" t="n">
        <v>89625</v>
      </c>
      <c r="L229" s="22" t="n">
        <v>1284625</v>
      </c>
      <c r="M229" s="6" t="s">
        <v>224</v>
      </c>
      <c r="N229" s="6" t="s">
        <v>84</v>
      </c>
      <c r="O229" s="6" t="s">
        <v>866</v>
      </c>
      <c r="P229" s="6" t="s">
        <v>85</v>
      </c>
      <c r="Q229" s="6" t="str">
        <f aca="false">IF(P229="pass","No","Yes")</f>
        <v>Yes</v>
      </c>
      <c r="R229" s="6" t="s">
        <v>86</v>
      </c>
      <c r="S229" s="6" t="s">
        <v>866</v>
      </c>
      <c r="T229" s="6" t="s">
        <v>225</v>
      </c>
      <c r="U229" s="23" t="n">
        <v>10.555</v>
      </c>
      <c r="V229" s="6" t="s">
        <v>4626</v>
      </c>
      <c r="W229" s="6" t="s">
        <v>4627</v>
      </c>
      <c r="X229" s="6" t="s">
        <v>4628</v>
      </c>
      <c r="Y229" s="6" t="s">
        <v>86</v>
      </c>
      <c r="Z229" s="6" t="n">
        <v>1</v>
      </c>
      <c r="AA229" s="6" t="n">
        <v>0</v>
      </c>
      <c r="AB229" s="6" t="n">
        <v>0</v>
      </c>
      <c r="AC229" s="6" t="n">
        <v>0</v>
      </c>
      <c r="AD229" s="6" t="n">
        <v>0</v>
      </c>
      <c r="AE229" s="6" t="n">
        <v>0</v>
      </c>
      <c r="AF229" s="6" t="n">
        <v>0</v>
      </c>
      <c r="AG229" s="6" t="n">
        <v>0</v>
      </c>
      <c r="AH229" s="6" t="n">
        <v>0</v>
      </c>
      <c r="AI229" s="6" t="s">
        <v>58</v>
      </c>
    </row>
    <row r="230" customFormat="false" ht="15" hidden="false" customHeight="false" outlineLevel="0" collapsed="false">
      <c r="A230" s="6" t="n">
        <v>229</v>
      </c>
      <c r="B230" s="6" t="s">
        <v>4629</v>
      </c>
      <c r="C230" s="6" t="n">
        <v>5</v>
      </c>
      <c r="D230" s="6" t="s">
        <v>213</v>
      </c>
      <c r="E230" s="6" t="s">
        <v>67</v>
      </c>
      <c r="F230" s="6" t="n">
        <v>1</v>
      </c>
      <c r="G230" s="6" t="n">
        <v>11</v>
      </c>
      <c r="H230" s="6" t="s">
        <v>1266</v>
      </c>
      <c r="I230" s="22" t="n">
        <v>418000</v>
      </c>
      <c r="J230" s="22" t="n">
        <v>4500</v>
      </c>
      <c r="K230" s="22" t="n">
        <v>31687.5</v>
      </c>
      <c r="L230" s="22" t="n">
        <v>454187.5</v>
      </c>
      <c r="M230" s="6" t="s">
        <v>57</v>
      </c>
      <c r="N230" s="6" t="s">
        <v>58</v>
      </c>
      <c r="O230" s="6"/>
      <c r="P230" s="6" t="s">
        <v>69</v>
      </c>
      <c r="Q230" s="6" t="str">
        <f aca="false">IF(P230="pass","No","Yes")</f>
        <v>No</v>
      </c>
      <c r="R230" s="6" t="s">
        <v>60</v>
      </c>
      <c r="S230" s="6"/>
      <c r="T230" s="6"/>
      <c r="U230" s="23" t="n">
        <v>12.558</v>
      </c>
      <c r="V230" s="6" t="s">
        <v>4630</v>
      </c>
      <c r="W230" s="6" t="s">
        <v>4631</v>
      </c>
      <c r="X230" s="6" t="s">
        <v>4632</v>
      </c>
      <c r="Y230" s="6" t="s">
        <v>60</v>
      </c>
      <c r="Z230" s="6" t="n">
        <v>0</v>
      </c>
      <c r="AA230" s="6" t="n">
        <v>0</v>
      </c>
      <c r="AB230" s="6" t="n">
        <v>0</v>
      </c>
      <c r="AC230" s="6" t="n">
        <v>0</v>
      </c>
      <c r="AD230" s="6" t="n">
        <v>0</v>
      </c>
      <c r="AE230" s="6" t="n">
        <v>0</v>
      </c>
      <c r="AF230" s="6" t="n">
        <v>0</v>
      </c>
      <c r="AG230" s="6" t="n">
        <v>0</v>
      </c>
      <c r="AH230" s="6" t="n">
        <v>0</v>
      </c>
      <c r="AI230" s="6" t="s">
        <v>84</v>
      </c>
    </row>
    <row r="231" customFormat="false" ht="15" hidden="false" customHeight="false" outlineLevel="0" collapsed="false">
      <c r="A231" s="6" t="n">
        <v>230</v>
      </c>
      <c r="B231" s="6" t="s">
        <v>4633</v>
      </c>
      <c r="C231" s="6" t="n">
        <v>5</v>
      </c>
      <c r="D231" s="6" t="s">
        <v>186</v>
      </c>
      <c r="E231" s="6" t="s">
        <v>123</v>
      </c>
      <c r="F231" s="6" t="n">
        <v>4</v>
      </c>
      <c r="G231" s="6" t="n">
        <v>76</v>
      </c>
      <c r="H231" s="6" t="s">
        <v>4634</v>
      </c>
      <c r="I231" s="22" t="n">
        <v>860200</v>
      </c>
      <c r="J231" s="22" t="n">
        <v>5000</v>
      </c>
      <c r="K231" s="22" t="n">
        <v>64890</v>
      </c>
      <c r="L231" s="22" t="n">
        <v>930090</v>
      </c>
      <c r="M231" s="6" t="s">
        <v>152</v>
      </c>
      <c r="N231" s="6" t="s">
        <v>84</v>
      </c>
      <c r="O231" s="6" t="s">
        <v>886</v>
      </c>
      <c r="P231" s="6" t="s">
        <v>85</v>
      </c>
      <c r="Q231" s="6" t="str">
        <f aca="false">IF(P231="pass","No","Yes")</f>
        <v>Yes</v>
      </c>
      <c r="R231" s="6" t="s">
        <v>86</v>
      </c>
      <c r="S231" s="6" t="s">
        <v>886</v>
      </c>
      <c r="T231" s="6" t="s">
        <v>262</v>
      </c>
      <c r="U231" s="23" t="n">
        <v>33.916</v>
      </c>
      <c r="V231" s="6" t="s">
        <v>4635</v>
      </c>
      <c r="W231" s="6" t="s">
        <v>4636</v>
      </c>
      <c r="X231" s="6" t="s">
        <v>4637</v>
      </c>
      <c r="Y231" s="6" t="s">
        <v>86</v>
      </c>
      <c r="Z231" s="6" t="n">
        <v>0</v>
      </c>
      <c r="AA231" s="6" t="n">
        <v>0</v>
      </c>
      <c r="AB231" s="6" t="n">
        <v>1</v>
      </c>
      <c r="AC231" s="6" t="n">
        <v>0</v>
      </c>
      <c r="AD231" s="6" t="n">
        <v>0</v>
      </c>
      <c r="AE231" s="6" t="n">
        <v>0</v>
      </c>
      <c r="AF231" s="6" t="n">
        <v>0</v>
      </c>
      <c r="AG231" s="6" t="n">
        <v>0</v>
      </c>
      <c r="AH231" s="6" t="n">
        <v>0</v>
      </c>
      <c r="AI231" s="6" t="s">
        <v>84</v>
      </c>
    </row>
    <row r="232" customFormat="false" ht="15" hidden="false" customHeight="false" outlineLevel="0" collapsed="false">
      <c r="A232" s="6" t="n">
        <v>231</v>
      </c>
      <c r="B232" s="6" t="s">
        <v>4638</v>
      </c>
      <c r="C232" s="6" t="n">
        <v>5</v>
      </c>
      <c r="D232" s="6" t="s">
        <v>186</v>
      </c>
      <c r="E232" s="6" t="s">
        <v>123</v>
      </c>
      <c r="F232" s="6" t="n">
        <v>2</v>
      </c>
      <c r="G232" s="6" t="n">
        <v>101</v>
      </c>
      <c r="H232" s="6" t="s">
        <v>4639</v>
      </c>
      <c r="I232" s="22" t="n">
        <v>721000</v>
      </c>
      <c r="J232" s="22" t="n">
        <v>5000</v>
      </c>
      <c r="K232" s="22" t="n">
        <v>54450</v>
      </c>
      <c r="L232" s="22" t="n">
        <v>780450</v>
      </c>
      <c r="M232" s="6" t="s">
        <v>57</v>
      </c>
      <c r="N232" s="6" t="s">
        <v>58</v>
      </c>
      <c r="O232" s="6"/>
      <c r="P232" s="6" t="s">
        <v>59</v>
      </c>
      <c r="Q232" s="6" t="str">
        <f aca="false">IF(P232="pass","No","Yes")</f>
        <v>Yes</v>
      </c>
      <c r="R232" s="6" t="s">
        <v>60</v>
      </c>
      <c r="S232" s="6" t="s">
        <v>915</v>
      </c>
      <c r="T232" s="6" t="s">
        <v>4640</v>
      </c>
      <c r="U232" s="23" t="n">
        <v>26.724</v>
      </c>
      <c r="V232" s="6" t="s">
        <v>4641</v>
      </c>
      <c r="W232" s="6" t="s">
        <v>4642</v>
      </c>
      <c r="X232" s="6" t="s">
        <v>4643</v>
      </c>
      <c r="Y232" s="6" t="s">
        <v>60</v>
      </c>
      <c r="Z232" s="6" t="n">
        <v>0</v>
      </c>
      <c r="AA232" s="6" t="n">
        <v>0</v>
      </c>
      <c r="AB232" s="6" t="n">
        <v>0</v>
      </c>
      <c r="AC232" s="6" t="n">
        <v>0</v>
      </c>
      <c r="AD232" s="6" t="n">
        <v>0</v>
      </c>
      <c r="AE232" s="6" t="n">
        <v>0</v>
      </c>
      <c r="AF232" s="6" t="n">
        <v>0</v>
      </c>
      <c r="AG232" s="6" t="n">
        <v>0</v>
      </c>
      <c r="AH232" s="6" t="n">
        <v>1</v>
      </c>
      <c r="AI232" s="6" t="s">
        <v>84</v>
      </c>
    </row>
    <row r="233" customFormat="false" ht="15" hidden="false" customHeight="false" outlineLevel="0" collapsed="false">
      <c r="A233" s="6" t="n">
        <v>232</v>
      </c>
      <c r="B233" s="6" t="s">
        <v>4644</v>
      </c>
      <c r="C233" s="6" t="n">
        <v>5</v>
      </c>
      <c r="D233" s="6" t="s">
        <v>137</v>
      </c>
      <c r="E233" s="6" t="s">
        <v>55</v>
      </c>
      <c r="F233" s="6" t="n">
        <v>2</v>
      </c>
      <c r="G233" s="6" t="n">
        <v>63</v>
      </c>
      <c r="H233" s="6" t="s">
        <v>4645</v>
      </c>
      <c r="I233" s="22" t="n">
        <v>937000</v>
      </c>
      <c r="J233" s="22" t="n">
        <v>6000</v>
      </c>
      <c r="K233" s="22" t="n">
        <v>70725</v>
      </c>
      <c r="L233" s="22" t="n">
        <v>1013725</v>
      </c>
      <c r="M233" s="6" t="s">
        <v>224</v>
      </c>
      <c r="N233" s="6" t="s">
        <v>84</v>
      </c>
      <c r="O233" s="6" t="s">
        <v>866</v>
      </c>
      <c r="P233" s="6" t="s">
        <v>85</v>
      </c>
      <c r="Q233" s="6" t="str">
        <f aca="false">IF(P233="pass","No","Yes")</f>
        <v>Yes</v>
      </c>
      <c r="R233" s="6" t="s">
        <v>86</v>
      </c>
      <c r="S233" s="6" t="s">
        <v>866</v>
      </c>
      <c r="T233" s="6" t="s">
        <v>225</v>
      </c>
      <c r="U233" s="23" t="n">
        <v>18.728</v>
      </c>
      <c r="V233" s="6" t="s">
        <v>4646</v>
      </c>
      <c r="W233" s="6" t="s">
        <v>4647</v>
      </c>
      <c r="X233" s="6" t="s">
        <v>4648</v>
      </c>
      <c r="Y233" s="6" t="s">
        <v>86</v>
      </c>
      <c r="Z233" s="6" t="n">
        <v>1</v>
      </c>
      <c r="AA233" s="6" t="n">
        <v>0</v>
      </c>
      <c r="AB233" s="6" t="n">
        <v>0</v>
      </c>
      <c r="AC233" s="6" t="n">
        <v>0</v>
      </c>
      <c r="AD233" s="6" t="n">
        <v>0</v>
      </c>
      <c r="AE233" s="6" t="n">
        <v>0</v>
      </c>
      <c r="AF233" s="6" t="n">
        <v>0</v>
      </c>
      <c r="AG233" s="6" t="n">
        <v>0</v>
      </c>
      <c r="AH233" s="6" t="n">
        <v>0</v>
      </c>
      <c r="AI233" s="6" t="s">
        <v>58</v>
      </c>
    </row>
    <row r="234" customFormat="false" ht="15" hidden="false" customHeight="false" outlineLevel="0" collapsed="false">
      <c r="A234" s="6" t="n">
        <v>233</v>
      </c>
      <c r="B234" s="6" t="s">
        <v>4649</v>
      </c>
      <c r="C234" s="6" t="n">
        <v>5</v>
      </c>
      <c r="D234" s="6" t="s">
        <v>177</v>
      </c>
      <c r="E234" s="6" t="s">
        <v>81</v>
      </c>
      <c r="F234" s="6" t="n">
        <v>1</v>
      </c>
      <c r="G234" s="6" t="n">
        <v>66</v>
      </c>
      <c r="H234" s="6" t="s">
        <v>4650</v>
      </c>
      <c r="I234" s="22" t="n">
        <v>957000</v>
      </c>
      <c r="J234" s="22" t="n">
        <v>4000</v>
      </c>
      <c r="K234" s="22" t="n">
        <v>72075</v>
      </c>
      <c r="L234" s="22" t="n">
        <v>1033075</v>
      </c>
      <c r="M234" s="6" t="s">
        <v>57</v>
      </c>
      <c r="N234" s="6" t="s">
        <v>58</v>
      </c>
      <c r="O234" s="6"/>
      <c r="P234" s="6" t="s">
        <v>69</v>
      </c>
      <c r="Q234" s="6" t="str">
        <f aca="false">IF(P234="pass","No","Yes")</f>
        <v>No</v>
      </c>
      <c r="R234" s="6" t="s">
        <v>60</v>
      </c>
      <c r="S234" s="6"/>
      <c r="T234" s="6"/>
      <c r="U234" s="23" t="n">
        <v>11.842</v>
      </c>
      <c r="V234" s="6" t="s">
        <v>4651</v>
      </c>
      <c r="W234" s="6" t="s">
        <v>4652</v>
      </c>
      <c r="X234" s="6" t="s">
        <v>4653</v>
      </c>
      <c r="Y234" s="6" t="s">
        <v>60</v>
      </c>
      <c r="Z234" s="6" t="n">
        <v>0</v>
      </c>
      <c r="AA234" s="6" t="n">
        <v>0</v>
      </c>
      <c r="AB234" s="6" t="n">
        <v>0</v>
      </c>
      <c r="AC234" s="6" t="n">
        <v>0</v>
      </c>
      <c r="AD234" s="6" t="n">
        <v>0</v>
      </c>
      <c r="AE234" s="6" t="n">
        <v>0</v>
      </c>
      <c r="AF234" s="6" t="n">
        <v>0</v>
      </c>
      <c r="AG234" s="6" t="n">
        <v>0</v>
      </c>
      <c r="AH234" s="6" t="n">
        <v>0</v>
      </c>
      <c r="AI234" s="6" t="s">
        <v>84</v>
      </c>
    </row>
    <row r="235" customFormat="false" ht="15" hidden="false" customHeight="false" outlineLevel="0" collapsed="false">
      <c r="A235" s="6" t="n">
        <v>234</v>
      </c>
      <c r="B235" s="6" t="s">
        <v>4654</v>
      </c>
      <c r="C235" s="6" t="n">
        <v>5</v>
      </c>
      <c r="D235" s="6" t="s">
        <v>213</v>
      </c>
      <c r="E235" s="6" t="s">
        <v>67</v>
      </c>
      <c r="F235" s="6" t="n">
        <v>4</v>
      </c>
      <c r="G235" s="6" t="n">
        <v>251</v>
      </c>
      <c r="H235" s="6" t="s">
        <v>4655</v>
      </c>
      <c r="I235" s="22" t="n">
        <v>2708000</v>
      </c>
      <c r="J235" s="22" t="n">
        <v>4500</v>
      </c>
      <c r="K235" s="22" t="n">
        <v>203437.5</v>
      </c>
      <c r="L235" s="22" t="n">
        <v>2915937.5</v>
      </c>
      <c r="M235" s="6" t="s">
        <v>1009</v>
      </c>
      <c r="N235" s="6" t="s">
        <v>58</v>
      </c>
      <c r="O235" s="6"/>
      <c r="P235" s="6" t="s">
        <v>59</v>
      </c>
      <c r="Q235" s="6" t="str">
        <f aca="false">IF(P235="pass","No","Yes")</f>
        <v>Yes</v>
      </c>
      <c r="R235" s="6" t="s">
        <v>60</v>
      </c>
      <c r="S235" s="6" t="s">
        <v>915</v>
      </c>
      <c r="T235" s="6" t="s">
        <v>4656</v>
      </c>
      <c r="U235" s="23" t="n">
        <v>51.435</v>
      </c>
      <c r="V235" s="6" t="s">
        <v>4657</v>
      </c>
      <c r="W235" s="6" t="s">
        <v>4658</v>
      </c>
      <c r="X235" s="6" t="s">
        <v>4659</v>
      </c>
      <c r="Y235" s="6" t="s">
        <v>60</v>
      </c>
      <c r="Z235" s="6" t="n">
        <v>0</v>
      </c>
      <c r="AA235" s="6" t="n">
        <v>0</v>
      </c>
      <c r="AB235" s="6" t="n">
        <v>0</v>
      </c>
      <c r="AC235" s="6" t="n">
        <v>0</v>
      </c>
      <c r="AD235" s="6" t="n">
        <v>0</v>
      </c>
      <c r="AE235" s="6" t="n">
        <v>0</v>
      </c>
      <c r="AF235" s="6" t="n">
        <v>0</v>
      </c>
      <c r="AG235" s="6" t="n">
        <v>0</v>
      </c>
      <c r="AH235" s="6" t="n">
        <v>1</v>
      </c>
      <c r="AI235" s="6" t="s">
        <v>84</v>
      </c>
    </row>
    <row r="236" customFormat="false" ht="15" hidden="false" customHeight="false" outlineLevel="0" collapsed="false">
      <c r="A236" s="6" t="n">
        <v>235</v>
      </c>
      <c r="B236" s="6" t="s">
        <v>4660</v>
      </c>
      <c r="C236" s="6" t="n">
        <v>5</v>
      </c>
      <c r="D236" s="6" t="s">
        <v>105</v>
      </c>
      <c r="E236" s="6" t="s">
        <v>81</v>
      </c>
      <c r="F236" s="6" t="n">
        <v>3</v>
      </c>
      <c r="G236" s="6" t="n">
        <v>95</v>
      </c>
      <c r="H236" s="6" t="s">
        <v>4661</v>
      </c>
      <c r="I236" s="22" t="n">
        <v>1903500</v>
      </c>
      <c r="J236" s="22" t="n">
        <v>4000</v>
      </c>
      <c r="K236" s="22" t="n">
        <v>143062.5</v>
      </c>
      <c r="L236" s="22" t="n">
        <v>2050562.5</v>
      </c>
      <c r="M236" s="6" t="s">
        <v>960</v>
      </c>
      <c r="N236" s="6" t="s">
        <v>84</v>
      </c>
      <c r="O236" s="6" t="s">
        <v>961</v>
      </c>
      <c r="P236" s="6" t="s">
        <v>85</v>
      </c>
      <c r="Q236" s="6" t="str">
        <f aca="false">IF(P236="pass","No","Yes")</f>
        <v>Yes</v>
      </c>
      <c r="R236" s="6" t="s">
        <v>86</v>
      </c>
      <c r="S236" s="6" t="s">
        <v>961</v>
      </c>
      <c r="T236" s="6" t="s">
        <v>962</v>
      </c>
      <c r="U236" s="23" t="n">
        <v>26.844</v>
      </c>
      <c r="V236" s="6" t="s">
        <v>4662</v>
      </c>
      <c r="W236" s="6" t="s">
        <v>4663</v>
      </c>
      <c r="X236" s="6" t="s">
        <v>4664</v>
      </c>
      <c r="Y236" s="6" t="s">
        <v>86</v>
      </c>
      <c r="Z236" s="6" t="n">
        <v>0</v>
      </c>
      <c r="AA236" s="6" t="n">
        <v>0</v>
      </c>
      <c r="AB236" s="6" t="n">
        <v>0</v>
      </c>
      <c r="AC236" s="6" t="n">
        <v>0</v>
      </c>
      <c r="AD236" s="6" t="n">
        <v>1</v>
      </c>
      <c r="AE236" s="6" t="n">
        <v>0</v>
      </c>
      <c r="AF236" s="6" t="n">
        <v>0</v>
      </c>
      <c r="AG236" s="6" t="n">
        <v>0</v>
      </c>
      <c r="AH236" s="6" t="n">
        <v>0</v>
      </c>
      <c r="AI236" s="6" t="s">
        <v>84</v>
      </c>
    </row>
    <row r="237" customFormat="false" ht="15" hidden="false" customHeight="false" outlineLevel="0" collapsed="false">
      <c r="A237" s="6" t="n">
        <v>236</v>
      </c>
      <c r="B237" s="6" t="s">
        <v>4665</v>
      </c>
      <c r="C237" s="6" t="n">
        <v>5</v>
      </c>
      <c r="D237" s="6" t="s">
        <v>177</v>
      </c>
      <c r="E237" s="6" t="s">
        <v>81</v>
      </c>
      <c r="F237" s="6" t="n">
        <v>1</v>
      </c>
      <c r="G237" s="6" t="n">
        <v>66</v>
      </c>
      <c r="H237" s="6" t="s">
        <v>4650</v>
      </c>
      <c r="I237" s="22" t="n">
        <v>957000</v>
      </c>
      <c r="J237" s="22" t="n">
        <v>4000</v>
      </c>
      <c r="K237" s="22" t="n">
        <v>72075</v>
      </c>
      <c r="L237" s="22" t="n">
        <v>1033075</v>
      </c>
      <c r="M237" s="6" t="s">
        <v>97</v>
      </c>
      <c r="N237" s="6" t="s">
        <v>84</v>
      </c>
      <c r="O237" s="6" t="s">
        <v>1185</v>
      </c>
      <c r="P237" s="6" t="s">
        <v>59</v>
      </c>
      <c r="Q237" s="6" t="str">
        <f aca="false">IF(P237="pass","No","Yes")</f>
        <v>Yes</v>
      </c>
      <c r="R237" s="6" t="s">
        <v>98</v>
      </c>
      <c r="S237" s="6" t="s">
        <v>1185</v>
      </c>
      <c r="T237" s="6" t="s">
        <v>4666</v>
      </c>
      <c r="U237" s="23" t="n">
        <v>9.855</v>
      </c>
      <c r="V237" s="6" t="s">
        <v>4667</v>
      </c>
      <c r="W237" s="6"/>
      <c r="X237" s="6" t="s">
        <v>4667</v>
      </c>
      <c r="Y237" s="6" t="s">
        <v>98</v>
      </c>
      <c r="Z237" s="6" t="n">
        <v>0</v>
      </c>
      <c r="AA237" s="6" t="n">
        <v>0</v>
      </c>
      <c r="AB237" s="6" t="n">
        <v>0</v>
      </c>
      <c r="AC237" s="6" t="n">
        <v>0</v>
      </c>
      <c r="AD237" s="6" t="n">
        <v>0</v>
      </c>
      <c r="AE237" s="6" t="n">
        <v>0</v>
      </c>
      <c r="AF237" s="6" t="n">
        <v>0</v>
      </c>
      <c r="AG237" s="6" t="n">
        <v>1</v>
      </c>
      <c r="AH237" s="6" t="n">
        <v>0</v>
      </c>
      <c r="AI237" s="6" t="s">
        <v>84</v>
      </c>
    </row>
    <row r="238" customFormat="false" ht="15" hidden="false" customHeight="false" outlineLevel="0" collapsed="false">
      <c r="A238" s="6" t="n">
        <v>237</v>
      </c>
      <c r="B238" s="6" t="s">
        <v>4668</v>
      </c>
      <c r="C238" s="6" t="n">
        <v>5</v>
      </c>
      <c r="D238" s="6" t="s">
        <v>63</v>
      </c>
      <c r="E238" s="6" t="s">
        <v>67</v>
      </c>
      <c r="F238" s="6" t="n">
        <v>3</v>
      </c>
      <c r="G238" s="6" t="n">
        <v>84</v>
      </c>
      <c r="H238" s="6" t="s">
        <v>4669</v>
      </c>
      <c r="I238" s="22" t="n">
        <v>1235900</v>
      </c>
      <c r="J238" s="22" t="n">
        <v>4500</v>
      </c>
      <c r="K238" s="22" t="n">
        <v>93030</v>
      </c>
      <c r="L238" s="22" t="n">
        <v>1333430</v>
      </c>
      <c r="M238" s="6" t="s">
        <v>57</v>
      </c>
      <c r="N238" s="6" t="s">
        <v>58</v>
      </c>
      <c r="O238" s="6"/>
      <c r="P238" s="6" t="s">
        <v>69</v>
      </c>
      <c r="Q238" s="6" t="str">
        <f aca="false">IF(P238="pass","No","Yes")</f>
        <v>No</v>
      </c>
      <c r="R238" s="6" t="s">
        <v>60</v>
      </c>
      <c r="S238" s="6"/>
      <c r="T238" s="6"/>
      <c r="U238" s="23" t="n">
        <v>26.905</v>
      </c>
      <c r="V238" s="6" t="s">
        <v>4670</v>
      </c>
      <c r="W238" s="6" t="s">
        <v>4671</v>
      </c>
      <c r="X238" s="6" t="s">
        <v>4672</v>
      </c>
      <c r="Y238" s="6" t="s">
        <v>60</v>
      </c>
      <c r="Z238" s="6" t="n">
        <v>0</v>
      </c>
      <c r="AA238" s="6" t="n">
        <v>0</v>
      </c>
      <c r="AB238" s="6" t="n">
        <v>0</v>
      </c>
      <c r="AC238" s="6" t="n">
        <v>0</v>
      </c>
      <c r="AD238" s="6" t="n">
        <v>0</v>
      </c>
      <c r="AE238" s="6" t="n">
        <v>0</v>
      </c>
      <c r="AF238" s="6" t="n">
        <v>0</v>
      </c>
      <c r="AG238" s="6" t="n">
        <v>0</v>
      </c>
      <c r="AH238" s="6" t="n">
        <v>0</v>
      </c>
      <c r="AI238" s="6" t="s">
        <v>84</v>
      </c>
    </row>
    <row r="239" customFormat="false" ht="15" hidden="false" customHeight="false" outlineLevel="0" collapsed="false">
      <c r="A239" s="6" t="n">
        <v>238</v>
      </c>
      <c r="B239" s="6" t="s">
        <v>4673</v>
      </c>
      <c r="C239" s="6" t="n">
        <v>5</v>
      </c>
      <c r="D239" s="6" t="s">
        <v>154</v>
      </c>
      <c r="E239" s="6" t="s">
        <v>123</v>
      </c>
      <c r="F239" s="6" t="n">
        <v>2</v>
      </c>
      <c r="G239" s="6" t="n">
        <v>42</v>
      </c>
      <c r="H239" s="6" t="s">
        <v>4674</v>
      </c>
      <c r="I239" s="22" t="n">
        <v>548800</v>
      </c>
      <c r="J239" s="22" t="n">
        <v>5000</v>
      </c>
      <c r="K239" s="22" t="n">
        <v>41535</v>
      </c>
      <c r="L239" s="22" t="n">
        <v>595335</v>
      </c>
      <c r="M239" s="6" t="s">
        <v>57</v>
      </c>
      <c r="N239" s="6" t="s">
        <v>58</v>
      </c>
      <c r="O239" s="6"/>
      <c r="P239" s="6" t="s">
        <v>69</v>
      </c>
      <c r="Q239" s="6" t="str">
        <f aca="false">IF(P239="pass","No","Yes")</f>
        <v>No</v>
      </c>
      <c r="R239" s="6" t="s">
        <v>60</v>
      </c>
      <c r="S239" s="6"/>
      <c r="T239" s="6"/>
      <c r="U239" s="23" t="n">
        <v>28.049</v>
      </c>
      <c r="V239" s="6" t="s">
        <v>4675</v>
      </c>
      <c r="W239" s="6" t="s">
        <v>4676</v>
      </c>
      <c r="X239" s="6" t="s">
        <v>4677</v>
      </c>
      <c r="Y239" s="6" t="s">
        <v>60</v>
      </c>
      <c r="Z239" s="6" t="n">
        <v>0</v>
      </c>
      <c r="AA239" s="6" t="n">
        <v>0</v>
      </c>
      <c r="AB239" s="6" t="n">
        <v>0</v>
      </c>
      <c r="AC239" s="6" t="n">
        <v>0</v>
      </c>
      <c r="AD239" s="6" t="n">
        <v>0</v>
      </c>
      <c r="AE239" s="6" t="n">
        <v>0</v>
      </c>
      <c r="AF239" s="6" t="n">
        <v>0</v>
      </c>
      <c r="AG239" s="6" t="n">
        <v>0</v>
      </c>
      <c r="AH239" s="6" t="n">
        <v>0</v>
      </c>
      <c r="AI239" s="6" t="s">
        <v>84</v>
      </c>
    </row>
    <row r="240" customFormat="false" ht="15" hidden="false" customHeight="false" outlineLevel="0" collapsed="false">
      <c r="A240" s="6" t="n">
        <v>239</v>
      </c>
      <c r="B240" s="6" t="s">
        <v>4678</v>
      </c>
      <c r="C240" s="6" t="n">
        <v>5</v>
      </c>
      <c r="D240" s="6" t="s">
        <v>186</v>
      </c>
      <c r="E240" s="6" t="s">
        <v>123</v>
      </c>
      <c r="F240" s="6" t="n">
        <v>3</v>
      </c>
      <c r="G240" s="6" t="n">
        <v>14</v>
      </c>
      <c r="H240" s="6" t="s">
        <v>4679</v>
      </c>
      <c r="I240" s="22" t="n">
        <v>679000</v>
      </c>
      <c r="J240" s="22" t="n">
        <v>5000</v>
      </c>
      <c r="K240" s="22" t="n">
        <v>51300</v>
      </c>
      <c r="L240" s="22" t="n">
        <v>735300</v>
      </c>
      <c r="M240" s="6" t="s">
        <v>132</v>
      </c>
      <c r="N240" s="6" t="s">
        <v>84</v>
      </c>
      <c r="O240" s="6" t="s">
        <v>879</v>
      </c>
      <c r="P240" s="6" t="s">
        <v>85</v>
      </c>
      <c r="Q240" s="6" t="str">
        <f aca="false">IF(P240="pass","No","Yes")</f>
        <v>Yes</v>
      </c>
      <c r="R240" s="6" t="s">
        <v>86</v>
      </c>
      <c r="S240" s="6" t="s">
        <v>880</v>
      </c>
      <c r="T240" s="6" t="s">
        <v>134</v>
      </c>
      <c r="U240" s="23" t="n">
        <v>20.988</v>
      </c>
      <c r="V240" s="6" t="s">
        <v>4680</v>
      </c>
      <c r="W240" s="6" t="s">
        <v>4681</v>
      </c>
      <c r="X240" s="6" t="s">
        <v>4682</v>
      </c>
      <c r="Y240" s="6" t="s">
        <v>86</v>
      </c>
      <c r="Z240" s="6" t="n">
        <v>0</v>
      </c>
      <c r="AA240" s="6" t="n">
        <v>1</v>
      </c>
      <c r="AB240" s="6" t="n">
        <v>0</v>
      </c>
      <c r="AC240" s="6" t="n">
        <v>1</v>
      </c>
      <c r="AD240" s="6" t="n">
        <v>0</v>
      </c>
      <c r="AE240" s="6" t="n">
        <v>0</v>
      </c>
      <c r="AF240" s="6" t="n">
        <v>0</v>
      </c>
      <c r="AG240" s="6" t="n">
        <v>0</v>
      </c>
      <c r="AH240" s="6" t="n">
        <v>0</v>
      </c>
      <c r="AI240" s="6" t="s">
        <v>84</v>
      </c>
    </row>
    <row r="241" customFormat="false" ht="15" hidden="false" customHeight="false" outlineLevel="0" collapsed="false">
      <c r="A241" s="6" t="n">
        <v>240</v>
      </c>
      <c r="B241" s="6" t="s">
        <v>4683</v>
      </c>
      <c r="C241" s="6" t="n">
        <v>5</v>
      </c>
      <c r="D241" s="6" t="s">
        <v>213</v>
      </c>
      <c r="E241" s="6" t="s">
        <v>67</v>
      </c>
      <c r="F241" s="6" t="n">
        <v>4</v>
      </c>
      <c r="G241" s="6" t="n">
        <v>53</v>
      </c>
      <c r="H241" s="6" t="s">
        <v>4684</v>
      </c>
      <c r="I241" s="22" t="n">
        <v>1249600</v>
      </c>
      <c r="J241" s="22" t="n">
        <v>4500</v>
      </c>
      <c r="K241" s="22" t="n">
        <v>94057.5</v>
      </c>
      <c r="L241" s="22" t="n">
        <v>1348157.5</v>
      </c>
      <c r="M241" s="6" t="s">
        <v>152</v>
      </c>
      <c r="N241" s="6" t="s">
        <v>84</v>
      </c>
      <c r="O241" s="6" t="s">
        <v>886</v>
      </c>
      <c r="P241" s="6" t="s">
        <v>85</v>
      </c>
      <c r="Q241" s="6" t="str">
        <f aca="false">IF(P241="pass","No","Yes")</f>
        <v>Yes</v>
      </c>
      <c r="R241" s="6" t="s">
        <v>86</v>
      </c>
      <c r="S241" s="6" t="s">
        <v>886</v>
      </c>
      <c r="T241" s="6" t="s">
        <v>418</v>
      </c>
      <c r="U241" s="23" t="n">
        <v>35.038</v>
      </c>
      <c r="V241" s="6" t="s">
        <v>4685</v>
      </c>
      <c r="W241" s="6" t="s">
        <v>4686</v>
      </c>
      <c r="X241" s="6" t="s">
        <v>4687</v>
      </c>
      <c r="Y241" s="6" t="s">
        <v>86</v>
      </c>
      <c r="Z241" s="6" t="n">
        <v>0</v>
      </c>
      <c r="AA241" s="6" t="n">
        <v>0</v>
      </c>
      <c r="AB241" s="6" t="n">
        <v>1</v>
      </c>
      <c r="AC241" s="6" t="n">
        <v>0</v>
      </c>
      <c r="AD241" s="6" t="n">
        <v>0</v>
      </c>
      <c r="AE241" s="6" t="n">
        <v>0</v>
      </c>
      <c r="AF241" s="6" t="n">
        <v>0</v>
      </c>
      <c r="AG241" s="6" t="n">
        <v>0</v>
      </c>
      <c r="AH241" s="6" t="n">
        <v>0</v>
      </c>
      <c r="AI241" s="6" t="s">
        <v>84</v>
      </c>
    </row>
    <row r="242" customFormat="false" ht="15" hidden="false" customHeight="false" outlineLevel="0" collapsed="false">
      <c r="A242" s="6" t="n">
        <v>241</v>
      </c>
      <c r="B242" s="6" t="s">
        <v>4688</v>
      </c>
      <c r="C242" s="6" t="n">
        <v>5</v>
      </c>
      <c r="D242" s="6" t="s">
        <v>177</v>
      </c>
      <c r="E242" s="6" t="s">
        <v>81</v>
      </c>
      <c r="F242" s="6" t="n">
        <v>2</v>
      </c>
      <c r="G242" s="6" t="n">
        <v>36</v>
      </c>
      <c r="H242" s="6" t="s">
        <v>4689</v>
      </c>
      <c r="I242" s="22" t="n">
        <v>433200</v>
      </c>
      <c r="J242" s="22" t="n">
        <v>4000</v>
      </c>
      <c r="K242" s="22" t="n">
        <v>32790</v>
      </c>
      <c r="L242" s="22" t="n">
        <v>469990</v>
      </c>
      <c r="M242" s="6" t="s">
        <v>57</v>
      </c>
      <c r="N242" s="6" t="s">
        <v>58</v>
      </c>
      <c r="O242" s="6"/>
      <c r="P242" s="6" t="s">
        <v>69</v>
      </c>
      <c r="Q242" s="6" t="str">
        <f aca="false">IF(P242="pass","No","Yes")</f>
        <v>No</v>
      </c>
      <c r="R242" s="6" t="s">
        <v>60</v>
      </c>
      <c r="S242" s="6"/>
      <c r="T242" s="6"/>
      <c r="U242" s="23" t="n">
        <v>18.775</v>
      </c>
      <c r="V242" s="6" t="s">
        <v>4690</v>
      </c>
      <c r="W242" s="6" t="s">
        <v>4691</v>
      </c>
      <c r="X242" s="6" t="s">
        <v>4692</v>
      </c>
      <c r="Y242" s="6" t="s">
        <v>60</v>
      </c>
      <c r="Z242" s="6" t="n">
        <v>0</v>
      </c>
      <c r="AA242" s="6" t="n">
        <v>0</v>
      </c>
      <c r="AB242" s="6" t="n">
        <v>0</v>
      </c>
      <c r="AC242" s="6" t="n">
        <v>0</v>
      </c>
      <c r="AD242" s="6" t="n">
        <v>0</v>
      </c>
      <c r="AE242" s="6" t="n">
        <v>0</v>
      </c>
      <c r="AF242" s="6" t="n">
        <v>0</v>
      </c>
      <c r="AG242" s="6" t="n">
        <v>0</v>
      </c>
      <c r="AH242" s="6" t="n">
        <v>0</v>
      </c>
      <c r="AI242" s="6" t="s">
        <v>84</v>
      </c>
    </row>
    <row r="243" customFormat="false" ht="15" hidden="false" customHeight="false" outlineLevel="0" collapsed="false">
      <c r="A243" s="6" t="n">
        <v>242</v>
      </c>
      <c r="B243" s="6" t="s">
        <v>4693</v>
      </c>
      <c r="C243" s="6" t="n">
        <v>5</v>
      </c>
      <c r="D243" s="6" t="s">
        <v>186</v>
      </c>
      <c r="E243" s="6" t="s">
        <v>123</v>
      </c>
      <c r="F243" s="6" t="n">
        <v>3</v>
      </c>
      <c r="G243" s="6" t="n">
        <v>225</v>
      </c>
      <c r="H243" s="6" t="s">
        <v>4694</v>
      </c>
      <c r="I243" s="22" t="n">
        <v>2856000</v>
      </c>
      <c r="J243" s="22" t="n">
        <v>5000</v>
      </c>
      <c r="K243" s="22" t="n">
        <v>214575</v>
      </c>
      <c r="L243" s="22" t="n">
        <v>3075575</v>
      </c>
      <c r="M243" s="6" t="s">
        <v>927</v>
      </c>
      <c r="N243" s="6" t="s">
        <v>58</v>
      </c>
      <c r="O243" s="6"/>
      <c r="P243" s="6" t="s">
        <v>59</v>
      </c>
      <c r="Q243" s="6" t="str">
        <f aca="false">IF(P243="pass","No","Yes")</f>
        <v>Yes</v>
      </c>
      <c r="R243" s="6" t="s">
        <v>60</v>
      </c>
      <c r="S243" s="6" t="s">
        <v>915</v>
      </c>
      <c r="T243" s="6" t="s">
        <v>4695</v>
      </c>
      <c r="U243" s="23" t="n">
        <v>37.911</v>
      </c>
      <c r="V243" s="6" t="s">
        <v>4696</v>
      </c>
      <c r="W243" s="6" t="s">
        <v>4697</v>
      </c>
      <c r="X243" s="6" t="s">
        <v>4698</v>
      </c>
      <c r="Y243" s="6" t="s">
        <v>60</v>
      </c>
      <c r="Z243" s="6" t="n">
        <v>0</v>
      </c>
      <c r="AA243" s="6" t="n">
        <v>0</v>
      </c>
      <c r="AB243" s="6" t="n">
        <v>0</v>
      </c>
      <c r="AC243" s="6" t="n">
        <v>0</v>
      </c>
      <c r="AD243" s="6" t="n">
        <v>0</v>
      </c>
      <c r="AE243" s="6" t="n">
        <v>0</v>
      </c>
      <c r="AF243" s="6" t="n">
        <v>0</v>
      </c>
      <c r="AG243" s="6" t="n">
        <v>0</v>
      </c>
      <c r="AH243" s="6" t="n">
        <v>1</v>
      </c>
      <c r="AI243" s="6" t="s">
        <v>84</v>
      </c>
    </row>
    <row r="244" customFormat="false" ht="15" hidden="false" customHeight="false" outlineLevel="0" collapsed="false">
      <c r="A244" s="6" t="n">
        <v>243</v>
      </c>
      <c r="B244" s="6" t="s">
        <v>4699</v>
      </c>
      <c r="C244" s="6" t="n">
        <v>5</v>
      </c>
      <c r="D244" s="6" t="s">
        <v>186</v>
      </c>
      <c r="E244" s="6" t="s">
        <v>123</v>
      </c>
      <c r="F244" s="6" t="n">
        <v>1</v>
      </c>
      <c r="G244" s="6" t="n">
        <v>71</v>
      </c>
      <c r="H244" s="6" t="s">
        <v>4700</v>
      </c>
      <c r="I244" s="22" t="n">
        <v>837800</v>
      </c>
      <c r="J244" s="22" t="n">
        <v>5000</v>
      </c>
      <c r="K244" s="22" t="n">
        <v>63210</v>
      </c>
      <c r="L244" s="22" t="n">
        <v>906010</v>
      </c>
      <c r="M244" s="6" t="s">
        <v>57</v>
      </c>
      <c r="N244" s="6" t="s">
        <v>58</v>
      </c>
      <c r="O244" s="6"/>
      <c r="P244" s="6" t="s">
        <v>69</v>
      </c>
      <c r="Q244" s="6" t="str">
        <f aca="false">IF(P244="pass","No","Yes")</f>
        <v>No</v>
      </c>
      <c r="R244" s="6" t="s">
        <v>60</v>
      </c>
      <c r="S244" s="6"/>
      <c r="T244" s="6"/>
      <c r="U244" s="23" t="n">
        <v>12.599</v>
      </c>
      <c r="V244" s="6" t="s">
        <v>4701</v>
      </c>
      <c r="W244" s="6" t="s">
        <v>4702</v>
      </c>
      <c r="X244" s="6" t="s">
        <v>4703</v>
      </c>
      <c r="Y244" s="6" t="s">
        <v>60</v>
      </c>
      <c r="Z244" s="6" t="n">
        <v>0</v>
      </c>
      <c r="AA244" s="6" t="n">
        <v>0</v>
      </c>
      <c r="AB244" s="6" t="n">
        <v>0</v>
      </c>
      <c r="AC244" s="6" t="n">
        <v>0</v>
      </c>
      <c r="AD244" s="6" t="n">
        <v>0</v>
      </c>
      <c r="AE244" s="6" t="n">
        <v>0</v>
      </c>
      <c r="AF244" s="6" t="n">
        <v>0</v>
      </c>
      <c r="AG244" s="6" t="n">
        <v>0</v>
      </c>
      <c r="AH244" s="6" t="n">
        <v>0</v>
      </c>
      <c r="AI244" s="6" t="s">
        <v>84</v>
      </c>
    </row>
    <row r="245" customFormat="false" ht="15" hidden="false" customHeight="false" outlineLevel="0" collapsed="false">
      <c r="A245" s="6" t="n">
        <v>244</v>
      </c>
      <c r="B245" s="6" t="s">
        <v>4704</v>
      </c>
      <c r="C245" s="6" t="n">
        <v>5</v>
      </c>
      <c r="D245" s="6" t="s">
        <v>198</v>
      </c>
      <c r="E245" s="6" t="s">
        <v>81</v>
      </c>
      <c r="F245" s="6" t="n">
        <v>2</v>
      </c>
      <c r="G245" s="6" t="n">
        <v>283</v>
      </c>
      <c r="H245" s="6" t="s">
        <v>4705</v>
      </c>
      <c r="I245" s="22" t="n">
        <v>2536200</v>
      </c>
      <c r="J245" s="22" t="n">
        <v>4000</v>
      </c>
      <c r="K245" s="22" t="n">
        <v>190515</v>
      </c>
      <c r="L245" s="22" t="n">
        <v>2730715</v>
      </c>
      <c r="M245" s="6" t="s">
        <v>171</v>
      </c>
      <c r="N245" s="6" t="s">
        <v>84</v>
      </c>
      <c r="O245" s="6" t="s">
        <v>892</v>
      </c>
      <c r="P245" s="6" t="s">
        <v>85</v>
      </c>
      <c r="Q245" s="6" t="str">
        <f aca="false">IF(P245="pass","No","Yes")</f>
        <v>Yes</v>
      </c>
      <c r="R245" s="6" t="s">
        <v>86</v>
      </c>
      <c r="S245" s="6" t="s">
        <v>893</v>
      </c>
      <c r="T245" s="6" t="s">
        <v>4706</v>
      </c>
      <c r="U245" s="23" t="n">
        <v>19.311</v>
      </c>
      <c r="V245" s="6" t="s">
        <v>4707</v>
      </c>
      <c r="W245" s="6" t="s">
        <v>4708</v>
      </c>
      <c r="X245" s="6" t="s">
        <v>4709</v>
      </c>
      <c r="Y245" s="6" t="s">
        <v>86</v>
      </c>
      <c r="Z245" s="6" t="n">
        <v>0</v>
      </c>
      <c r="AA245" s="6" t="n">
        <v>0</v>
      </c>
      <c r="AB245" s="6" t="n">
        <v>0</v>
      </c>
      <c r="AC245" s="6" t="n">
        <v>1</v>
      </c>
      <c r="AD245" s="6" t="n">
        <v>0</v>
      </c>
      <c r="AE245" s="6" t="n">
        <v>0</v>
      </c>
      <c r="AF245" s="6" t="n">
        <v>0</v>
      </c>
      <c r="AG245" s="6" t="n">
        <v>0</v>
      </c>
      <c r="AH245" s="6" t="n">
        <v>1</v>
      </c>
      <c r="AI245" s="6" t="s">
        <v>84</v>
      </c>
    </row>
    <row r="246" customFormat="false" ht="15" hidden="false" customHeight="false" outlineLevel="0" collapsed="false">
      <c r="A246" s="6" t="n">
        <v>245</v>
      </c>
      <c r="B246" s="6" t="s">
        <v>4710</v>
      </c>
      <c r="C246" s="6" t="n">
        <v>5</v>
      </c>
      <c r="D246" s="6" t="s">
        <v>119</v>
      </c>
      <c r="E246" s="6" t="s">
        <v>123</v>
      </c>
      <c r="F246" s="6" t="n">
        <v>2</v>
      </c>
      <c r="G246" s="6" t="n">
        <v>48</v>
      </c>
      <c r="H246" s="6" t="s">
        <v>4711</v>
      </c>
      <c r="I246" s="22" t="n">
        <v>1300000</v>
      </c>
      <c r="J246" s="22" t="n">
        <v>5000</v>
      </c>
      <c r="K246" s="22" t="n">
        <v>97875</v>
      </c>
      <c r="L246" s="22" t="n">
        <v>1402875</v>
      </c>
      <c r="M246" s="6" t="s">
        <v>1009</v>
      </c>
      <c r="N246" s="6" t="s">
        <v>58</v>
      </c>
      <c r="O246" s="6"/>
      <c r="P246" s="6" t="s">
        <v>69</v>
      </c>
      <c r="Q246" s="6" t="str">
        <f aca="false">IF(P246="pass","No","Yes")</f>
        <v>No</v>
      </c>
      <c r="R246" s="6" t="s">
        <v>60</v>
      </c>
      <c r="S246" s="6"/>
      <c r="T246" s="6"/>
      <c r="U246" s="23" t="n">
        <v>21.835</v>
      </c>
      <c r="V246" s="6" t="s">
        <v>4712</v>
      </c>
      <c r="W246" s="6" t="s">
        <v>4713</v>
      </c>
      <c r="X246" s="6" t="s">
        <v>4714</v>
      </c>
      <c r="Y246" s="6" t="s">
        <v>60</v>
      </c>
      <c r="Z246" s="6" t="n">
        <v>0</v>
      </c>
      <c r="AA246" s="6" t="n">
        <v>0</v>
      </c>
      <c r="AB246" s="6" t="n">
        <v>0</v>
      </c>
      <c r="AC246" s="6" t="n">
        <v>0</v>
      </c>
      <c r="AD246" s="6" t="n">
        <v>0</v>
      </c>
      <c r="AE246" s="6" t="n">
        <v>0</v>
      </c>
      <c r="AF246" s="6" t="n">
        <v>0</v>
      </c>
      <c r="AG246" s="6" t="n">
        <v>0</v>
      </c>
      <c r="AH246" s="6" t="n">
        <v>0</v>
      </c>
      <c r="AI246" s="6" t="s">
        <v>84</v>
      </c>
    </row>
    <row r="247" customFormat="false" ht="15" hidden="false" customHeight="false" outlineLevel="0" collapsed="false">
      <c r="A247" s="6" t="n">
        <v>246</v>
      </c>
      <c r="B247" s="6" t="s">
        <v>4715</v>
      </c>
      <c r="C247" s="6" t="n">
        <v>5</v>
      </c>
      <c r="D247" s="6" t="s">
        <v>70</v>
      </c>
      <c r="E247" s="6" t="s">
        <v>74</v>
      </c>
      <c r="F247" s="6" t="n">
        <v>3</v>
      </c>
      <c r="G247" s="6" t="n">
        <v>26</v>
      </c>
      <c r="H247" s="6" t="s">
        <v>4716</v>
      </c>
      <c r="I247" s="22" t="n">
        <v>548000</v>
      </c>
      <c r="J247" s="22" t="n">
        <v>9000</v>
      </c>
      <c r="K247" s="22" t="n">
        <v>41775</v>
      </c>
      <c r="L247" s="22" t="n">
        <v>598775</v>
      </c>
      <c r="M247" s="6" t="s">
        <v>57</v>
      </c>
      <c r="N247" s="6" t="s">
        <v>58</v>
      </c>
      <c r="O247" s="6"/>
      <c r="P247" s="6" t="s">
        <v>69</v>
      </c>
      <c r="Q247" s="6" t="str">
        <f aca="false">IF(P247="pass","No","Yes")</f>
        <v>No</v>
      </c>
      <c r="R247" s="6" t="s">
        <v>60</v>
      </c>
      <c r="S247" s="6"/>
      <c r="T247" s="6"/>
      <c r="U247" s="23" t="n">
        <v>27.42</v>
      </c>
      <c r="V247" s="6" t="s">
        <v>4717</v>
      </c>
      <c r="W247" s="6" t="s">
        <v>4718</v>
      </c>
      <c r="X247" s="6" t="s">
        <v>4719</v>
      </c>
      <c r="Y247" s="6" t="s">
        <v>60</v>
      </c>
      <c r="Z247" s="6" t="n">
        <v>0</v>
      </c>
      <c r="AA247" s="6" t="n">
        <v>0</v>
      </c>
      <c r="AB247" s="6" t="n">
        <v>0</v>
      </c>
      <c r="AC247" s="6" t="n">
        <v>0</v>
      </c>
      <c r="AD247" s="6" t="n">
        <v>0</v>
      </c>
      <c r="AE247" s="6" t="n">
        <v>0</v>
      </c>
      <c r="AF247" s="6" t="n">
        <v>0</v>
      </c>
      <c r="AG247" s="6" t="n">
        <v>0</v>
      </c>
      <c r="AH247" s="6" t="n">
        <v>0</v>
      </c>
      <c r="AI247" s="6" t="s">
        <v>84</v>
      </c>
    </row>
    <row r="248" customFormat="false" ht="15" hidden="false" customHeight="false" outlineLevel="0" collapsed="false">
      <c r="A248" s="6" t="n">
        <v>247</v>
      </c>
      <c r="B248" s="6" t="s">
        <v>4720</v>
      </c>
      <c r="C248" s="6" t="n">
        <v>5</v>
      </c>
      <c r="D248" s="6" t="s">
        <v>77</v>
      </c>
      <c r="E248" s="6" t="s">
        <v>81</v>
      </c>
      <c r="F248" s="6" t="n">
        <v>3</v>
      </c>
      <c r="G248" s="6" t="n">
        <v>230</v>
      </c>
      <c r="H248" s="6" t="s">
        <v>4721</v>
      </c>
      <c r="I248" s="22" t="n">
        <v>2292200</v>
      </c>
      <c r="J248" s="22" t="n">
        <v>4000</v>
      </c>
      <c r="K248" s="22" t="n">
        <v>172215</v>
      </c>
      <c r="L248" s="22" t="n">
        <v>2468415</v>
      </c>
      <c r="M248" s="6" t="s">
        <v>224</v>
      </c>
      <c r="N248" s="6" t="s">
        <v>84</v>
      </c>
      <c r="O248" s="6" t="s">
        <v>866</v>
      </c>
      <c r="P248" s="6" t="s">
        <v>85</v>
      </c>
      <c r="Q248" s="6" t="str">
        <f aca="false">IF(P248="pass","No","Yes")</f>
        <v>Yes</v>
      </c>
      <c r="R248" s="6" t="s">
        <v>86</v>
      </c>
      <c r="S248" s="6" t="s">
        <v>872</v>
      </c>
      <c r="T248" s="6" t="s">
        <v>4722</v>
      </c>
      <c r="U248" s="23" t="n">
        <v>35.871</v>
      </c>
      <c r="V248" s="6" t="s">
        <v>4723</v>
      </c>
      <c r="W248" s="6" t="s">
        <v>4724</v>
      </c>
      <c r="X248" s="6" t="s">
        <v>4725</v>
      </c>
      <c r="Y248" s="6" t="s">
        <v>86</v>
      </c>
      <c r="Z248" s="6" t="n">
        <v>1</v>
      </c>
      <c r="AA248" s="6" t="n">
        <v>0</v>
      </c>
      <c r="AB248" s="6" t="n">
        <v>0</v>
      </c>
      <c r="AC248" s="6" t="n">
        <v>0</v>
      </c>
      <c r="AD248" s="6" t="n">
        <v>0</v>
      </c>
      <c r="AE248" s="6" t="n">
        <v>0</v>
      </c>
      <c r="AF248" s="6" t="n">
        <v>0</v>
      </c>
      <c r="AG248" s="6" t="n">
        <v>0</v>
      </c>
      <c r="AH248" s="6" t="n">
        <v>1</v>
      </c>
      <c r="AI248" s="6" t="s">
        <v>58</v>
      </c>
    </row>
    <row r="249" customFormat="false" ht="15" hidden="false" customHeight="false" outlineLevel="0" collapsed="false">
      <c r="A249" s="6" t="n">
        <v>248</v>
      </c>
      <c r="B249" s="6" t="s">
        <v>4726</v>
      </c>
      <c r="C249" s="6" t="n">
        <v>5</v>
      </c>
      <c r="D249" s="6" t="s">
        <v>191</v>
      </c>
      <c r="E249" s="6" t="s">
        <v>116</v>
      </c>
      <c r="F249" s="6" t="n">
        <v>2</v>
      </c>
      <c r="G249" s="6" t="n">
        <v>70</v>
      </c>
      <c r="H249" s="6" t="s">
        <v>4727</v>
      </c>
      <c r="I249" s="22" t="n">
        <v>1047500</v>
      </c>
      <c r="J249" s="22" t="n">
        <v>15000</v>
      </c>
      <c r="K249" s="22" t="n">
        <v>79687.5</v>
      </c>
      <c r="L249" s="22" t="n">
        <v>1142187.5</v>
      </c>
      <c r="M249" s="6" t="s">
        <v>132</v>
      </c>
      <c r="N249" s="6" t="s">
        <v>84</v>
      </c>
      <c r="O249" s="6" t="s">
        <v>879</v>
      </c>
      <c r="P249" s="6" t="s">
        <v>85</v>
      </c>
      <c r="Q249" s="6" t="str">
        <f aca="false">IF(P249="pass","No","Yes")</f>
        <v>Yes</v>
      </c>
      <c r="R249" s="6" t="s">
        <v>86</v>
      </c>
      <c r="S249" s="6" t="s">
        <v>880</v>
      </c>
      <c r="T249" s="6" t="s">
        <v>134</v>
      </c>
      <c r="U249" s="23" t="n">
        <v>14.031</v>
      </c>
      <c r="V249" s="6" t="s">
        <v>4728</v>
      </c>
      <c r="W249" s="6" t="s">
        <v>4729</v>
      </c>
      <c r="X249" s="6" t="s">
        <v>4730</v>
      </c>
      <c r="Y249" s="6" t="s">
        <v>86</v>
      </c>
      <c r="Z249" s="6" t="n">
        <v>0</v>
      </c>
      <c r="AA249" s="6" t="n">
        <v>1</v>
      </c>
      <c r="AB249" s="6" t="n">
        <v>0</v>
      </c>
      <c r="AC249" s="6" t="n">
        <v>1</v>
      </c>
      <c r="AD249" s="6" t="n">
        <v>0</v>
      </c>
      <c r="AE249" s="6" t="n">
        <v>0</v>
      </c>
      <c r="AF249" s="6" t="n">
        <v>0</v>
      </c>
      <c r="AG249" s="6" t="n">
        <v>0</v>
      </c>
      <c r="AH249" s="6" t="n">
        <v>0</v>
      </c>
      <c r="AI249" s="6" t="s">
        <v>84</v>
      </c>
    </row>
    <row r="250" customFormat="false" ht="15" hidden="false" customHeight="false" outlineLevel="0" collapsed="false">
      <c r="A250" s="6" t="n">
        <v>249</v>
      </c>
      <c r="B250" s="6" t="s">
        <v>4731</v>
      </c>
      <c r="C250" s="6" t="n">
        <v>5</v>
      </c>
      <c r="D250" s="6" t="s">
        <v>237</v>
      </c>
      <c r="E250" s="6" t="s">
        <v>116</v>
      </c>
      <c r="F250" s="6" t="n">
        <v>3</v>
      </c>
      <c r="G250" s="6" t="n">
        <v>15</v>
      </c>
      <c r="H250" s="6" t="s">
        <v>4732</v>
      </c>
      <c r="I250" s="22" t="n">
        <v>565200</v>
      </c>
      <c r="J250" s="22" t="n">
        <v>15000</v>
      </c>
      <c r="K250" s="22" t="n">
        <v>43515</v>
      </c>
      <c r="L250" s="22" t="n">
        <v>623715</v>
      </c>
      <c r="M250" s="6" t="s">
        <v>132</v>
      </c>
      <c r="N250" s="6" t="s">
        <v>84</v>
      </c>
      <c r="O250" s="6" t="s">
        <v>879</v>
      </c>
      <c r="P250" s="6" t="s">
        <v>85</v>
      </c>
      <c r="Q250" s="6" t="str">
        <f aca="false">IF(P250="pass","No","Yes")</f>
        <v>Yes</v>
      </c>
      <c r="R250" s="6" t="s">
        <v>86</v>
      </c>
      <c r="S250" s="6" t="s">
        <v>880</v>
      </c>
      <c r="T250" s="6" t="s">
        <v>134</v>
      </c>
      <c r="U250" s="23" t="n">
        <v>20.66</v>
      </c>
      <c r="V250" s="6" t="s">
        <v>4733</v>
      </c>
      <c r="W250" s="6" t="s">
        <v>4734</v>
      </c>
      <c r="X250" s="6" t="s">
        <v>4735</v>
      </c>
      <c r="Y250" s="6" t="s">
        <v>86</v>
      </c>
      <c r="Z250" s="6" t="n">
        <v>0</v>
      </c>
      <c r="AA250" s="6" t="n">
        <v>1</v>
      </c>
      <c r="AB250" s="6" t="n">
        <v>0</v>
      </c>
      <c r="AC250" s="6" t="n">
        <v>1</v>
      </c>
      <c r="AD250" s="6" t="n">
        <v>0</v>
      </c>
      <c r="AE250" s="6" t="n">
        <v>0</v>
      </c>
      <c r="AF250" s="6" t="n">
        <v>0</v>
      </c>
      <c r="AG250" s="6" t="n">
        <v>0</v>
      </c>
      <c r="AH250" s="6" t="n">
        <v>0</v>
      </c>
      <c r="AI250" s="6" t="s">
        <v>84</v>
      </c>
    </row>
    <row r="251" customFormat="false" ht="15" hidden="false" customHeight="false" outlineLevel="0" collapsed="false">
      <c r="A251" s="6" t="n">
        <v>250</v>
      </c>
      <c r="B251" s="6" t="s">
        <v>4736</v>
      </c>
      <c r="C251" s="6" t="n">
        <v>5</v>
      </c>
      <c r="D251" s="6" t="s">
        <v>119</v>
      </c>
      <c r="E251" s="6" t="s">
        <v>123</v>
      </c>
      <c r="F251" s="6" t="n">
        <v>3</v>
      </c>
      <c r="G251" s="6" t="n">
        <v>26</v>
      </c>
      <c r="H251" s="6" t="s">
        <v>4737</v>
      </c>
      <c r="I251" s="22" t="n">
        <v>1046200</v>
      </c>
      <c r="J251" s="22" t="n">
        <v>5000</v>
      </c>
      <c r="K251" s="22" t="n">
        <v>78840</v>
      </c>
      <c r="L251" s="22" t="n">
        <v>1130040</v>
      </c>
      <c r="M251" s="6" t="s">
        <v>94</v>
      </c>
      <c r="N251" s="6" t="s">
        <v>84</v>
      </c>
      <c r="O251" s="6" t="s">
        <v>909</v>
      </c>
      <c r="P251" s="6" t="s">
        <v>85</v>
      </c>
      <c r="Q251" s="6" t="str">
        <f aca="false">IF(P251="pass","No","Yes")</f>
        <v>Yes</v>
      </c>
      <c r="R251" s="6" t="s">
        <v>86</v>
      </c>
      <c r="S251" s="6" t="s">
        <v>909</v>
      </c>
      <c r="T251" s="6" t="s">
        <v>254</v>
      </c>
      <c r="U251" s="23" t="n">
        <v>25.973</v>
      </c>
      <c r="V251" s="6" t="s">
        <v>4738</v>
      </c>
      <c r="W251" s="6" t="s">
        <v>4739</v>
      </c>
      <c r="X251" s="6" t="s">
        <v>4740</v>
      </c>
      <c r="Y251" s="6" t="s">
        <v>86</v>
      </c>
      <c r="Z251" s="6" t="n">
        <v>0</v>
      </c>
      <c r="AA251" s="6" t="n">
        <v>0</v>
      </c>
      <c r="AB251" s="6" t="n">
        <v>0</v>
      </c>
      <c r="AC251" s="6" t="n">
        <v>0</v>
      </c>
      <c r="AD251" s="6" t="n">
        <v>0</v>
      </c>
      <c r="AE251" s="6" t="n">
        <v>0</v>
      </c>
      <c r="AF251" s="6" t="n">
        <v>1</v>
      </c>
      <c r="AG251" s="6" t="n">
        <v>0</v>
      </c>
      <c r="AH251" s="6" t="n">
        <v>0</v>
      </c>
      <c r="AI251" s="6" t="s">
        <v>84</v>
      </c>
    </row>
    <row r="252" customFormat="false" ht="15" hidden="false" customHeight="false" outlineLevel="0" collapsed="false">
      <c r="A252" s="6" t="n">
        <v>251</v>
      </c>
      <c r="B252" s="6" t="s">
        <v>4741</v>
      </c>
      <c r="C252" s="6" t="n">
        <v>6</v>
      </c>
      <c r="D252" s="6" t="s">
        <v>137</v>
      </c>
      <c r="E252" s="6" t="s">
        <v>55</v>
      </c>
      <c r="F252" s="6" t="n">
        <v>4</v>
      </c>
      <c r="G252" s="6" t="n">
        <v>81</v>
      </c>
      <c r="H252" s="6" t="s">
        <v>4742</v>
      </c>
      <c r="I252" s="22" t="n">
        <v>907800</v>
      </c>
      <c r="J252" s="22" t="n">
        <v>6000</v>
      </c>
      <c r="K252" s="22" t="n">
        <v>68535</v>
      </c>
      <c r="L252" s="22" t="n">
        <v>982335</v>
      </c>
      <c r="M252" s="6" t="s">
        <v>152</v>
      </c>
      <c r="N252" s="6" t="s">
        <v>84</v>
      </c>
      <c r="O252" s="6" t="s">
        <v>886</v>
      </c>
      <c r="P252" s="6" t="s">
        <v>85</v>
      </c>
      <c r="Q252" s="6" t="str">
        <f aca="false">IF(P252="pass","No","Yes")</f>
        <v>Yes</v>
      </c>
      <c r="R252" s="6" t="s">
        <v>86</v>
      </c>
      <c r="S252" s="6" t="s">
        <v>886</v>
      </c>
      <c r="T252" s="6" t="s">
        <v>264</v>
      </c>
      <c r="U252" s="23" t="n">
        <v>28.204</v>
      </c>
      <c r="V252" s="6" t="s">
        <v>4743</v>
      </c>
      <c r="W252" s="6" t="s">
        <v>4744</v>
      </c>
      <c r="X252" s="6" t="s">
        <v>4745</v>
      </c>
      <c r="Y252" s="6" t="s">
        <v>86</v>
      </c>
      <c r="Z252" s="6" t="n">
        <v>0</v>
      </c>
      <c r="AA252" s="6" t="n">
        <v>0</v>
      </c>
      <c r="AB252" s="6" t="n">
        <v>1</v>
      </c>
      <c r="AC252" s="6" t="n">
        <v>0</v>
      </c>
      <c r="AD252" s="6" t="n">
        <v>0</v>
      </c>
      <c r="AE252" s="6" t="n">
        <v>0</v>
      </c>
      <c r="AF252" s="6" t="n">
        <v>0</v>
      </c>
      <c r="AG252" s="6" t="n">
        <v>0</v>
      </c>
      <c r="AH252" s="6" t="n">
        <v>0</v>
      </c>
      <c r="AI252" s="6" t="s">
        <v>84</v>
      </c>
    </row>
    <row r="253" customFormat="false" ht="15" hidden="false" customHeight="false" outlineLevel="0" collapsed="false">
      <c r="A253" s="6" t="n">
        <v>252</v>
      </c>
      <c r="B253" s="6" t="s">
        <v>4746</v>
      </c>
      <c r="C253" s="6" t="n">
        <v>6</v>
      </c>
      <c r="D253" s="6" t="s">
        <v>177</v>
      </c>
      <c r="E253" s="6" t="s">
        <v>81</v>
      </c>
      <c r="F253" s="6" t="n">
        <v>1</v>
      </c>
      <c r="G253" s="6" t="n">
        <v>40</v>
      </c>
      <c r="H253" s="6" t="s">
        <v>4747</v>
      </c>
      <c r="I253" s="22" t="n">
        <v>344000</v>
      </c>
      <c r="J253" s="22" t="n">
        <v>4000</v>
      </c>
      <c r="K253" s="22" t="n">
        <v>26100</v>
      </c>
      <c r="L253" s="22" t="n">
        <v>374100</v>
      </c>
      <c r="M253" s="6" t="s">
        <v>57</v>
      </c>
      <c r="N253" s="6" t="s">
        <v>58</v>
      </c>
      <c r="O253" s="6"/>
      <c r="P253" s="6" t="s">
        <v>69</v>
      </c>
      <c r="Q253" s="6" t="str">
        <f aca="false">IF(P253="pass","No","Yes")</f>
        <v>No</v>
      </c>
      <c r="R253" s="6" t="s">
        <v>60</v>
      </c>
      <c r="S253" s="6"/>
      <c r="T253" s="6"/>
      <c r="U253" s="23" t="n">
        <v>13.488</v>
      </c>
      <c r="V253" s="6" t="s">
        <v>4748</v>
      </c>
      <c r="W253" s="6" t="s">
        <v>4749</v>
      </c>
      <c r="X253" s="6" t="s">
        <v>4750</v>
      </c>
      <c r="Y253" s="6" t="s">
        <v>60</v>
      </c>
      <c r="Z253" s="6" t="n">
        <v>0</v>
      </c>
      <c r="AA253" s="6" t="n">
        <v>0</v>
      </c>
      <c r="AB253" s="6" t="n">
        <v>0</v>
      </c>
      <c r="AC253" s="6" t="n">
        <v>0</v>
      </c>
      <c r="AD253" s="6" t="n">
        <v>0</v>
      </c>
      <c r="AE253" s="6" t="n">
        <v>0</v>
      </c>
      <c r="AF253" s="6" t="n">
        <v>0</v>
      </c>
      <c r="AG253" s="6" t="n">
        <v>0</v>
      </c>
      <c r="AH253" s="6" t="n">
        <v>0</v>
      </c>
      <c r="AI253" s="6" t="s">
        <v>84</v>
      </c>
    </row>
    <row r="254" customFormat="false" ht="15" hidden="false" customHeight="false" outlineLevel="0" collapsed="false">
      <c r="A254" s="6" t="n">
        <v>253</v>
      </c>
      <c r="B254" s="6" t="s">
        <v>4751</v>
      </c>
      <c r="C254" s="6" t="n">
        <v>6</v>
      </c>
      <c r="D254" s="6" t="s">
        <v>186</v>
      </c>
      <c r="E254" s="6" t="s">
        <v>123</v>
      </c>
      <c r="F254" s="6" t="n">
        <v>3</v>
      </c>
      <c r="G254" s="6" t="n">
        <v>32</v>
      </c>
      <c r="H254" s="6" t="s">
        <v>4752</v>
      </c>
      <c r="I254" s="22" t="n">
        <v>293200</v>
      </c>
      <c r="J254" s="22" t="n">
        <v>5000</v>
      </c>
      <c r="K254" s="22" t="n">
        <v>22365</v>
      </c>
      <c r="L254" s="22" t="n">
        <v>320565</v>
      </c>
      <c r="M254" s="6" t="s">
        <v>272</v>
      </c>
      <c r="N254" s="6" t="s">
        <v>84</v>
      </c>
      <c r="O254" s="6" t="s">
        <v>879</v>
      </c>
      <c r="P254" s="6" t="s">
        <v>85</v>
      </c>
      <c r="Q254" s="6" t="str">
        <f aca="false">IF(P254="pass","No","Yes")</f>
        <v>Yes</v>
      </c>
      <c r="R254" s="6" t="s">
        <v>86</v>
      </c>
      <c r="S254" s="6" t="s">
        <v>879</v>
      </c>
      <c r="T254" s="6" t="s">
        <v>4753</v>
      </c>
      <c r="U254" s="23" t="n">
        <v>29.298</v>
      </c>
      <c r="V254" s="6" t="s">
        <v>4754</v>
      </c>
      <c r="W254" s="6" t="s">
        <v>4755</v>
      </c>
      <c r="X254" s="6" t="s">
        <v>4756</v>
      </c>
      <c r="Y254" s="6" t="s">
        <v>86</v>
      </c>
      <c r="Z254" s="6" t="n">
        <v>0</v>
      </c>
      <c r="AA254" s="6" t="n">
        <v>1</v>
      </c>
      <c r="AB254" s="6" t="n">
        <v>0</v>
      </c>
      <c r="AC254" s="6" t="n">
        <v>0</v>
      </c>
      <c r="AD254" s="6" t="n">
        <v>0</v>
      </c>
      <c r="AE254" s="6" t="n">
        <v>0</v>
      </c>
      <c r="AF254" s="6" t="n">
        <v>0</v>
      </c>
      <c r="AG254" s="6" t="n">
        <v>0</v>
      </c>
      <c r="AH254" s="6" t="n">
        <v>0</v>
      </c>
      <c r="AI254" s="6" t="s">
        <v>84</v>
      </c>
    </row>
    <row r="255" customFormat="false" ht="15" hidden="false" customHeight="false" outlineLevel="0" collapsed="false">
      <c r="A255" s="6" t="n">
        <v>254</v>
      </c>
      <c r="B255" s="6" t="s">
        <v>4757</v>
      </c>
      <c r="C255" s="6" t="n">
        <v>6</v>
      </c>
      <c r="D255" s="6" t="s">
        <v>191</v>
      </c>
      <c r="E255" s="6" t="s">
        <v>116</v>
      </c>
      <c r="F255" s="6" t="n">
        <v>3</v>
      </c>
      <c r="G255" s="6" t="n">
        <v>137</v>
      </c>
      <c r="H255" s="6" t="s">
        <v>4758</v>
      </c>
      <c r="I255" s="22" t="n">
        <v>1785000</v>
      </c>
      <c r="J255" s="22" t="n">
        <v>15000</v>
      </c>
      <c r="K255" s="22" t="n">
        <v>135000</v>
      </c>
      <c r="L255" s="22" t="n">
        <v>1935000</v>
      </c>
      <c r="M255" s="6" t="s">
        <v>57</v>
      </c>
      <c r="N255" s="6" t="s">
        <v>58</v>
      </c>
      <c r="O255" s="6"/>
      <c r="P255" s="6" t="s">
        <v>69</v>
      </c>
      <c r="Q255" s="6" t="str">
        <f aca="false">IF(P255="pass","No","Yes")</f>
        <v>No</v>
      </c>
      <c r="R255" s="6" t="s">
        <v>60</v>
      </c>
      <c r="S255" s="6"/>
      <c r="T255" s="6"/>
      <c r="U255" s="23" t="n">
        <v>29.079</v>
      </c>
      <c r="V255" s="6" t="s">
        <v>4759</v>
      </c>
      <c r="W255" s="6" t="s">
        <v>4760</v>
      </c>
      <c r="X255" s="6" t="s">
        <v>4761</v>
      </c>
      <c r="Y255" s="6" t="s">
        <v>60</v>
      </c>
      <c r="Z255" s="6" t="n">
        <v>0</v>
      </c>
      <c r="AA255" s="6" t="n">
        <v>0</v>
      </c>
      <c r="AB255" s="6" t="n">
        <v>0</v>
      </c>
      <c r="AC255" s="6" t="n">
        <v>0</v>
      </c>
      <c r="AD255" s="6" t="n">
        <v>0</v>
      </c>
      <c r="AE255" s="6" t="n">
        <v>0</v>
      </c>
      <c r="AF255" s="6" t="n">
        <v>0</v>
      </c>
      <c r="AG255" s="6" t="n">
        <v>0</v>
      </c>
      <c r="AH255" s="6" t="n">
        <v>0</v>
      </c>
      <c r="AI255" s="6" t="s">
        <v>84</v>
      </c>
    </row>
    <row r="256" customFormat="false" ht="15" hidden="false" customHeight="false" outlineLevel="0" collapsed="false">
      <c r="A256" s="6" t="n">
        <v>255</v>
      </c>
      <c r="B256" s="6" t="s">
        <v>4762</v>
      </c>
      <c r="C256" s="6" t="n">
        <v>6</v>
      </c>
      <c r="D256" s="6" t="s">
        <v>51</v>
      </c>
      <c r="E256" s="6" t="s">
        <v>55</v>
      </c>
      <c r="F256" s="6" t="n">
        <v>1</v>
      </c>
      <c r="G256" s="6" t="n">
        <v>2</v>
      </c>
      <c r="H256" s="6" t="s">
        <v>4763</v>
      </c>
      <c r="I256" s="22" t="n">
        <v>76000</v>
      </c>
      <c r="J256" s="22" t="n">
        <v>6000</v>
      </c>
      <c r="K256" s="22" t="n">
        <v>6150</v>
      </c>
      <c r="L256" s="22" t="n">
        <v>88150</v>
      </c>
      <c r="M256" s="6" t="s">
        <v>57</v>
      </c>
      <c r="N256" s="6" t="s">
        <v>58</v>
      </c>
      <c r="O256" s="6"/>
      <c r="P256" s="6" t="s">
        <v>69</v>
      </c>
      <c r="Q256" s="6" t="str">
        <f aca="false">IF(P256="pass","No","Yes")</f>
        <v>No</v>
      </c>
      <c r="R256" s="6" t="s">
        <v>60</v>
      </c>
      <c r="S256" s="6"/>
      <c r="T256" s="6"/>
      <c r="U256" s="23" t="n">
        <v>14.851</v>
      </c>
      <c r="V256" s="6" t="s">
        <v>4764</v>
      </c>
      <c r="W256" s="6" t="s">
        <v>4765</v>
      </c>
      <c r="X256" s="6" t="s">
        <v>4766</v>
      </c>
      <c r="Y256" s="6" t="s">
        <v>60</v>
      </c>
      <c r="Z256" s="6" t="n">
        <v>0</v>
      </c>
      <c r="AA256" s="6" t="n">
        <v>0</v>
      </c>
      <c r="AB256" s="6" t="n">
        <v>0</v>
      </c>
      <c r="AC256" s="6" t="n">
        <v>0</v>
      </c>
      <c r="AD256" s="6" t="n">
        <v>0</v>
      </c>
      <c r="AE256" s="6" t="n">
        <v>0</v>
      </c>
      <c r="AF256" s="6" t="n">
        <v>0</v>
      </c>
      <c r="AG256" s="6" t="n">
        <v>0</v>
      </c>
      <c r="AH256" s="6" t="n">
        <v>0</v>
      </c>
      <c r="AI256" s="6" t="s">
        <v>84</v>
      </c>
    </row>
    <row r="257" customFormat="false" ht="15" hidden="false" customHeight="false" outlineLevel="0" collapsed="false">
      <c r="A257" s="6" t="n">
        <v>256</v>
      </c>
      <c r="B257" s="6" t="s">
        <v>4767</v>
      </c>
      <c r="C257" s="6" t="n">
        <v>6</v>
      </c>
      <c r="D257" s="6" t="s">
        <v>186</v>
      </c>
      <c r="E257" s="6" t="s">
        <v>123</v>
      </c>
      <c r="F257" s="6" t="n">
        <v>2</v>
      </c>
      <c r="G257" s="6" t="n">
        <v>94</v>
      </c>
      <c r="H257" s="6" t="s">
        <v>4768</v>
      </c>
      <c r="I257" s="22" t="n">
        <v>1279800</v>
      </c>
      <c r="J257" s="22" t="n">
        <v>5000</v>
      </c>
      <c r="K257" s="22" t="n">
        <v>96360</v>
      </c>
      <c r="L257" s="22" t="n">
        <v>1381160</v>
      </c>
      <c r="M257" s="6" t="s">
        <v>1009</v>
      </c>
      <c r="N257" s="6" t="s">
        <v>58</v>
      </c>
      <c r="O257" s="6"/>
      <c r="P257" s="6" t="s">
        <v>69</v>
      </c>
      <c r="Q257" s="6" t="str">
        <f aca="false">IF(P257="pass","No","Yes")</f>
        <v>No</v>
      </c>
      <c r="R257" s="6" t="s">
        <v>60</v>
      </c>
      <c r="S257" s="6"/>
      <c r="T257" s="6"/>
      <c r="U257" s="23" t="n">
        <v>20.831</v>
      </c>
      <c r="V257" s="6" t="s">
        <v>4769</v>
      </c>
      <c r="W257" s="6" t="s">
        <v>4770</v>
      </c>
      <c r="X257" s="6" t="s">
        <v>4771</v>
      </c>
      <c r="Y257" s="6" t="s">
        <v>60</v>
      </c>
      <c r="Z257" s="6" t="n">
        <v>0</v>
      </c>
      <c r="AA257" s="6" t="n">
        <v>0</v>
      </c>
      <c r="AB257" s="6" t="n">
        <v>0</v>
      </c>
      <c r="AC257" s="6" t="n">
        <v>0</v>
      </c>
      <c r="AD257" s="6" t="n">
        <v>0</v>
      </c>
      <c r="AE257" s="6" t="n">
        <v>0</v>
      </c>
      <c r="AF257" s="6" t="n">
        <v>0</v>
      </c>
      <c r="AG257" s="6" t="n">
        <v>0</v>
      </c>
      <c r="AH257" s="6" t="n">
        <v>0</v>
      </c>
      <c r="AI257" s="6" t="s">
        <v>84</v>
      </c>
    </row>
    <row r="258" customFormat="false" ht="15" hidden="false" customHeight="false" outlineLevel="0" collapsed="false">
      <c r="A258" s="6" t="n">
        <v>257</v>
      </c>
      <c r="B258" s="6" t="s">
        <v>4772</v>
      </c>
      <c r="C258" s="6" t="n">
        <v>6</v>
      </c>
      <c r="D258" s="6" t="s">
        <v>51</v>
      </c>
      <c r="E258" s="6" t="s">
        <v>55</v>
      </c>
      <c r="F258" s="6" t="n">
        <v>1</v>
      </c>
      <c r="G258" s="6" t="n">
        <v>70</v>
      </c>
      <c r="H258" s="6" t="s">
        <v>1379</v>
      </c>
      <c r="I258" s="22" t="n">
        <v>826000</v>
      </c>
      <c r="J258" s="22" t="n">
        <v>6000</v>
      </c>
      <c r="K258" s="22" t="n">
        <v>62400</v>
      </c>
      <c r="L258" s="22" t="n">
        <v>894400</v>
      </c>
      <c r="M258" s="6" t="s">
        <v>984</v>
      </c>
      <c r="N258" s="6" t="s">
        <v>84</v>
      </c>
      <c r="O258" s="6" t="s">
        <v>985</v>
      </c>
      <c r="P258" s="6" t="s">
        <v>85</v>
      </c>
      <c r="Q258" s="6" t="str">
        <f aca="false">IF(P258="pass","No","Yes")</f>
        <v>Yes</v>
      </c>
      <c r="R258" s="6" t="s">
        <v>86</v>
      </c>
      <c r="S258" s="6" t="s">
        <v>985</v>
      </c>
      <c r="T258" s="6" t="s">
        <v>3809</v>
      </c>
      <c r="U258" s="23" t="n">
        <v>13.119</v>
      </c>
      <c r="V258" s="6" t="s">
        <v>4773</v>
      </c>
      <c r="W258" s="6" t="s">
        <v>4774</v>
      </c>
      <c r="X258" s="6" t="s">
        <v>4775</v>
      </c>
      <c r="Y258" s="6" t="s">
        <v>86</v>
      </c>
      <c r="Z258" s="6" t="n">
        <v>0</v>
      </c>
      <c r="AA258" s="6" t="n">
        <v>0</v>
      </c>
      <c r="AB258" s="6" t="n">
        <v>0</v>
      </c>
      <c r="AC258" s="6" t="n">
        <v>0</v>
      </c>
      <c r="AD258" s="6" t="n">
        <v>0</v>
      </c>
      <c r="AE258" s="6" t="n">
        <v>1</v>
      </c>
      <c r="AF258" s="6" t="n">
        <v>0</v>
      </c>
      <c r="AG258" s="6" t="n">
        <v>0</v>
      </c>
      <c r="AH258" s="6" t="n">
        <v>0</v>
      </c>
      <c r="AI258" s="6" t="s">
        <v>84</v>
      </c>
    </row>
    <row r="259" customFormat="false" ht="15" hidden="false" customHeight="false" outlineLevel="0" collapsed="false">
      <c r="A259" s="6" t="n">
        <v>258</v>
      </c>
      <c r="B259" s="6" t="s">
        <v>4776</v>
      </c>
      <c r="C259" s="6" t="n">
        <v>6</v>
      </c>
      <c r="D259" s="6" t="s">
        <v>142</v>
      </c>
      <c r="E259" s="6" t="s">
        <v>74</v>
      </c>
      <c r="F259" s="6" t="n">
        <v>3</v>
      </c>
      <c r="G259" s="6" t="n">
        <v>25</v>
      </c>
      <c r="H259" s="6" t="s">
        <v>4777</v>
      </c>
      <c r="I259" s="22" t="n">
        <v>397700</v>
      </c>
      <c r="J259" s="22" t="n">
        <v>9000</v>
      </c>
      <c r="K259" s="22" t="n">
        <v>30502.5</v>
      </c>
      <c r="L259" s="22" t="n">
        <v>437202.5</v>
      </c>
      <c r="M259" s="6" t="s">
        <v>94</v>
      </c>
      <c r="N259" s="6" t="s">
        <v>84</v>
      </c>
      <c r="O259" s="6" t="s">
        <v>909</v>
      </c>
      <c r="P259" s="6" t="s">
        <v>85</v>
      </c>
      <c r="Q259" s="6" t="str">
        <f aca="false">IF(P259="pass","No","Yes")</f>
        <v>Yes</v>
      </c>
      <c r="R259" s="6" t="s">
        <v>86</v>
      </c>
      <c r="S259" s="6" t="s">
        <v>909</v>
      </c>
      <c r="T259" s="6" t="s">
        <v>254</v>
      </c>
      <c r="U259" s="23" t="n">
        <v>26.839</v>
      </c>
      <c r="V259" s="6" t="s">
        <v>4778</v>
      </c>
      <c r="W259" s="6" t="s">
        <v>4779</v>
      </c>
      <c r="X259" s="6" t="s">
        <v>4780</v>
      </c>
      <c r="Y259" s="6" t="s">
        <v>86</v>
      </c>
      <c r="Z259" s="6" t="n">
        <v>0</v>
      </c>
      <c r="AA259" s="6" t="n">
        <v>0</v>
      </c>
      <c r="AB259" s="6" t="n">
        <v>0</v>
      </c>
      <c r="AC259" s="6" t="n">
        <v>0</v>
      </c>
      <c r="AD259" s="6" t="n">
        <v>0</v>
      </c>
      <c r="AE259" s="6" t="n">
        <v>0</v>
      </c>
      <c r="AF259" s="6" t="n">
        <v>1</v>
      </c>
      <c r="AG259" s="6" t="n">
        <v>0</v>
      </c>
      <c r="AH259" s="6" t="n">
        <v>0</v>
      </c>
      <c r="AI259" s="6" t="s">
        <v>84</v>
      </c>
    </row>
    <row r="260" customFormat="false" ht="15" hidden="false" customHeight="false" outlineLevel="0" collapsed="false">
      <c r="A260" s="6" t="n">
        <v>259</v>
      </c>
      <c r="B260" s="6" t="s">
        <v>4781</v>
      </c>
      <c r="C260" s="6" t="n">
        <v>6</v>
      </c>
      <c r="D260" s="6" t="s">
        <v>237</v>
      </c>
      <c r="E260" s="6" t="s">
        <v>116</v>
      </c>
      <c r="F260" s="6" t="n">
        <v>2</v>
      </c>
      <c r="G260" s="6" t="n">
        <v>17</v>
      </c>
      <c r="H260" s="6" t="s">
        <v>4782</v>
      </c>
      <c r="I260" s="22" t="n">
        <v>646000</v>
      </c>
      <c r="J260" s="22" t="n">
        <v>15000</v>
      </c>
      <c r="K260" s="22" t="n">
        <v>49575</v>
      </c>
      <c r="L260" s="22" t="n">
        <v>710575</v>
      </c>
      <c r="M260" s="6" t="s">
        <v>152</v>
      </c>
      <c r="N260" s="6" t="s">
        <v>84</v>
      </c>
      <c r="O260" s="6" t="s">
        <v>886</v>
      </c>
      <c r="P260" s="6" t="s">
        <v>85</v>
      </c>
      <c r="Q260" s="6" t="str">
        <f aca="false">IF(P260="pass","No","Yes")</f>
        <v>Yes</v>
      </c>
      <c r="R260" s="6" t="s">
        <v>86</v>
      </c>
      <c r="S260" s="6" t="s">
        <v>886</v>
      </c>
      <c r="T260" s="6" t="s">
        <v>336</v>
      </c>
      <c r="U260" s="23" t="n">
        <v>14.163</v>
      </c>
      <c r="V260" s="6" t="s">
        <v>4783</v>
      </c>
      <c r="W260" s="6" t="s">
        <v>4784</v>
      </c>
      <c r="X260" s="6" t="s">
        <v>4785</v>
      </c>
      <c r="Y260" s="6" t="s">
        <v>86</v>
      </c>
      <c r="Z260" s="6" t="n">
        <v>0</v>
      </c>
      <c r="AA260" s="6" t="n">
        <v>0</v>
      </c>
      <c r="AB260" s="6" t="n">
        <v>1</v>
      </c>
      <c r="AC260" s="6" t="n">
        <v>0</v>
      </c>
      <c r="AD260" s="6" t="n">
        <v>0</v>
      </c>
      <c r="AE260" s="6" t="n">
        <v>0</v>
      </c>
      <c r="AF260" s="6" t="n">
        <v>0</v>
      </c>
      <c r="AG260" s="6" t="n">
        <v>0</v>
      </c>
      <c r="AH260" s="6" t="n">
        <v>0</v>
      </c>
      <c r="AI260" s="6" t="s">
        <v>84</v>
      </c>
    </row>
    <row r="261" customFormat="false" ht="15" hidden="false" customHeight="false" outlineLevel="0" collapsed="false">
      <c r="A261" s="6" t="n">
        <v>260</v>
      </c>
      <c r="B261" s="6" t="s">
        <v>4786</v>
      </c>
      <c r="C261" s="6" t="n">
        <v>6</v>
      </c>
      <c r="D261" s="6" t="s">
        <v>198</v>
      </c>
      <c r="E261" s="6" t="s">
        <v>81</v>
      </c>
      <c r="F261" s="6" t="n">
        <v>1</v>
      </c>
      <c r="G261" s="6" t="n">
        <v>8</v>
      </c>
      <c r="H261" s="6" t="s">
        <v>4787</v>
      </c>
      <c r="I261" s="22" t="n">
        <v>304000</v>
      </c>
      <c r="J261" s="22" t="n">
        <v>4000</v>
      </c>
      <c r="K261" s="22" t="n">
        <v>23100</v>
      </c>
      <c r="L261" s="22" t="n">
        <v>331100</v>
      </c>
      <c r="M261" s="6" t="s">
        <v>224</v>
      </c>
      <c r="N261" s="6" t="s">
        <v>84</v>
      </c>
      <c r="O261" s="6" t="s">
        <v>866</v>
      </c>
      <c r="P261" s="6" t="s">
        <v>85</v>
      </c>
      <c r="Q261" s="6" t="str">
        <f aca="false">IF(P261="pass","No","Yes")</f>
        <v>Yes</v>
      </c>
      <c r="R261" s="6" t="s">
        <v>86</v>
      </c>
      <c r="S261" s="6" t="s">
        <v>866</v>
      </c>
      <c r="T261" s="6" t="s">
        <v>225</v>
      </c>
      <c r="U261" s="23" t="n">
        <v>12.007</v>
      </c>
      <c r="V261" s="6" t="s">
        <v>4788</v>
      </c>
      <c r="W261" s="6" t="s">
        <v>4789</v>
      </c>
      <c r="X261" s="6" t="s">
        <v>4790</v>
      </c>
      <c r="Y261" s="6" t="s">
        <v>86</v>
      </c>
      <c r="Z261" s="6" t="n">
        <v>1</v>
      </c>
      <c r="AA261" s="6" t="n">
        <v>0</v>
      </c>
      <c r="AB261" s="6" t="n">
        <v>0</v>
      </c>
      <c r="AC261" s="6" t="n">
        <v>0</v>
      </c>
      <c r="AD261" s="6" t="n">
        <v>0</v>
      </c>
      <c r="AE261" s="6" t="n">
        <v>0</v>
      </c>
      <c r="AF261" s="6" t="n">
        <v>0</v>
      </c>
      <c r="AG261" s="6" t="n">
        <v>0</v>
      </c>
      <c r="AH261" s="6" t="n">
        <v>0</v>
      </c>
      <c r="AI261" s="6" t="s">
        <v>58</v>
      </c>
    </row>
    <row r="262" customFormat="false" ht="15" hidden="false" customHeight="false" outlineLevel="0" collapsed="false">
      <c r="A262" s="6" t="n">
        <v>261</v>
      </c>
      <c r="B262" s="6" t="s">
        <v>4791</v>
      </c>
      <c r="C262" s="6" t="n">
        <v>6</v>
      </c>
      <c r="D262" s="6" t="s">
        <v>166</v>
      </c>
      <c r="E262" s="6" t="s">
        <v>74</v>
      </c>
      <c r="F262" s="6" t="n">
        <v>4</v>
      </c>
      <c r="G262" s="6" t="n">
        <v>43</v>
      </c>
      <c r="H262" s="6" t="s">
        <v>4792</v>
      </c>
      <c r="I262" s="22" t="n">
        <v>1268500</v>
      </c>
      <c r="J262" s="22" t="n">
        <v>9000</v>
      </c>
      <c r="K262" s="22" t="n">
        <v>95812.5</v>
      </c>
      <c r="L262" s="22" t="n">
        <v>1373312.5</v>
      </c>
      <c r="M262" s="6" t="s">
        <v>272</v>
      </c>
      <c r="N262" s="6" t="s">
        <v>84</v>
      </c>
      <c r="O262" s="6" t="s">
        <v>879</v>
      </c>
      <c r="P262" s="6" t="s">
        <v>85</v>
      </c>
      <c r="Q262" s="6" t="str">
        <f aca="false">IF(P262="pass","No","Yes")</f>
        <v>Yes</v>
      </c>
      <c r="R262" s="6" t="s">
        <v>86</v>
      </c>
      <c r="S262" s="6" t="s">
        <v>879</v>
      </c>
      <c r="T262" s="6" t="s">
        <v>4793</v>
      </c>
      <c r="U262" s="23" t="n">
        <v>28.332</v>
      </c>
      <c r="V262" s="6" t="s">
        <v>4794</v>
      </c>
      <c r="W262" s="6" t="s">
        <v>4795</v>
      </c>
      <c r="X262" s="6" t="s">
        <v>4796</v>
      </c>
      <c r="Y262" s="6" t="s">
        <v>86</v>
      </c>
      <c r="Z262" s="6" t="n">
        <v>0</v>
      </c>
      <c r="AA262" s="6" t="n">
        <v>1</v>
      </c>
      <c r="AB262" s="6" t="n">
        <v>0</v>
      </c>
      <c r="AC262" s="6" t="n">
        <v>0</v>
      </c>
      <c r="AD262" s="6" t="n">
        <v>0</v>
      </c>
      <c r="AE262" s="6" t="n">
        <v>0</v>
      </c>
      <c r="AF262" s="6" t="n">
        <v>0</v>
      </c>
      <c r="AG262" s="6" t="n">
        <v>0</v>
      </c>
      <c r="AH262" s="6" t="n">
        <v>0</v>
      </c>
      <c r="AI262" s="6" t="s">
        <v>84</v>
      </c>
    </row>
    <row r="263" customFormat="false" ht="15" hidden="false" customHeight="false" outlineLevel="0" collapsed="false">
      <c r="A263" s="6" t="n">
        <v>262</v>
      </c>
      <c r="B263" s="6" t="s">
        <v>4797</v>
      </c>
      <c r="C263" s="6" t="n">
        <v>6</v>
      </c>
      <c r="D263" s="6" t="s">
        <v>213</v>
      </c>
      <c r="E263" s="6" t="s">
        <v>67</v>
      </c>
      <c r="F263" s="6" t="n">
        <v>1</v>
      </c>
      <c r="G263" s="6" t="n">
        <v>17</v>
      </c>
      <c r="H263" s="6" t="s">
        <v>4798</v>
      </c>
      <c r="I263" s="22" t="n">
        <v>200600</v>
      </c>
      <c r="J263" s="22" t="n">
        <v>4500</v>
      </c>
      <c r="K263" s="22" t="n">
        <v>15382.5</v>
      </c>
      <c r="L263" s="22" t="n">
        <v>220482.5</v>
      </c>
      <c r="M263" s="6" t="s">
        <v>57</v>
      </c>
      <c r="N263" s="6" t="s">
        <v>58</v>
      </c>
      <c r="O263" s="6"/>
      <c r="P263" s="6" t="s">
        <v>69</v>
      </c>
      <c r="Q263" s="6" t="str">
        <f aca="false">IF(P263="pass","No","Yes")</f>
        <v>No</v>
      </c>
      <c r="R263" s="6" t="s">
        <v>60</v>
      </c>
      <c r="S263" s="6"/>
      <c r="T263" s="6"/>
      <c r="U263" s="23" t="n">
        <v>14.077</v>
      </c>
      <c r="V263" s="6" t="s">
        <v>4799</v>
      </c>
      <c r="W263" s="6" t="s">
        <v>4800</v>
      </c>
      <c r="X263" s="6" t="s">
        <v>4801</v>
      </c>
      <c r="Y263" s="6" t="s">
        <v>60</v>
      </c>
      <c r="Z263" s="6" t="n">
        <v>0</v>
      </c>
      <c r="AA263" s="6" t="n">
        <v>0</v>
      </c>
      <c r="AB263" s="6" t="n">
        <v>0</v>
      </c>
      <c r="AC263" s="6" t="n">
        <v>0</v>
      </c>
      <c r="AD263" s="6" t="n">
        <v>0</v>
      </c>
      <c r="AE263" s="6" t="n">
        <v>0</v>
      </c>
      <c r="AF263" s="6" t="n">
        <v>0</v>
      </c>
      <c r="AG263" s="6" t="n">
        <v>0</v>
      </c>
      <c r="AH263" s="6" t="n">
        <v>0</v>
      </c>
      <c r="AI263" s="6" t="s">
        <v>84</v>
      </c>
    </row>
    <row r="264" customFormat="false" ht="15" hidden="false" customHeight="false" outlineLevel="0" collapsed="false">
      <c r="A264" s="6" t="n">
        <v>263</v>
      </c>
      <c r="B264" s="6" t="s">
        <v>4802</v>
      </c>
      <c r="C264" s="6" t="n">
        <v>6</v>
      </c>
      <c r="D264" s="6" t="s">
        <v>198</v>
      </c>
      <c r="E264" s="6" t="s">
        <v>81</v>
      </c>
      <c r="F264" s="6" t="n">
        <v>2</v>
      </c>
      <c r="G264" s="6" t="n">
        <v>92</v>
      </c>
      <c r="H264" s="6" t="s">
        <v>4803</v>
      </c>
      <c r="I264" s="22" t="n">
        <v>971800</v>
      </c>
      <c r="J264" s="22" t="n">
        <v>4000</v>
      </c>
      <c r="K264" s="22" t="n">
        <v>73185</v>
      </c>
      <c r="L264" s="22" t="n">
        <v>1048985</v>
      </c>
      <c r="M264" s="6" t="s">
        <v>57</v>
      </c>
      <c r="N264" s="6" t="s">
        <v>58</v>
      </c>
      <c r="O264" s="6"/>
      <c r="P264" s="6" t="s">
        <v>69</v>
      </c>
      <c r="Q264" s="6" t="str">
        <f aca="false">IF(P264="pass","No","Yes")</f>
        <v>No</v>
      </c>
      <c r="R264" s="6" t="s">
        <v>60</v>
      </c>
      <c r="S264" s="6"/>
      <c r="T264" s="6"/>
      <c r="U264" s="23" t="n">
        <v>32.204</v>
      </c>
      <c r="V264" s="6" t="s">
        <v>4804</v>
      </c>
      <c r="W264" s="6" t="s">
        <v>4805</v>
      </c>
      <c r="X264" s="6" t="s">
        <v>4806</v>
      </c>
      <c r="Y264" s="6" t="s">
        <v>60</v>
      </c>
      <c r="Z264" s="6" t="n">
        <v>0</v>
      </c>
      <c r="AA264" s="6" t="n">
        <v>0</v>
      </c>
      <c r="AB264" s="6" t="n">
        <v>0</v>
      </c>
      <c r="AC264" s="6" t="n">
        <v>0</v>
      </c>
      <c r="AD264" s="6" t="n">
        <v>0</v>
      </c>
      <c r="AE264" s="6" t="n">
        <v>0</v>
      </c>
      <c r="AF264" s="6" t="n">
        <v>0</v>
      </c>
      <c r="AG264" s="6" t="n">
        <v>0</v>
      </c>
      <c r="AH264" s="6" t="n">
        <v>0</v>
      </c>
      <c r="AI264" s="6" t="s">
        <v>84</v>
      </c>
    </row>
    <row r="265" customFormat="false" ht="15" hidden="false" customHeight="false" outlineLevel="0" collapsed="false">
      <c r="A265" s="6" t="n">
        <v>264</v>
      </c>
      <c r="B265" s="6" t="s">
        <v>4807</v>
      </c>
      <c r="C265" s="6" t="n">
        <v>6</v>
      </c>
      <c r="D265" s="6" t="s">
        <v>191</v>
      </c>
      <c r="E265" s="6" t="s">
        <v>116</v>
      </c>
      <c r="F265" s="6" t="n">
        <v>1</v>
      </c>
      <c r="G265" s="6" t="n">
        <v>40</v>
      </c>
      <c r="H265" s="6" t="s">
        <v>4747</v>
      </c>
      <c r="I265" s="22" t="n">
        <v>344000</v>
      </c>
      <c r="J265" s="22" t="n">
        <v>15000</v>
      </c>
      <c r="K265" s="22" t="n">
        <v>26925</v>
      </c>
      <c r="L265" s="22" t="n">
        <v>385925</v>
      </c>
      <c r="M265" s="6" t="s">
        <v>57</v>
      </c>
      <c r="N265" s="6" t="s">
        <v>58</v>
      </c>
      <c r="O265" s="6"/>
      <c r="P265" s="6" t="s">
        <v>69</v>
      </c>
      <c r="Q265" s="6" t="str">
        <f aca="false">IF(P265="pass","No","Yes")</f>
        <v>No</v>
      </c>
      <c r="R265" s="6" t="s">
        <v>60</v>
      </c>
      <c r="S265" s="6"/>
      <c r="T265" s="6"/>
      <c r="U265" s="23" t="n">
        <v>13.834</v>
      </c>
      <c r="V265" s="6" t="s">
        <v>4808</v>
      </c>
      <c r="W265" s="6" t="s">
        <v>4809</v>
      </c>
      <c r="X265" s="6" t="s">
        <v>4810</v>
      </c>
      <c r="Y265" s="6" t="s">
        <v>60</v>
      </c>
      <c r="Z265" s="6" t="n">
        <v>0</v>
      </c>
      <c r="AA265" s="6" t="n">
        <v>0</v>
      </c>
      <c r="AB265" s="6" t="n">
        <v>0</v>
      </c>
      <c r="AC265" s="6" t="n">
        <v>0</v>
      </c>
      <c r="AD265" s="6" t="n">
        <v>0</v>
      </c>
      <c r="AE265" s="6" t="n">
        <v>0</v>
      </c>
      <c r="AF265" s="6" t="n">
        <v>0</v>
      </c>
      <c r="AG265" s="6" t="n">
        <v>0</v>
      </c>
      <c r="AH265" s="6" t="n">
        <v>0</v>
      </c>
      <c r="AI265" s="6" t="s">
        <v>84</v>
      </c>
    </row>
    <row r="266" customFormat="false" ht="15" hidden="false" customHeight="false" outlineLevel="0" collapsed="false">
      <c r="A266" s="6" t="n">
        <v>265</v>
      </c>
      <c r="B266" s="6" t="s">
        <v>4811</v>
      </c>
      <c r="C266" s="6" t="n">
        <v>6</v>
      </c>
      <c r="D266" s="6" t="s">
        <v>166</v>
      </c>
      <c r="E266" s="6" t="s">
        <v>74</v>
      </c>
      <c r="F266" s="6" t="n">
        <v>1</v>
      </c>
      <c r="G266" s="6" t="n">
        <v>88</v>
      </c>
      <c r="H266" s="6" t="s">
        <v>4812</v>
      </c>
      <c r="I266" s="22" t="n">
        <v>1276000</v>
      </c>
      <c r="J266" s="22" t="n">
        <v>9000</v>
      </c>
      <c r="K266" s="22" t="n">
        <v>96375</v>
      </c>
      <c r="L266" s="22" t="n">
        <v>1381375</v>
      </c>
      <c r="M266" s="6" t="s">
        <v>57</v>
      </c>
      <c r="N266" s="6" t="s">
        <v>58</v>
      </c>
      <c r="O266" s="6"/>
      <c r="P266" s="6" t="s">
        <v>69</v>
      </c>
      <c r="Q266" s="6" t="str">
        <f aca="false">IF(P266="pass","No","Yes")</f>
        <v>No</v>
      </c>
      <c r="R266" s="6" t="s">
        <v>60</v>
      </c>
      <c r="S266" s="6"/>
      <c r="T266" s="6"/>
      <c r="U266" s="23" t="n">
        <v>13.695</v>
      </c>
      <c r="V266" s="6" t="s">
        <v>4813</v>
      </c>
      <c r="W266" s="6" t="s">
        <v>4814</v>
      </c>
      <c r="X266" s="6" t="s">
        <v>4815</v>
      </c>
      <c r="Y266" s="6" t="s">
        <v>60</v>
      </c>
      <c r="Z266" s="6" t="n">
        <v>0</v>
      </c>
      <c r="AA266" s="6" t="n">
        <v>0</v>
      </c>
      <c r="AB266" s="6" t="n">
        <v>0</v>
      </c>
      <c r="AC266" s="6" t="n">
        <v>0</v>
      </c>
      <c r="AD266" s="6" t="n">
        <v>0</v>
      </c>
      <c r="AE266" s="6" t="n">
        <v>0</v>
      </c>
      <c r="AF266" s="6" t="n">
        <v>0</v>
      </c>
      <c r="AG266" s="6" t="n">
        <v>0</v>
      </c>
      <c r="AH266" s="6" t="n">
        <v>0</v>
      </c>
      <c r="AI266" s="6" t="s">
        <v>84</v>
      </c>
    </row>
    <row r="267" customFormat="false" ht="15" hidden="false" customHeight="false" outlineLevel="0" collapsed="false">
      <c r="A267" s="6" t="n">
        <v>266</v>
      </c>
      <c r="B267" s="6" t="s">
        <v>4816</v>
      </c>
      <c r="C267" s="6" t="n">
        <v>6</v>
      </c>
      <c r="D267" s="6" t="s">
        <v>105</v>
      </c>
      <c r="E267" s="6" t="s">
        <v>81</v>
      </c>
      <c r="F267" s="6" t="n">
        <v>1</v>
      </c>
      <c r="G267" s="6" t="n">
        <v>81</v>
      </c>
      <c r="H267" s="6" t="s">
        <v>4817</v>
      </c>
      <c r="I267" s="22" t="n">
        <v>1174500</v>
      </c>
      <c r="J267" s="22" t="n">
        <v>4000</v>
      </c>
      <c r="K267" s="22" t="n">
        <v>88387.5</v>
      </c>
      <c r="L267" s="22" t="n">
        <v>1266887.5</v>
      </c>
      <c r="M267" s="6" t="s">
        <v>984</v>
      </c>
      <c r="N267" s="6" t="s">
        <v>84</v>
      </c>
      <c r="O267" s="6" t="s">
        <v>985</v>
      </c>
      <c r="P267" s="6" t="s">
        <v>85</v>
      </c>
      <c r="Q267" s="6" t="str">
        <f aca="false">IF(P267="pass","No","Yes")</f>
        <v>Yes</v>
      </c>
      <c r="R267" s="6" t="s">
        <v>86</v>
      </c>
      <c r="S267" s="6" t="s">
        <v>985</v>
      </c>
      <c r="T267" s="6" t="s">
        <v>2033</v>
      </c>
      <c r="U267" s="23" t="n">
        <v>14.198</v>
      </c>
      <c r="V267" s="6" t="s">
        <v>4818</v>
      </c>
      <c r="W267" s="6" t="s">
        <v>4819</v>
      </c>
      <c r="X267" s="6" t="s">
        <v>4820</v>
      </c>
      <c r="Y267" s="6" t="s">
        <v>86</v>
      </c>
      <c r="Z267" s="6" t="n">
        <v>0</v>
      </c>
      <c r="AA267" s="6" t="n">
        <v>0</v>
      </c>
      <c r="AB267" s="6" t="n">
        <v>0</v>
      </c>
      <c r="AC267" s="6" t="n">
        <v>0</v>
      </c>
      <c r="AD267" s="6" t="n">
        <v>0</v>
      </c>
      <c r="AE267" s="6" t="n">
        <v>1</v>
      </c>
      <c r="AF267" s="6" t="n">
        <v>0</v>
      </c>
      <c r="AG267" s="6" t="n">
        <v>0</v>
      </c>
      <c r="AH267" s="6" t="n">
        <v>0</v>
      </c>
      <c r="AI267" s="6" t="s">
        <v>84</v>
      </c>
    </row>
    <row r="268" customFormat="false" ht="15" hidden="false" customHeight="false" outlineLevel="0" collapsed="false">
      <c r="A268" s="6" t="n">
        <v>267</v>
      </c>
      <c r="B268" s="6" t="s">
        <v>4821</v>
      </c>
      <c r="C268" s="6" t="n">
        <v>6</v>
      </c>
      <c r="D268" s="6" t="s">
        <v>51</v>
      </c>
      <c r="E268" s="6" t="s">
        <v>55</v>
      </c>
      <c r="F268" s="6" t="n">
        <v>1</v>
      </c>
      <c r="G268" s="6" t="n">
        <v>44</v>
      </c>
      <c r="H268" s="6" t="s">
        <v>4822</v>
      </c>
      <c r="I268" s="22" t="n">
        <v>418000</v>
      </c>
      <c r="J268" s="22" t="n">
        <v>6000</v>
      </c>
      <c r="K268" s="22" t="n">
        <v>31800</v>
      </c>
      <c r="L268" s="22" t="n">
        <v>455800</v>
      </c>
      <c r="M268" s="6" t="s">
        <v>57</v>
      </c>
      <c r="N268" s="6" t="s">
        <v>58</v>
      </c>
      <c r="O268" s="6"/>
      <c r="P268" s="6" t="s">
        <v>69</v>
      </c>
      <c r="Q268" s="6" t="str">
        <f aca="false">IF(P268="pass","No","Yes")</f>
        <v>No</v>
      </c>
      <c r="R268" s="6" t="s">
        <v>60</v>
      </c>
      <c r="S268" s="6"/>
      <c r="T268" s="6"/>
      <c r="U268" s="23" t="n">
        <v>24.196</v>
      </c>
      <c r="V268" s="6" t="s">
        <v>4823</v>
      </c>
      <c r="W268" s="6" t="s">
        <v>4824</v>
      </c>
      <c r="X268" s="6" t="s">
        <v>4825</v>
      </c>
      <c r="Y268" s="6" t="s">
        <v>60</v>
      </c>
      <c r="Z268" s="6" t="n">
        <v>0</v>
      </c>
      <c r="AA268" s="6" t="n">
        <v>0</v>
      </c>
      <c r="AB268" s="6" t="n">
        <v>0</v>
      </c>
      <c r="AC268" s="6" t="n">
        <v>0</v>
      </c>
      <c r="AD268" s="6" t="n">
        <v>0</v>
      </c>
      <c r="AE268" s="6" t="n">
        <v>0</v>
      </c>
      <c r="AF268" s="6" t="n">
        <v>0</v>
      </c>
      <c r="AG268" s="6" t="n">
        <v>0</v>
      </c>
      <c r="AH268" s="6" t="n">
        <v>0</v>
      </c>
      <c r="AI268" s="6" t="s">
        <v>84</v>
      </c>
    </row>
    <row r="269" customFormat="false" ht="15" hidden="false" customHeight="false" outlineLevel="0" collapsed="false">
      <c r="A269" s="6" t="n">
        <v>268</v>
      </c>
      <c r="B269" s="6" t="s">
        <v>4826</v>
      </c>
      <c r="C269" s="6" t="n">
        <v>6</v>
      </c>
      <c r="D269" s="6" t="s">
        <v>63</v>
      </c>
      <c r="E269" s="6" t="s">
        <v>67</v>
      </c>
      <c r="F269" s="6" t="n">
        <v>1</v>
      </c>
      <c r="G269" s="6" t="n">
        <v>6</v>
      </c>
      <c r="H269" s="6" t="s">
        <v>4827</v>
      </c>
      <c r="I269" s="22" t="n">
        <v>228000</v>
      </c>
      <c r="J269" s="22" t="n">
        <v>4500</v>
      </c>
      <c r="K269" s="22" t="n">
        <v>17437.5</v>
      </c>
      <c r="L269" s="22" t="n">
        <v>249937.5</v>
      </c>
      <c r="M269" s="6" t="s">
        <v>57</v>
      </c>
      <c r="N269" s="6" t="s">
        <v>58</v>
      </c>
      <c r="O269" s="6"/>
      <c r="P269" s="6" t="s">
        <v>69</v>
      </c>
      <c r="Q269" s="6" t="str">
        <f aca="false">IF(P269="pass","No","Yes")</f>
        <v>No</v>
      </c>
      <c r="R269" s="6" t="s">
        <v>60</v>
      </c>
      <c r="S269" s="6"/>
      <c r="T269" s="6"/>
      <c r="U269" s="23" t="n">
        <v>12.993</v>
      </c>
      <c r="V269" s="6" t="s">
        <v>4828</v>
      </c>
      <c r="W269" s="6" t="s">
        <v>4829</v>
      </c>
      <c r="X269" s="6" t="s">
        <v>4830</v>
      </c>
      <c r="Y269" s="6" t="s">
        <v>60</v>
      </c>
      <c r="Z269" s="6" t="n">
        <v>0</v>
      </c>
      <c r="AA269" s="6" t="n">
        <v>0</v>
      </c>
      <c r="AB269" s="6" t="n">
        <v>0</v>
      </c>
      <c r="AC269" s="6" t="n">
        <v>0</v>
      </c>
      <c r="AD269" s="6" t="n">
        <v>0</v>
      </c>
      <c r="AE269" s="6" t="n">
        <v>0</v>
      </c>
      <c r="AF269" s="6" t="n">
        <v>0</v>
      </c>
      <c r="AG269" s="6" t="n">
        <v>0</v>
      </c>
      <c r="AH269" s="6" t="n">
        <v>0</v>
      </c>
      <c r="AI269" s="6" t="s">
        <v>84</v>
      </c>
    </row>
    <row r="270" customFormat="false" ht="15" hidden="false" customHeight="false" outlineLevel="0" collapsed="false">
      <c r="A270" s="6" t="n">
        <v>269</v>
      </c>
      <c r="B270" s="6" t="s">
        <v>4831</v>
      </c>
      <c r="C270" s="6" t="n">
        <v>6</v>
      </c>
      <c r="D270" s="6" t="s">
        <v>191</v>
      </c>
      <c r="E270" s="6" t="s">
        <v>116</v>
      </c>
      <c r="F270" s="6" t="n">
        <v>4</v>
      </c>
      <c r="G270" s="6" t="n">
        <v>607</v>
      </c>
      <c r="H270" s="6" t="s">
        <v>4832</v>
      </c>
      <c r="I270" s="22" t="n">
        <v>6454900</v>
      </c>
      <c r="J270" s="22" t="n">
        <v>15000</v>
      </c>
      <c r="K270" s="22" t="n">
        <v>485242.5</v>
      </c>
      <c r="L270" s="22" t="n">
        <v>6955142.5</v>
      </c>
      <c r="M270" s="6" t="s">
        <v>171</v>
      </c>
      <c r="N270" s="6" t="s">
        <v>84</v>
      </c>
      <c r="O270" s="6" t="s">
        <v>892</v>
      </c>
      <c r="P270" s="6" t="s">
        <v>85</v>
      </c>
      <c r="Q270" s="6" t="str">
        <f aca="false">IF(P270="pass","No","Yes")</f>
        <v>Yes</v>
      </c>
      <c r="R270" s="6" t="s">
        <v>86</v>
      </c>
      <c r="S270" s="6" t="s">
        <v>892</v>
      </c>
      <c r="T270" s="6" t="s">
        <v>618</v>
      </c>
      <c r="U270" s="23" t="n">
        <v>59.556</v>
      </c>
      <c r="V270" s="6" t="s">
        <v>4833</v>
      </c>
      <c r="W270" s="6" t="s">
        <v>4834</v>
      </c>
      <c r="X270" s="6" t="s">
        <v>4835</v>
      </c>
      <c r="Y270" s="6" t="s">
        <v>86</v>
      </c>
      <c r="Z270" s="6" t="n">
        <v>0</v>
      </c>
      <c r="AA270" s="6" t="n">
        <v>0</v>
      </c>
      <c r="AB270" s="6" t="n">
        <v>0</v>
      </c>
      <c r="AC270" s="6" t="n">
        <v>1</v>
      </c>
      <c r="AD270" s="6" t="n">
        <v>0</v>
      </c>
      <c r="AE270" s="6" t="n">
        <v>0</v>
      </c>
      <c r="AF270" s="6" t="n">
        <v>0</v>
      </c>
      <c r="AG270" s="6" t="n">
        <v>0</v>
      </c>
      <c r="AH270" s="6" t="n">
        <v>0</v>
      </c>
      <c r="AI270" s="6" t="s">
        <v>84</v>
      </c>
    </row>
    <row r="271" customFormat="false" ht="15" hidden="false" customHeight="false" outlineLevel="0" collapsed="false">
      <c r="A271" s="6" t="n">
        <v>270</v>
      </c>
      <c r="B271" s="6" t="s">
        <v>4836</v>
      </c>
      <c r="C271" s="6" t="n">
        <v>6</v>
      </c>
      <c r="D271" s="6" t="s">
        <v>89</v>
      </c>
      <c r="E271" s="6" t="s">
        <v>67</v>
      </c>
      <c r="F271" s="6" t="n">
        <v>3</v>
      </c>
      <c r="G271" s="6" t="n">
        <v>151</v>
      </c>
      <c r="H271" s="6" t="s">
        <v>4837</v>
      </c>
      <c r="I271" s="22" t="n">
        <v>1465600</v>
      </c>
      <c r="J271" s="22" t="n">
        <v>4500</v>
      </c>
      <c r="K271" s="22" t="n">
        <v>110257.5</v>
      </c>
      <c r="L271" s="22" t="n">
        <v>1580357.5</v>
      </c>
      <c r="M271" s="6" t="s">
        <v>57</v>
      </c>
      <c r="N271" s="6" t="s">
        <v>58</v>
      </c>
      <c r="O271" s="6"/>
      <c r="P271" s="6" t="s">
        <v>59</v>
      </c>
      <c r="Q271" s="6" t="str">
        <f aca="false">IF(P271="pass","No","Yes")</f>
        <v>Yes</v>
      </c>
      <c r="R271" s="6" t="s">
        <v>60</v>
      </c>
      <c r="S271" s="6" t="s">
        <v>915</v>
      </c>
      <c r="T271" s="6" t="s">
        <v>4838</v>
      </c>
      <c r="U271" s="23" t="n">
        <v>52.229</v>
      </c>
      <c r="V271" s="6" t="s">
        <v>4839</v>
      </c>
      <c r="W271" s="6" t="s">
        <v>4840</v>
      </c>
      <c r="X271" s="6" t="s">
        <v>4841</v>
      </c>
      <c r="Y271" s="6" t="s">
        <v>60</v>
      </c>
      <c r="Z271" s="6" t="n">
        <v>0</v>
      </c>
      <c r="AA271" s="6" t="n">
        <v>0</v>
      </c>
      <c r="AB271" s="6" t="n">
        <v>0</v>
      </c>
      <c r="AC271" s="6" t="n">
        <v>0</v>
      </c>
      <c r="AD271" s="6" t="n">
        <v>0</v>
      </c>
      <c r="AE271" s="6" t="n">
        <v>0</v>
      </c>
      <c r="AF271" s="6" t="n">
        <v>0</v>
      </c>
      <c r="AG271" s="6" t="n">
        <v>0</v>
      </c>
      <c r="AH271" s="6" t="n">
        <v>1</v>
      </c>
      <c r="AI271" s="6" t="s">
        <v>84</v>
      </c>
    </row>
    <row r="272" customFormat="false" ht="15" hidden="false" customHeight="false" outlineLevel="0" collapsed="false">
      <c r="A272" s="6" t="n">
        <v>271</v>
      </c>
      <c r="B272" s="6" t="s">
        <v>4842</v>
      </c>
      <c r="C272" s="6" t="n">
        <v>6</v>
      </c>
      <c r="D272" s="6" t="s">
        <v>77</v>
      </c>
      <c r="E272" s="6" t="s">
        <v>81</v>
      </c>
      <c r="F272" s="6" t="n">
        <v>2</v>
      </c>
      <c r="G272" s="6" t="n">
        <v>56</v>
      </c>
      <c r="H272" s="6" t="s">
        <v>4843</v>
      </c>
      <c r="I272" s="22" t="n">
        <v>793100</v>
      </c>
      <c r="J272" s="22" t="n">
        <v>4000</v>
      </c>
      <c r="K272" s="22" t="n">
        <v>59782.5</v>
      </c>
      <c r="L272" s="22" t="n">
        <v>856882.5</v>
      </c>
      <c r="M272" s="6" t="s">
        <v>94</v>
      </c>
      <c r="N272" s="6" t="s">
        <v>84</v>
      </c>
      <c r="O272" s="6" t="s">
        <v>909</v>
      </c>
      <c r="P272" s="6" t="s">
        <v>85</v>
      </c>
      <c r="Q272" s="6" t="str">
        <f aca="false">IF(P272="pass","No","Yes")</f>
        <v>Yes</v>
      </c>
      <c r="R272" s="6" t="s">
        <v>86</v>
      </c>
      <c r="S272" s="6" t="s">
        <v>909</v>
      </c>
      <c r="T272" s="6" t="s">
        <v>254</v>
      </c>
      <c r="U272" s="23" t="n">
        <v>22.838</v>
      </c>
      <c r="V272" s="6" t="s">
        <v>4844</v>
      </c>
      <c r="W272" s="6" t="s">
        <v>4845</v>
      </c>
      <c r="X272" s="6" t="s">
        <v>4846</v>
      </c>
      <c r="Y272" s="6" t="s">
        <v>86</v>
      </c>
      <c r="Z272" s="6" t="n">
        <v>0</v>
      </c>
      <c r="AA272" s="6" t="n">
        <v>0</v>
      </c>
      <c r="AB272" s="6" t="n">
        <v>0</v>
      </c>
      <c r="AC272" s="6" t="n">
        <v>0</v>
      </c>
      <c r="AD272" s="6" t="n">
        <v>0</v>
      </c>
      <c r="AE272" s="6" t="n">
        <v>0</v>
      </c>
      <c r="AF272" s="6" t="n">
        <v>1</v>
      </c>
      <c r="AG272" s="6" t="n">
        <v>0</v>
      </c>
      <c r="AH272" s="6" t="n">
        <v>0</v>
      </c>
      <c r="AI272" s="6" t="s">
        <v>84</v>
      </c>
    </row>
    <row r="273" customFormat="false" ht="15" hidden="false" customHeight="false" outlineLevel="0" collapsed="false">
      <c r="A273" s="6" t="n">
        <v>272</v>
      </c>
      <c r="B273" s="6" t="s">
        <v>4847</v>
      </c>
      <c r="C273" s="6" t="n">
        <v>6</v>
      </c>
      <c r="D273" s="6" t="s">
        <v>70</v>
      </c>
      <c r="E273" s="6" t="s">
        <v>74</v>
      </c>
      <c r="F273" s="6" t="n">
        <v>2</v>
      </c>
      <c r="G273" s="6" t="n">
        <v>33</v>
      </c>
      <c r="H273" s="6" t="s">
        <v>4848</v>
      </c>
      <c r="I273" s="22" t="n">
        <v>262800</v>
      </c>
      <c r="J273" s="22" t="n">
        <v>9000</v>
      </c>
      <c r="K273" s="22" t="n">
        <v>20385</v>
      </c>
      <c r="L273" s="22" t="n">
        <v>292185</v>
      </c>
      <c r="M273" s="6" t="s">
        <v>1009</v>
      </c>
      <c r="N273" s="6" t="s">
        <v>58</v>
      </c>
      <c r="O273" s="6"/>
      <c r="P273" s="6" t="s">
        <v>69</v>
      </c>
      <c r="Q273" s="6" t="str">
        <f aca="false">IF(P273="pass","No","Yes")</f>
        <v>No</v>
      </c>
      <c r="R273" s="6" t="s">
        <v>60</v>
      </c>
      <c r="S273" s="6"/>
      <c r="T273" s="6"/>
      <c r="U273" s="23" t="n">
        <v>33.236</v>
      </c>
      <c r="V273" s="6" t="s">
        <v>4849</v>
      </c>
      <c r="W273" s="6" t="s">
        <v>4850</v>
      </c>
      <c r="X273" s="6" t="s">
        <v>4851</v>
      </c>
      <c r="Y273" s="6" t="s">
        <v>60</v>
      </c>
      <c r="Z273" s="6" t="n">
        <v>0</v>
      </c>
      <c r="AA273" s="6" t="n">
        <v>0</v>
      </c>
      <c r="AB273" s="6" t="n">
        <v>0</v>
      </c>
      <c r="AC273" s="6" t="n">
        <v>0</v>
      </c>
      <c r="AD273" s="6" t="n">
        <v>0</v>
      </c>
      <c r="AE273" s="6" t="n">
        <v>0</v>
      </c>
      <c r="AF273" s="6" t="n">
        <v>0</v>
      </c>
      <c r="AG273" s="6" t="n">
        <v>0</v>
      </c>
      <c r="AH273" s="6" t="n">
        <v>0</v>
      </c>
      <c r="AI273" s="6" t="s">
        <v>84</v>
      </c>
    </row>
    <row r="274" customFormat="false" ht="15" hidden="false" customHeight="false" outlineLevel="0" collapsed="false">
      <c r="A274" s="6" t="n">
        <v>273</v>
      </c>
      <c r="B274" s="6" t="s">
        <v>4852</v>
      </c>
      <c r="C274" s="6" t="n">
        <v>6</v>
      </c>
      <c r="D274" s="6" t="s">
        <v>89</v>
      </c>
      <c r="E274" s="6" t="s">
        <v>67</v>
      </c>
      <c r="F274" s="6" t="n">
        <v>4</v>
      </c>
      <c r="G274" s="6" t="n">
        <v>90</v>
      </c>
      <c r="H274" s="6" t="s">
        <v>4853</v>
      </c>
      <c r="I274" s="22" t="n">
        <v>2168000</v>
      </c>
      <c r="J274" s="22" t="n">
        <v>4500</v>
      </c>
      <c r="K274" s="22" t="n">
        <v>162937.5</v>
      </c>
      <c r="L274" s="22" t="n">
        <v>2335437.5</v>
      </c>
      <c r="M274" s="6" t="s">
        <v>152</v>
      </c>
      <c r="N274" s="6" t="s">
        <v>84</v>
      </c>
      <c r="O274" s="6" t="s">
        <v>886</v>
      </c>
      <c r="P274" s="6" t="s">
        <v>85</v>
      </c>
      <c r="Q274" s="6" t="str">
        <f aca="false">IF(P274="pass","No","Yes")</f>
        <v>Yes</v>
      </c>
      <c r="R274" s="6" t="s">
        <v>86</v>
      </c>
      <c r="S274" s="6" t="s">
        <v>886</v>
      </c>
      <c r="T274" s="6" t="s">
        <v>336</v>
      </c>
      <c r="U274" s="23" t="n">
        <v>33.278</v>
      </c>
      <c r="V274" s="6" t="s">
        <v>4854</v>
      </c>
      <c r="W274" s="6" t="s">
        <v>4855</v>
      </c>
      <c r="X274" s="6" t="s">
        <v>4856</v>
      </c>
      <c r="Y274" s="6" t="s">
        <v>86</v>
      </c>
      <c r="Z274" s="6" t="n">
        <v>0</v>
      </c>
      <c r="AA274" s="6" t="n">
        <v>0</v>
      </c>
      <c r="AB274" s="6" t="n">
        <v>1</v>
      </c>
      <c r="AC274" s="6" t="n">
        <v>0</v>
      </c>
      <c r="AD274" s="6" t="n">
        <v>0</v>
      </c>
      <c r="AE274" s="6" t="n">
        <v>0</v>
      </c>
      <c r="AF274" s="6" t="n">
        <v>0</v>
      </c>
      <c r="AG274" s="6" t="n">
        <v>0</v>
      </c>
      <c r="AH274" s="6" t="n">
        <v>0</v>
      </c>
      <c r="AI274" s="6" t="s">
        <v>84</v>
      </c>
    </row>
    <row r="275" customFormat="false" ht="15" hidden="false" customHeight="false" outlineLevel="0" collapsed="false">
      <c r="A275" s="6" t="n">
        <v>274</v>
      </c>
      <c r="B275" s="6" t="s">
        <v>4857</v>
      </c>
      <c r="C275" s="6" t="n">
        <v>6</v>
      </c>
      <c r="D275" s="6" t="s">
        <v>105</v>
      </c>
      <c r="E275" s="6" t="s">
        <v>81</v>
      </c>
      <c r="F275" s="6" t="n">
        <v>3</v>
      </c>
      <c r="G275" s="6" t="n">
        <v>131</v>
      </c>
      <c r="H275" s="6" t="s">
        <v>4858</v>
      </c>
      <c r="I275" s="22" t="n">
        <v>1763700</v>
      </c>
      <c r="J275" s="22" t="n">
        <v>4000</v>
      </c>
      <c r="K275" s="22" t="n">
        <v>132577.5</v>
      </c>
      <c r="L275" s="22" t="n">
        <v>1900277.5</v>
      </c>
      <c r="M275" s="6" t="s">
        <v>57</v>
      </c>
      <c r="N275" s="6" t="s">
        <v>58</v>
      </c>
      <c r="O275" s="6"/>
      <c r="P275" s="6" t="s">
        <v>69</v>
      </c>
      <c r="Q275" s="6" t="str">
        <f aca="false">IF(P275="pass","No","Yes")</f>
        <v>No</v>
      </c>
      <c r="R275" s="6" t="s">
        <v>60</v>
      </c>
      <c r="S275" s="6"/>
      <c r="T275" s="6"/>
      <c r="U275" s="23" t="n">
        <v>41.37</v>
      </c>
      <c r="V275" s="6" t="s">
        <v>4859</v>
      </c>
      <c r="W275" s="6" t="s">
        <v>4860</v>
      </c>
      <c r="X275" s="6" t="s">
        <v>4861</v>
      </c>
      <c r="Y275" s="6" t="s">
        <v>60</v>
      </c>
      <c r="Z275" s="6" t="n">
        <v>0</v>
      </c>
      <c r="AA275" s="6" t="n">
        <v>0</v>
      </c>
      <c r="AB275" s="6" t="n">
        <v>0</v>
      </c>
      <c r="AC275" s="6" t="n">
        <v>0</v>
      </c>
      <c r="AD275" s="6" t="n">
        <v>0</v>
      </c>
      <c r="AE275" s="6" t="n">
        <v>0</v>
      </c>
      <c r="AF275" s="6" t="n">
        <v>0</v>
      </c>
      <c r="AG275" s="6" t="n">
        <v>0</v>
      </c>
      <c r="AH275" s="6" t="n">
        <v>0</v>
      </c>
      <c r="AI275" s="6" t="s">
        <v>84</v>
      </c>
    </row>
    <row r="276" customFormat="false" ht="15" hidden="false" customHeight="false" outlineLevel="0" collapsed="false">
      <c r="A276" s="6" t="n">
        <v>275</v>
      </c>
      <c r="B276" s="6" t="s">
        <v>4862</v>
      </c>
      <c r="C276" s="6" t="n">
        <v>6</v>
      </c>
      <c r="D276" s="6" t="s">
        <v>89</v>
      </c>
      <c r="E276" s="6" t="s">
        <v>146</v>
      </c>
      <c r="F276" s="6" t="n">
        <v>3</v>
      </c>
      <c r="G276" s="6" t="n">
        <v>107</v>
      </c>
      <c r="H276" s="6" t="s">
        <v>4863</v>
      </c>
      <c r="I276" s="22" t="n">
        <v>1708000</v>
      </c>
      <c r="J276" s="22" t="n">
        <v>0</v>
      </c>
      <c r="K276" s="22" t="n">
        <v>128100</v>
      </c>
      <c r="L276" s="22" t="n">
        <v>1836100</v>
      </c>
      <c r="M276" s="6" t="s">
        <v>148</v>
      </c>
      <c r="N276" s="6" t="s">
        <v>84</v>
      </c>
      <c r="O276" s="6" t="s">
        <v>866</v>
      </c>
      <c r="P276" s="6" t="s">
        <v>85</v>
      </c>
      <c r="Q276" s="6" t="str">
        <f aca="false">IF(P276="pass","No","Yes")</f>
        <v>Yes</v>
      </c>
      <c r="R276" s="6" t="s">
        <v>86</v>
      </c>
      <c r="S276" s="6" t="s">
        <v>866</v>
      </c>
      <c r="T276" s="6" t="s">
        <v>150</v>
      </c>
      <c r="U276" s="23" t="n">
        <v>43.77</v>
      </c>
      <c r="V276" s="6" t="s">
        <v>4864</v>
      </c>
      <c r="W276" s="6" t="s">
        <v>4865</v>
      </c>
      <c r="X276" s="6" t="s">
        <v>4866</v>
      </c>
      <c r="Y276" s="6" t="s">
        <v>86</v>
      </c>
      <c r="Z276" s="6" t="n">
        <v>1</v>
      </c>
      <c r="AA276" s="6" t="n">
        <v>0</v>
      </c>
      <c r="AB276" s="6" t="n">
        <v>0</v>
      </c>
      <c r="AC276" s="6" t="n">
        <v>0</v>
      </c>
      <c r="AD276" s="6" t="n">
        <v>0</v>
      </c>
      <c r="AE276" s="6" t="n">
        <v>0</v>
      </c>
      <c r="AF276" s="6" t="n">
        <v>0</v>
      </c>
      <c r="AG276" s="6" t="n">
        <v>0</v>
      </c>
      <c r="AH276" s="6" t="n">
        <v>0</v>
      </c>
      <c r="AI276" s="6" t="s">
        <v>84</v>
      </c>
    </row>
    <row r="277" customFormat="false" ht="15" hidden="false" customHeight="false" outlineLevel="0" collapsed="false">
      <c r="A277" s="6" t="n">
        <v>276</v>
      </c>
      <c r="B277" s="6" t="s">
        <v>4867</v>
      </c>
      <c r="C277" s="6" t="n">
        <v>6</v>
      </c>
      <c r="D277" s="6" t="s">
        <v>119</v>
      </c>
      <c r="E277" s="6" t="s">
        <v>123</v>
      </c>
      <c r="F277" s="6" t="n">
        <v>3</v>
      </c>
      <c r="G277" s="6" t="n">
        <v>55</v>
      </c>
      <c r="H277" s="6" t="s">
        <v>4868</v>
      </c>
      <c r="I277" s="22" t="n">
        <v>654200</v>
      </c>
      <c r="J277" s="22" t="n">
        <v>5000</v>
      </c>
      <c r="K277" s="22" t="n">
        <v>49440</v>
      </c>
      <c r="L277" s="22" t="n">
        <v>708640</v>
      </c>
      <c r="M277" s="6" t="s">
        <v>57</v>
      </c>
      <c r="N277" s="6" t="s">
        <v>58</v>
      </c>
      <c r="O277" s="6"/>
      <c r="P277" s="6" t="s">
        <v>69</v>
      </c>
      <c r="Q277" s="6" t="str">
        <f aca="false">IF(P277="pass","No","Yes")</f>
        <v>No</v>
      </c>
      <c r="R277" s="6" t="s">
        <v>60</v>
      </c>
      <c r="S277" s="6"/>
      <c r="T277" s="6"/>
      <c r="U277" s="23" t="n">
        <v>40.683</v>
      </c>
      <c r="V277" s="6" t="s">
        <v>4869</v>
      </c>
      <c r="W277" s="6" t="s">
        <v>4870</v>
      </c>
      <c r="X277" s="6" t="s">
        <v>4871</v>
      </c>
      <c r="Y277" s="6" t="s">
        <v>60</v>
      </c>
      <c r="Z277" s="6" t="n">
        <v>0</v>
      </c>
      <c r="AA277" s="6" t="n">
        <v>0</v>
      </c>
      <c r="AB277" s="6" t="n">
        <v>0</v>
      </c>
      <c r="AC277" s="6" t="n">
        <v>0</v>
      </c>
      <c r="AD277" s="6" t="n">
        <v>0</v>
      </c>
      <c r="AE277" s="6" t="n">
        <v>0</v>
      </c>
      <c r="AF277" s="6" t="n">
        <v>0</v>
      </c>
      <c r="AG277" s="6" t="n">
        <v>0</v>
      </c>
      <c r="AH277" s="6" t="n">
        <v>0</v>
      </c>
      <c r="AI277" s="6" t="s">
        <v>84</v>
      </c>
    </row>
    <row r="278" customFormat="false" ht="15" hidden="false" customHeight="false" outlineLevel="0" collapsed="false">
      <c r="A278" s="6" t="n">
        <v>277</v>
      </c>
      <c r="B278" s="6" t="s">
        <v>4872</v>
      </c>
      <c r="C278" s="6" t="n">
        <v>6</v>
      </c>
      <c r="D278" s="6" t="s">
        <v>213</v>
      </c>
      <c r="E278" s="6" t="s">
        <v>67</v>
      </c>
      <c r="F278" s="6" t="n">
        <v>2</v>
      </c>
      <c r="G278" s="6" t="n">
        <v>163</v>
      </c>
      <c r="H278" s="6" t="s">
        <v>4873</v>
      </c>
      <c r="I278" s="22" t="n">
        <v>1519700</v>
      </c>
      <c r="J278" s="22" t="n">
        <v>4500</v>
      </c>
      <c r="K278" s="22" t="n">
        <v>114315</v>
      </c>
      <c r="L278" s="22" t="n">
        <v>1638515</v>
      </c>
      <c r="M278" s="6" t="s">
        <v>1042</v>
      </c>
      <c r="N278" s="6" t="s">
        <v>58</v>
      </c>
      <c r="O278" s="6"/>
      <c r="P278" s="6" t="s">
        <v>69</v>
      </c>
      <c r="Q278" s="6" t="str">
        <f aca="false">IF(P278="pass","No","Yes")</f>
        <v>No</v>
      </c>
      <c r="R278" s="6" t="s">
        <v>60</v>
      </c>
      <c r="S278" s="6"/>
      <c r="T278" s="6"/>
      <c r="U278" s="23" t="n">
        <v>34.976</v>
      </c>
      <c r="V278" s="6" t="s">
        <v>4874</v>
      </c>
      <c r="W278" s="6" t="s">
        <v>4875</v>
      </c>
      <c r="X278" s="6" t="s">
        <v>4876</v>
      </c>
      <c r="Y278" s="6" t="s">
        <v>60</v>
      </c>
      <c r="Z278" s="6" t="n">
        <v>0</v>
      </c>
      <c r="AA278" s="6" t="n">
        <v>0</v>
      </c>
      <c r="AB278" s="6" t="n">
        <v>0</v>
      </c>
      <c r="AC278" s="6" t="n">
        <v>0</v>
      </c>
      <c r="AD278" s="6" t="n">
        <v>0</v>
      </c>
      <c r="AE278" s="6" t="n">
        <v>0</v>
      </c>
      <c r="AF278" s="6" t="n">
        <v>0</v>
      </c>
      <c r="AG278" s="6" t="n">
        <v>0</v>
      </c>
      <c r="AH278" s="6" t="n">
        <v>0</v>
      </c>
      <c r="AI278" s="6" t="s">
        <v>84</v>
      </c>
    </row>
    <row r="279" customFormat="false" ht="15" hidden="false" customHeight="false" outlineLevel="0" collapsed="false">
      <c r="A279" s="6" t="n">
        <v>278</v>
      </c>
      <c r="B279" s="6" t="s">
        <v>4877</v>
      </c>
      <c r="C279" s="6" t="n">
        <v>6</v>
      </c>
      <c r="D279" s="6" t="s">
        <v>127</v>
      </c>
      <c r="E279" s="6" t="s">
        <v>55</v>
      </c>
      <c r="F279" s="6" t="n">
        <v>3</v>
      </c>
      <c r="G279" s="6" t="n">
        <v>230</v>
      </c>
      <c r="H279" s="6" t="s">
        <v>4878</v>
      </c>
      <c r="I279" s="22" t="n">
        <v>2119300</v>
      </c>
      <c r="J279" s="22" t="n">
        <v>6000</v>
      </c>
      <c r="K279" s="22" t="n">
        <v>159397.5</v>
      </c>
      <c r="L279" s="22" t="n">
        <v>2284697.5</v>
      </c>
      <c r="M279" s="6" t="s">
        <v>57</v>
      </c>
      <c r="N279" s="6" t="s">
        <v>58</v>
      </c>
      <c r="O279" s="6"/>
      <c r="P279" s="6" t="s">
        <v>59</v>
      </c>
      <c r="Q279" s="6" t="str">
        <f aca="false">IF(P279="pass","No","Yes")</f>
        <v>Yes</v>
      </c>
      <c r="R279" s="6" t="s">
        <v>60</v>
      </c>
      <c r="S279" s="6" t="s">
        <v>915</v>
      </c>
      <c r="T279" s="6" t="s">
        <v>4879</v>
      </c>
      <c r="U279" s="23" t="n">
        <v>42.949</v>
      </c>
      <c r="V279" s="6" t="s">
        <v>4880</v>
      </c>
      <c r="W279" s="6" t="s">
        <v>4881</v>
      </c>
      <c r="X279" s="6" t="s">
        <v>4882</v>
      </c>
      <c r="Y279" s="6" t="s">
        <v>60</v>
      </c>
      <c r="Z279" s="6" t="n">
        <v>0</v>
      </c>
      <c r="AA279" s="6" t="n">
        <v>0</v>
      </c>
      <c r="AB279" s="6" t="n">
        <v>0</v>
      </c>
      <c r="AC279" s="6" t="n">
        <v>0</v>
      </c>
      <c r="AD279" s="6" t="n">
        <v>0</v>
      </c>
      <c r="AE279" s="6" t="n">
        <v>0</v>
      </c>
      <c r="AF279" s="6" t="n">
        <v>0</v>
      </c>
      <c r="AG279" s="6" t="n">
        <v>0</v>
      </c>
      <c r="AH279" s="6" t="n">
        <v>1</v>
      </c>
      <c r="AI279" s="6" t="s">
        <v>84</v>
      </c>
    </row>
    <row r="280" customFormat="false" ht="15" hidden="false" customHeight="false" outlineLevel="0" collapsed="false">
      <c r="A280" s="6" t="n">
        <v>279</v>
      </c>
      <c r="B280" s="6" t="s">
        <v>4883</v>
      </c>
      <c r="C280" s="6" t="n">
        <v>6</v>
      </c>
      <c r="D280" s="6" t="s">
        <v>89</v>
      </c>
      <c r="E280" s="6" t="s">
        <v>67</v>
      </c>
      <c r="F280" s="6" t="n">
        <v>2</v>
      </c>
      <c r="G280" s="6" t="n">
        <v>74</v>
      </c>
      <c r="H280" s="6" t="s">
        <v>4884</v>
      </c>
      <c r="I280" s="22" t="n">
        <v>1249600</v>
      </c>
      <c r="J280" s="22" t="n">
        <v>4500</v>
      </c>
      <c r="K280" s="22" t="n">
        <v>94057.5</v>
      </c>
      <c r="L280" s="22" t="n">
        <v>1348157.5</v>
      </c>
      <c r="M280" s="6" t="s">
        <v>57</v>
      </c>
      <c r="N280" s="6" t="s">
        <v>58</v>
      </c>
      <c r="O280" s="6"/>
      <c r="P280" s="6" t="s">
        <v>69</v>
      </c>
      <c r="Q280" s="6" t="str">
        <f aca="false">IF(P280="pass","No","Yes")</f>
        <v>No</v>
      </c>
      <c r="R280" s="6" t="s">
        <v>60</v>
      </c>
      <c r="S280" s="6"/>
      <c r="T280" s="6"/>
      <c r="U280" s="23" t="n">
        <v>32.852</v>
      </c>
      <c r="V280" s="6" t="s">
        <v>4885</v>
      </c>
      <c r="W280" s="6" t="s">
        <v>4886</v>
      </c>
      <c r="X280" s="6" t="s">
        <v>4887</v>
      </c>
      <c r="Y280" s="6" t="s">
        <v>60</v>
      </c>
      <c r="Z280" s="6" t="n">
        <v>0</v>
      </c>
      <c r="AA280" s="6" t="n">
        <v>0</v>
      </c>
      <c r="AB280" s="6" t="n">
        <v>0</v>
      </c>
      <c r="AC280" s="6" t="n">
        <v>0</v>
      </c>
      <c r="AD280" s="6" t="n">
        <v>0</v>
      </c>
      <c r="AE280" s="6" t="n">
        <v>0</v>
      </c>
      <c r="AF280" s="6" t="n">
        <v>0</v>
      </c>
      <c r="AG280" s="6" t="n">
        <v>0</v>
      </c>
      <c r="AH280" s="6" t="n">
        <v>0</v>
      </c>
      <c r="AI280" s="6" t="s">
        <v>84</v>
      </c>
    </row>
    <row r="281" customFormat="false" ht="15" hidden="false" customHeight="false" outlineLevel="0" collapsed="false">
      <c r="A281" s="6" t="n">
        <v>280</v>
      </c>
      <c r="B281" s="6" t="s">
        <v>4888</v>
      </c>
      <c r="C281" s="6" t="n">
        <v>6</v>
      </c>
      <c r="D281" s="6" t="s">
        <v>177</v>
      </c>
      <c r="E281" s="6" t="s">
        <v>81</v>
      </c>
      <c r="F281" s="6" t="n">
        <v>1</v>
      </c>
      <c r="G281" s="6" t="n">
        <v>20</v>
      </c>
      <c r="H281" s="6" t="s">
        <v>4889</v>
      </c>
      <c r="I281" s="22" t="n">
        <v>760000</v>
      </c>
      <c r="J281" s="22" t="n">
        <v>4000</v>
      </c>
      <c r="K281" s="22" t="n">
        <v>57300</v>
      </c>
      <c r="L281" s="22" t="n">
        <v>821300</v>
      </c>
      <c r="M281" s="6" t="s">
        <v>224</v>
      </c>
      <c r="N281" s="6" t="s">
        <v>84</v>
      </c>
      <c r="O281" s="6" t="s">
        <v>866</v>
      </c>
      <c r="P281" s="6" t="s">
        <v>85</v>
      </c>
      <c r="Q281" s="6" t="str">
        <f aca="false">IF(P281="pass","No","Yes")</f>
        <v>Yes</v>
      </c>
      <c r="R281" s="6" t="s">
        <v>86</v>
      </c>
      <c r="S281" s="6" t="s">
        <v>866</v>
      </c>
      <c r="T281" s="6" t="s">
        <v>225</v>
      </c>
      <c r="U281" s="23" t="n">
        <v>15.952</v>
      </c>
      <c r="V281" s="6" t="s">
        <v>4890</v>
      </c>
      <c r="W281" s="6" t="s">
        <v>4891</v>
      </c>
      <c r="X281" s="6" t="s">
        <v>4892</v>
      </c>
      <c r="Y281" s="6" t="s">
        <v>86</v>
      </c>
      <c r="Z281" s="6" t="n">
        <v>1</v>
      </c>
      <c r="AA281" s="6" t="n">
        <v>0</v>
      </c>
      <c r="AB281" s="6" t="n">
        <v>0</v>
      </c>
      <c r="AC281" s="6" t="n">
        <v>0</v>
      </c>
      <c r="AD281" s="6" t="n">
        <v>0</v>
      </c>
      <c r="AE281" s="6" t="n">
        <v>0</v>
      </c>
      <c r="AF281" s="6" t="n">
        <v>0</v>
      </c>
      <c r="AG281" s="6" t="n">
        <v>0</v>
      </c>
      <c r="AH281" s="6" t="n">
        <v>0</v>
      </c>
      <c r="AI281" s="6" t="s">
        <v>58</v>
      </c>
    </row>
    <row r="282" customFormat="false" ht="15" hidden="false" customHeight="false" outlineLevel="0" collapsed="false">
      <c r="A282" s="6" t="n">
        <v>281</v>
      </c>
      <c r="B282" s="6" t="s">
        <v>4893</v>
      </c>
      <c r="C282" s="6" t="n">
        <v>6</v>
      </c>
      <c r="D282" s="6" t="s">
        <v>70</v>
      </c>
      <c r="E282" s="6" t="s">
        <v>74</v>
      </c>
      <c r="F282" s="6" t="n">
        <v>2</v>
      </c>
      <c r="G282" s="6" t="n">
        <v>29</v>
      </c>
      <c r="H282" s="6" t="s">
        <v>4894</v>
      </c>
      <c r="I282" s="22" t="n">
        <v>196400</v>
      </c>
      <c r="J282" s="22" t="n">
        <v>9000</v>
      </c>
      <c r="K282" s="22" t="n">
        <v>15405</v>
      </c>
      <c r="L282" s="22" t="n">
        <v>220805</v>
      </c>
      <c r="M282" s="6" t="s">
        <v>1009</v>
      </c>
      <c r="N282" s="6" t="s">
        <v>58</v>
      </c>
      <c r="O282" s="6"/>
      <c r="P282" s="6" t="s">
        <v>69</v>
      </c>
      <c r="Q282" s="6" t="str">
        <f aca="false">IF(P282="pass","No","Yes")</f>
        <v>No</v>
      </c>
      <c r="R282" s="6" t="s">
        <v>60</v>
      </c>
      <c r="S282" s="6"/>
      <c r="T282" s="6"/>
      <c r="U282" s="23" t="n">
        <v>33.543</v>
      </c>
      <c r="V282" s="6" t="s">
        <v>4895</v>
      </c>
      <c r="W282" s="6" t="s">
        <v>4896</v>
      </c>
      <c r="X282" s="6" t="s">
        <v>4897</v>
      </c>
      <c r="Y282" s="6" t="s">
        <v>60</v>
      </c>
      <c r="Z282" s="6" t="n">
        <v>0</v>
      </c>
      <c r="AA282" s="6" t="n">
        <v>0</v>
      </c>
      <c r="AB282" s="6" t="n">
        <v>0</v>
      </c>
      <c r="AC282" s="6" t="n">
        <v>0</v>
      </c>
      <c r="AD282" s="6" t="n">
        <v>0</v>
      </c>
      <c r="AE282" s="6" t="n">
        <v>0</v>
      </c>
      <c r="AF282" s="6" t="n">
        <v>0</v>
      </c>
      <c r="AG282" s="6" t="n">
        <v>0</v>
      </c>
      <c r="AH282" s="6" t="n">
        <v>0</v>
      </c>
      <c r="AI282" s="6" t="s">
        <v>84</v>
      </c>
    </row>
    <row r="283" customFormat="false" ht="15" hidden="false" customHeight="false" outlineLevel="0" collapsed="false">
      <c r="A283" s="6" t="n">
        <v>282</v>
      </c>
      <c r="B283" s="6" t="s">
        <v>4898</v>
      </c>
      <c r="C283" s="6" t="n">
        <v>6</v>
      </c>
      <c r="D283" s="6" t="s">
        <v>89</v>
      </c>
      <c r="E283" s="6" t="s">
        <v>67</v>
      </c>
      <c r="F283" s="6" t="n">
        <v>4</v>
      </c>
      <c r="G283" s="6" t="n">
        <v>192</v>
      </c>
      <c r="H283" s="6" t="s">
        <v>4899</v>
      </c>
      <c r="I283" s="22" t="n">
        <v>1773000</v>
      </c>
      <c r="J283" s="22" t="n">
        <v>4500</v>
      </c>
      <c r="K283" s="22" t="n">
        <v>133312.5</v>
      </c>
      <c r="L283" s="22" t="n">
        <v>1910812.5</v>
      </c>
      <c r="M283" s="6" t="s">
        <v>927</v>
      </c>
      <c r="N283" s="6" t="s">
        <v>58</v>
      </c>
      <c r="O283" s="6"/>
      <c r="P283" s="6" t="s">
        <v>59</v>
      </c>
      <c r="Q283" s="6" t="str">
        <f aca="false">IF(P283="pass","No","Yes")</f>
        <v>Yes</v>
      </c>
      <c r="R283" s="6" t="s">
        <v>60</v>
      </c>
      <c r="S283" s="6" t="s">
        <v>915</v>
      </c>
      <c r="T283" s="6" t="s">
        <v>4900</v>
      </c>
      <c r="U283" s="23" t="n">
        <v>73.57</v>
      </c>
      <c r="V283" s="6" t="s">
        <v>4901</v>
      </c>
      <c r="W283" s="6" t="s">
        <v>4902</v>
      </c>
      <c r="X283" s="6" t="s">
        <v>4903</v>
      </c>
      <c r="Y283" s="6" t="s">
        <v>60</v>
      </c>
      <c r="Z283" s="6" t="n">
        <v>0</v>
      </c>
      <c r="AA283" s="6" t="n">
        <v>0</v>
      </c>
      <c r="AB283" s="6" t="n">
        <v>0</v>
      </c>
      <c r="AC283" s="6" t="n">
        <v>0</v>
      </c>
      <c r="AD283" s="6" t="n">
        <v>0</v>
      </c>
      <c r="AE283" s="6" t="n">
        <v>0</v>
      </c>
      <c r="AF283" s="6" t="n">
        <v>0</v>
      </c>
      <c r="AG283" s="6" t="n">
        <v>0</v>
      </c>
      <c r="AH283" s="6" t="n">
        <v>1</v>
      </c>
      <c r="AI283" s="6" t="s">
        <v>84</v>
      </c>
    </row>
    <row r="284" customFormat="false" ht="15" hidden="false" customHeight="false" outlineLevel="0" collapsed="false">
      <c r="A284" s="6" t="n">
        <v>283</v>
      </c>
      <c r="B284" s="6" t="s">
        <v>4904</v>
      </c>
      <c r="C284" s="6" t="n">
        <v>6</v>
      </c>
      <c r="D284" s="6" t="s">
        <v>191</v>
      </c>
      <c r="E284" s="6" t="s">
        <v>116</v>
      </c>
      <c r="F284" s="6" t="n">
        <v>3</v>
      </c>
      <c r="G284" s="6" t="n">
        <v>46</v>
      </c>
      <c r="H284" s="6" t="s">
        <v>4905</v>
      </c>
      <c r="I284" s="22" t="n">
        <v>912500</v>
      </c>
      <c r="J284" s="22" t="n">
        <v>15000</v>
      </c>
      <c r="K284" s="22" t="n">
        <v>69562.5</v>
      </c>
      <c r="L284" s="22" t="n">
        <v>997062.5</v>
      </c>
      <c r="M284" s="6" t="s">
        <v>132</v>
      </c>
      <c r="N284" s="6" t="s">
        <v>84</v>
      </c>
      <c r="O284" s="6" t="s">
        <v>879</v>
      </c>
      <c r="P284" s="6" t="s">
        <v>85</v>
      </c>
      <c r="Q284" s="6" t="str">
        <f aca="false">IF(P284="pass","No","Yes")</f>
        <v>Yes</v>
      </c>
      <c r="R284" s="6" t="s">
        <v>86</v>
      </c>
      <c r="S284" s="6" t="s">
        <v>880</v>
      </c>
      <c r="T284" s="6" t="s">
        <v>134</v>
      </c>
      <c r="U284" s="23" t="n">
        <v>37.373</v>
      </c>
      <c r="V284" s="6" t="s">
        <v>4906</v>
      </c>
      <c r="W284" s="6" t="s">
        <v>4907</v>
      </c>
      <c r="X284" s="6" t="s">
        <v>4908</v>
      </c>
      <c r="Y284" s="6" t="s">
        <v>86</v>
      </c>
      <c r="Z284" s="6" t="n">
        <v>0</v>
      </c>
      <c r="AA284" s="6" t="n">
        <v>1</v>
      </c>
      <c r="AB284" s="6" t="n">
        <v>0</v>
      </c>
      <c r="AC284" s="6" t="n">
        <v>1</v>
      </c>
      <c r="AD284" s="6" t="n">
        <v>0</v>
      </c>
      <c r="AE284" s="6" t="n">
        <v>0</v>
      </c>
      <c r="AF284" s="6" t="n">
        <v>0</v>
      </c>
      <c r="AG284" s="6" t="n">
        <v>0</v>
      </c>
      <c r="AH284" s="6" t="n">
        <v>0</v>
      </c>
      <c r="AI284" s="6" t="s">
        <v>84</v>
      </c>
    </row>
    <row r="285" customFormat="false" ht="15" hidden="false" customHeight="false" outlineLevel="0" collapsed="false">
      <c r="A285" s="6" t="n">
        <v>284</v>
      </c>
      <c r="B285" s="6" t="s">
        <v>4909</v>
      </c>
      <c r="C285" s="6" t="n">
        <v>6</v>
      </c>
      <c r="D285" s="6" t="s">
        <v>166</v>
      </c>
      <c r="E285" s="6" t="s">
        <v>74</v>
      </c>
      <c r="F285" s="6" t="n">
        <v>3</v>
      </c>
      <c r="G285" s="6" t="n">
        <v>77</v>
      </c>
      <c r="H285" s="6" t="s">
        <v>4910</v>
      </c>
      <c r="I285" s="22" t="n">
        <v>1169300</v>
      </c>
      <c r="J285" s="22" t="n">
        <v>9000</v>
      </c>
      <c r="K285" s="22" t="n">
        <v>88372.5</v>
      </c>
      <c r="L285" s="22" t="n">
        <v>1266672.5</v>
      </c>
      <c r="M285" s="6" t="s">
        <v>1009</v>
      </c>
      <c r="N285" s="6" t="s">
        <v>58</v>
      </c>
      <c r="O285" s="6"/>
      <c r="P285" s="6" t="s">
        <v>69</v>
      </c>
      <c r="Q285" s="6" t="str">
        <f aca="false">IF(P285="pass","No","Yes")</f>
        <v>No</v>
      </c>
      <c r="R285" s="6" t="s">
        <v>60</v>
      </c>
      <c r="S285" s="6"/>
      <c r="T285" s="6"/>
      <c r="U285" s="23" t="n">
        <v>51.949</v>
      </c>
      <c r="V285" s="6" t="s">
        <v>4911</v>
      </c>
      <c r="W285" s="6" t="s">
        <v>4912</v>
      </c>
      <c r="X285" s="6" t="s">
        <v>4913</v>
      </c>
      <c r="Y285" s="6" t="s">
        <v>60</v>
      </c>
      <c r="Z285" s="6" t="n">
        <v>0</v>
      </c>
      <c r="AA285" s="6" t="n">
        <v>0</v>
      </c>
      <c r="AB285" s="6" t="n">
        <v>0</v>
      </c>
      <c r="AC285" s="6" t="n">
        <v>0</v>
      </c>
      <c r="AD285" s="6" t="n">
        <v>0</v>
      </c>
      <c r="AE285" s="6" t="n">
        <v>0</v>
      </c>
      <c r="AF285" s="6" t="n">
        <v>0</v>
      </c>
      <c r="AG285" s="6" t="n">
        <v>0</v>
      </c>
      <c r="AH285" s="6" t="n">
        <v>0</v>
      </c>
      <c r="AI285" s="6" t="s">
        <v>84</v>
      </c>
    </row>
    <row r="286" customFormat="false" ht="15" hidden="false" customHeight="false" outlineLevel="0" collapsed="false">
      <c r="A286" s="6" t="n">
        <v>285</v>
      </c>
      <c r="B286" s="6" t="s">
        <v>4914</v>
      </c>
      <c r="C286" s="6" t="n">
        <v>6</v>
      </c>
      <c r="D286" s="6" t="s">
        <v>142</v>
      </c>
      <c r="E286" s="6" t="s">
        <v>74</v>
      </c>
      <c r="F286" s="6" t="n">
        <v>3</v>
      </c>
      <c r="G286" s="6" t="n">
        <v>76</v>
      </c>
      <c r="H286" s="6" t="s">
        <v>4915</v>
      </c>
      <c r="I286" s="22" t="n">
        <v>1128200</v>
      </c>
      <c r="J286" s="22" t="n">
        <v>9000</v>
      </c>
      <c r="K286" s="22" t="n">
        <v>85290</v>
      </c>
      <c r="L286" s="22" t="n">
        <v>1222490</v>
      </c>
      <c r="M286" s="6" t="s">
        <v>984</v>
      </c>
      <c r="N286" s="6" t="s">
        <v>84</v>
      </c>
      <c r="O286" s="6" t="s">
        <v>985</v>
      </c>
      <c r="P286" s="6" t="s">
        <v>85</v>
      </c>
      <c r="Q286" s="6" t="str">
        <f aca="false">IF(P286="pass","No","Yes")</f>
        <v>Yes</v>
      </c>
      <c r="R286" s="6" t="s">
        <v>86</v>
      </c>
      <c r="S286" s="6" t="s">
        <v>985</v>
      </c>
      <c r="T286" s="6" t="s">
        <v>2033</v>
      </c>
      <c r="U286" s="23" t="n">
        <v>49.539</v>
      </c>
      <c r="V286" s="6" t="s">
        <v>4916</v>
      </c>
      <c r="W286" s="6" t="s">
        <v>4917</v>
      </c>
      <c r="X286" s="6" t="s">
        <v>4918</v>
      </c>
      <c r="Y286" s="6" t="s">
        <v>86</v>
      </c>
      <c r="Z286" s="6" t="n">
        <v>0</v>
      </c>
      <c r="AA286" s="6" t="n">
        <v>0</v>
      </c>
      <c r="AB286" s="6" t="n">
        <v>0</v>
      </c>
      <c r="AC286" s="6" t="n">
        <v>0</v>
      </c>
      <c r="AD286" s="6" t="n">
        <v>0</v>
      </c>
      <c r="AE286" s="6" t="n">
        <v>1</v>
      </c>
      <c r="AF286" s="6" t="n">
        <v>0</v>
      </c>
      <c r="AG286" s="6" t="n">
        <v>0</v>
      </c>
      <c r="AH286" s="6" t="n">
        <v>0</v>
      </c>
      <c r="AI286" s="6" t="s">
        <v>84</v>
      </c>
    </row>
    <row r="287" customFormat="false" ht="15" hidden="false" customHeight="false" outlineLevel="0" collapsed="false">
      <c r="A287" s="6" t="n">
        <v>286</v>
      </c>
      <c r="B287" s="6" t="s">
        <v>4919</v>
      </c>
      <c r="C287" s="6" t="n">
        <v>6</v>
      </c>
      <c r="D287" s="6" t="s">
        <v>89</v>
      </c>
      <c r="E287" s="6" t="s">
        <v>67</v>
      </c>
      <c r="F287" s="6" t="n">
        <v>3</v>
      </c>
      <c r="G287" s="6" t="n">
        <v>174</v>
      </c>
      <c r="H287" s="6" t="s">
        <v>4920</v>
      </c>
      <c r="I287" s="22" t="n">
        <v>1617000</v>
      </c>
      <c r="J287" s="22" t="n">
        <v>4500</v>
      </c>
      <c r="K287" s="22" t="n">
        <v>121612.5</v>
      </c>
      <c r="L287" s="22" t="n">
        <v>1743112.5</v>
      </c>
      <c r="M287" s="6" t="s">
        <v>57</v>
      </c>
      <c r="N287" s="6" t="s">
        <v>58</v>
      </c>
      <c r="O287" s="6"/>
      <c r="P287" s="6" t="s">
        <v>69</v>
      </c>
      <c r="Q287" s="6" t="str">
        <f aca="false">IF(P287="pass","No","Yes")</f>
        <v>No</v>
      </c>
      <c r="R287" s="6" t="s">
        <v>60</v>
      </c>
      <c r="S287" s="6"/>
      <c r="T287" s="6"/>
      <c r="U287" s="23" t="n">
        <v>58.077</v>
      </c>
      <c r="V287" s="6" t="s">
        <v>4921</v>
      </c>
      <c r="W287" s="6" t="s">
        <v>4922</v>
      </c>
      <c r="X287" s="6" t="s">
        <v>4923</v>
      </c>
      <c r="Y287" s="6" t="s">
        <v>60</v>
      </c>
      <c r="Z287" s="6" t="n">
        <v>0</v>
      </c>
      <c r="AA287" s="6" t="n">
        <v>0</v>
      </c>
      <c r="AB287" s="6" t="n">
        <v>0</v>
      </c>
      <c r="AC287" s="6" t="n">
        <v>0</v>
      </c>
      <c r="AD287" s="6" t="n">
        <v>0</v>
      </c>
      <c r="AE287" s="6" t="n">
        <v>0</v>
      </c>
      <c r="AF287" s="6" t="n">
        <v>0</v>
      </c>
      <c r="AG287" s="6" t="n">
        <v>0</v>
      </c>
      <c r="AH287" s="6" t="n">
        <v>0</v>
      </c>
      <c r="AI287" s="6" t="s">
        <v>84</v>
      </c>
    </row>
    <row r="288" customFormat="false" ht="15" hidden="false" customHeight="false" outlineLevel="0" collapsed="false">
      <c r="A288" s="6" t="n">
        <v>287</v>
      </c>
      <c r="B288" s="6" t="s">
        <v>4924</v>
      </c>
      <c r="C288" s="6" t="n">
        <v>6</v>
      </c>
      <c r="D288" s="6" t="s">
        <v>112</v>
      </c>
      <c r="E288" s="6" t="s">
        <v>116</v>
      </c>
      <c r="F288" s="6" t="n">
        <v>4</v>
      </c>
      <c r="G288" s="6" t="n">
        <v>587</v>
      </c>
      <c r="H288" s="6" t="s">
        <v>4925</v>
      </c>
      <c r="I288" s="22" t="n">
        <v>3037800</v>
      </c>
      <c r="J288" s="22" t="n">
        <v>15000</v>
      </c>
      <c r="K288" s="22" t="n">
        <v>228960</v>
      </c>
      <c r="L288" s="22" t="n">
        <v>3281760</v>
      </c>
      <c r="M288" s="6" t="s">
        <v>159</v>
      </c>
      <c r="N288" s="6" t="s">
        <v>84</v>
      </c>
      <c r="O288" s="6" t="s">
        <v>886</v>
      </c>
      <c r="P288" s="6" t="s">
        <v>85</v>
      </c>
      <c r="Q288" s="6" t="str">
        <f aca="false">IF(P288="pass","No","Yes")</f>
        <v>Yes</v>
      </c>
      <c r="R288" s="6" t="s">
        <v>86</v>
      </c>
      <c r="S288" s="6" t="s">
        <v>934</v>
      </c>
      <c r="T288" s="6" t="s">
        <v>302</v>
      </c>
      <c r="U288" s="23" t="n">
        <v>50.153</v>
      </c>
      <c r="V288" s="6" t="s">
        <v>4926</v>
      </c>
      <c r="W288" s="6" t="s">
        <v>4927</v>
      </c>
      <c r="X288" s="6" t="s">
        <v>4928</v>
      </c>
      <c r="Y288" s="6" t="s">
        <v>86</v>
      </c>
      <c r="Z288" s="6" t="n">
        <v>0</v>
      </c>
      <c r="AA288" s="6" t="n">
        <v>0</v>
      </c>
      <c r="AB288" s="6" t="n">
        <v>1</v>
      </c>
      <c r="AC288" s="6" t="n">
        <v>1</v>
      </c>
      <c r="AD288" s="6" t="n">
        <v>0</v>
      </c>
      <c r="AE288" s="6" t="n">
        <v>0</v>
      </c>
      <c r="AF288" s="6" t="n">
        <v>0</v>
      </c>
      <c r="AG288" s="6" t="n">
        <v>0</v>
      </c>
      <c r="AH288" s="6" t="n">
        <v>0</v>
      </c>
      <c r="AI288" s="6" t="s">
        <v>84</v>
      </c>
    </row>
    <row r="289" customFormat="false" ht="15" hidden="false" customHeight="false" outlineLevel="0" collapsed="false">
      <c r="A289" s="6" t="n">
        <v>288</v>
      </c>
      <c r="B289" s="6" t="s">
        <v>4929</v>
      </c>
      <c r="C289" s="6" t="n">
        <v>6</v>
      </c>
      <c r="D289" s="6" t="s">
        <v>77</v>
      </c>
      <c r="E289" s="6" t="s">
        <v>81</v>
      </c>
      <c r="F289" s="6" t="n">
        <v>2</v>
      </c>
      <c r="G289" s="6" t="n">
        <v>20</v>
      </c>
      <c r="H289" s="6" t="s">
        <v>4930</v>
      </c>
      <c r="I289" s="22" t="n">
        <v>275500</v>
      </c>
      <c r="J289" s="22" t="n">
        <v>4000</v>
      </c>
      <c r="K289" s="22" t="n">
        <v>20962.5</v>
      </c>
      <c r="L289" s="22" t="n">
        <v>300462.5</v>
      </c>
      <c r="M289" s="6" t="s">
        <v>94</v>
      </c>
      <c r="N289" s="6" t="s">
        <v>84</v>
      </c>
      <c r="O289" s="6" t="s">
        <v>909</v>
      </c>
      <c r="P289" s="6" t="s">
        <v>85</v>
      </c>
      <c r="Q289" s="6" t="str">
        <f aca="false">IF(P289="pass","No","Yes")</f>
        <v>Yes</v>
      </c>
      <c r="R289" s="6" t="s">
        <v>86</v>
      </c>
      <c r="S289" s="6" t="s">
        <v>909</v>
      </c>
      <c r="T289" s="6" t="s">
        <v>254</v>
      </c>
      <c r="U289" s="23" t="n">
        <v>29.434</v>
      </c>
      <c r="V289" s="6" t="s">
        <v>4931</v>
      </c>
      <c r="W289" s="6" t="s">
        <v>4932</v>
      </c>
      <c r="X289" s="6" t="s">
        <v>4933</v>
      </c>
      <c r="Y289" s="6" t="s">
        <v>86</v>
      </c>
      <c r="Z289" s="6" t="n">
        <v>0</v>
      </c>
      <c r="AA289" s="6" t="n">
        <v>0</v>
      </c>
      <c r="AB289" s="6" t="n">
        <v>0</v>
      </c>
      <c r="AC289" s="6" t="n">
        <v>0</v>
      </c>
      <c r="AD289" s="6" t="n">
        <v>0</v>
      </c>
      <c r="AE289" s="6" t="n">
        <v>0</v>
      </c>
      <c r="AF289" s="6" t="n">
        <v>1</v>
      </c>
      <c r="AG289" s="6" t="n">
        <v>0</v>
      </c>
      <c r="AH289" s="6" t="n">
        <v>0</v>
      </c>
      <c r="AI289" s="6" t="s">
        <v>84</v>
      </c>
    </row>
    <row r="290" customFormat="false" ht="15" hidden="false" customHeight="false" outlineLevel="0" collapsed="false">
      <c r="A290" s="6" t="n">
        <v>289</v>
      </c>
      <c r="B290" s="6" t="s">
        <v>4934</v>
      </c>
      <c r="C290" s="6" t="n">
        <v>6</v>
      </c>
      <c r="D290" s="6" t="s">
        <v>100</v>
      </c>
      <c r="E290" s="6" t="s">
        <v>67</v>
      </c>
      <c r="F290" s="6" t="n">
        <v>3</v>
      </c>
      <c r="G290" s="6" t="n">
        <v>110</v>
      </c>
      <c r="H290" s="6" t="s">
        <v>4935</v>
      </c>
      <c r="I290" s="22" t="n">
        <v>2153000</v>
      </c>
      <c r="J290" s="22" t="n">
        <v>4500</v>
      </c>
      <c r="K290" s="22" t="n">
        <v>161812.5</v>
      </c>
      <c r="L290" s="22" t="n">
        <v>2319312.5</v>
      </c>
      <c r="M290" s="6" t="s">
        <v>57</v>
      </c>
      <c r="N290" s="6" t="s">
        <v>58</v>
      </c>
      <c r="O290" s="6"/>
      <c r="P290" s="6" t="s">
        <v>69</v>
      </c>
      <c r="Q290" s="6" t="str">
        <f aca="false">IF(P290="pass","No","Yes")</f>
        <v>No</v>
      </c>
      <c r="R290" s="6" t="s">
        <v>60</v>
      </c>
      <c r="S290" s="6"/>
      <c r="T290" s="6"/>
      <c r="U290" s="23" t="n">
        <v>39.637</v>
      </c>
      <c r="V290" s="6" t="s">
        <v>4936</v>
      </c>
      <c r="W290" s="6" t="s">
        <v>4937</v>
      </c>
      <c r="X290" s="6" t="s">
        <v>4938</v>
      </c>
      <c r="Y290" s="6" t="s">
        <v>60</v>
      </c>
      <c r="Z290" s="6" t="n">
        <v>0</v>
      </c>
      <c r="AA290" s="6" t="n">
        <v>0</v>
      </c>
      <c r="AB290" s="6" t="n">
        <v>0</v>
      </c>
      <c r="AC290" s="6" t="n">
        <v>0</v>
      </c>
      <c r="AD290" s="6" t="n">
        <v>0</v>
      </c>
      <c r="AE290" s="6" t="n">
        <v>0</v>
      </c>
      <c r="AF290" s="6" t="n">
        <v>0</v>
      </c>
      <c r="AG290" s="6" t="n">
        <v>0</v>
      </c>
      <c r="AH290" s="6" t="n">
        <v>0</v>
      </c>
      <c r="AI290" s="6" t="s">
        <v>84</v>
      </c>
    </row>
    <row r="291" customFormat="false" ht="15" hidden="false" customHeight="false" outlineLevel="0" collapsed="false">
      <c r="A291" s="6" t="n">
        <v>290</v>
      </c>
      <c r="B291" s="6" t="s">
        <v>4939</v>
      </c>
      <c r="C291" s="6" t="n">
        <v>6</v>
      </c>
      <c r="D291" s="6" t="s">
        <v>51</v>
      </c>
      <c r="E291" s="6" t="s">
        <v>55</v>
      </c>
      <c r="F291" s="6" t="n">
        <v>3</v>
      </c>
      <c r="G291" s="6" t="n">
        <v>41</v>
      </c>
      <c r="H291" s="6" t="s">
        <v>4940</v>
      </c>
      <c r="I291" s="22" t="n">
        <v>545200</v>
      </c>
      <c r="J291" s="22" t="n">
        <v>6000</v>
      </c>
      <c r="K291" s="22" t="n">
        <v>41340</v>
      </c>
      <c r="L291" s="22" t="n">
        <v>592540</v>
      </c>
      <c r="M291" s="6" t="s">
        <v>57</v>
      </c>
      <c r="N291" s="6" t="s">
        <v>58</v>
      </c>
      <c r="O291" s="6"/>
      <c r="P291" s="6" t="s">
        <v>69</v>
      </c>
      <c r="Q291" s="6" t="str">
        <f aca="false">IF(P291="pass","No","Yes")</f>
        <v>No</v>
      </c>
      <c r="R291" s="6" t="s">
        <v>60</v>
      </c>
      <c r="S291" s="6"/>
      <c r="T291" s="6"/>
      <c r="U291" s="23" t="n">
        <v>40.12</v>
      </c>
      <c r="V291" s="6" t="s">
        <v>4941</v>
      </c>
      <c r="W291" s="6" t="s">
        <v>4942</v>
      </c>
      <c r="X291" s="6" t="s">
        <v>4943</v>
      </c>
      <c r="Y291" s="6" t="s">
        <v>60</v>
      </c>
      <c r="Z291" s="6" t="n">
        <v>0</v>
      </c>
      <c r="AA291" s="6" t="n">
        <v>0</v>
      </c>
      <c r="AB291" s="6" t="n">
        <v>0</v>
      </c>
      <c r="AC291" s="6" t="n">
        <v>0</v>
      </c>
      <c r="AD291" s="6" t="n">
        <v>0</v>
      </c>
      <c r="AE291" s="6" t="n">
        <v>0</v>
      </c>
      <c r="AF291" s="6" t="n">
        <v>0</v>
      </c>
      <c r="AG291" s="6" t="n">
        <v>0</v>
      </c>
      <c r="AH291" s="6" t="n">
        <v>0</v>
      </c>
      <c r="AI291" s="6" t="s">
        <v>84</v>
      </c>
    </row>
    <row r="292" customFormat="false" ht="15" hidden="false" customHeight="false" outlineLevel="0" collapsed="false">
      <c r="A292" s="6" t="n">
        <v>291</v>
      </c>
      <c r="B292" s="6" t="s">
        <v>4944</v>
      </c>
      <c r="C292" s="6" t="n">
        <v>6</v>
      </c>
      <c r="D292" s="6" t="s">
        <v>63</v>
      </c>
      <c r="E292" s="6" t="s">
        <v>67</v>
      </c>
      <c r="F292" s="6" t="n">
        <v>3</v>
      </c>
      <c r="G292" s="6" t="n">
        <v>100</v>
      </c>
      <c r="H292" s="6" t="s">
        <v>4945</v>
      </c>
      <c r="I292" s="22" t="n">
        <v>967800</v>
      </c>
      <c r="J292" s="22" t="n">
        <v>4500</v>
      </c>
      <c r="K292" s="22" t="n">
        <v>72922.5</v>
      </c>
      <c r="L292" s="22" t="n">
        <v>1045222.5</v>
      </c>
      <c r="M292" s="6" t="s">
        <v>57</v>
      </c>
      <c r="N292" s="6" t="s">
        <v>58</v>
      </c>
      <c r="O292" s="6"/>
      <c r="P292" s="6" t="s">
        <v>59</v>
      </c>
      <c r="Q292" s="6" t="str">
        <f aca="false">IF(P292="pass","No","Yes")</f>
        <v>Yes</v>
      </c>
      <c r="R292" s="6" t="s">
        <v>60</v>
      </c>
      <c r="S292" s="6" t="s">
        <v>915</v>
      </c>
      <c r="T292" s="6" t="s">
        <v>4946</v>
      </c>
      <c r="U292" s="23" t="n">
        <v>51.502</v>
      </c>
      <c r="V292" s="6" t="s">
        <v>4947</v>
      </c>
      <c r="W292" s="6" t="s">
        <v>4948</v>
      </c>
      <c r="X292" s="6" t="s">
        <v>4949</v>
      </c>
      <c r="Y292" s="6" t="s">
        <v>60</v>
      </c>
      <c r="Z292" s="6" t="n">
        <v>0</v>
      </c>
      <c r="AA292" s="6" t="n">
        <v>0</v>
      </c>
      <c r="AB292" s="6" t="n">
        <v>0</v>
      </c>
      <c r="AC292" s="6" t="n">
        <v>0</v>
      </c>
      <c r="AD292" s="6" t="n">
        <v>0</v>
      </c>
      <c r="AE292" s="6" t="n">
        <v>0</v>
      </c>
      <c r="AF292" s="6" t="n">
        <v>0</v>
      </c>
      <c r="AG292" s="6" t="n">
        <v>0</v>
      </c>
      <c r="AH292" s="6" t="n">
        <v>1</v>
      </c>
      <c r="AI292" s="6" t="s">
        <v>84</v>
      </c>
    </row>
    <row r="293" customFormat="false" ht="15" hidden="false" customHeight="false" outlineLevel="0" collapsed="false">
      <c r="A293" s="6" t="n">
        <v>292</v>
      </c>
      <c r="B293" s="6" t="s">
        <v>4950</v>
      </c>
      <c r="C293" s="6" t="n">
        <v>6</v>
      </c>
      <c r="D293" s="6" t="s">
        <v>237</v>
      </c>
      <c r="E293" s="6" t="s">
        <v>116</v>
      </c>
      <c r="F293" s="6" t="n">
        <v>3</v>
      </c>
      <c r="G293" s="6" t="n">
        <v>850</v>
      </c>
      <c r="H293" s="6" t="s">
        <v>4951</v>
      </c>
      <c r="I293" s="22" t="n">
        <v>8582500</v>
      </c>
      <c r="J293" s="22" t="n">
        <v>15000</v>
      </c>
      <c r="K293" s="22" t="n">
        <v>644812.5</v>
      </c>
      <c r="L293" s="22" t="n">
        <v>9242312.5</v>
      </c>
      <c r="M293" s="6" t="s">
        <v>171</v>
      </c>
      <c r="N293" s="6" t="s">
        <v>84</v>
      </c>
      <c r="O293" s="6" t="s">
        <v>892</v>
      </c>
      <c r="P293" s="6" t="s">
        <v>85</v>
      </c>
      <c r="Q293" s="6" t="str">
        <f aca="false">IF(P293="pass","No","Yes")</f>
        <v>Yes</v>
      </c>
      <c r="R293" s="6" t="s">
        <v>86</v>
      </c>
      <c r="S293" s="6" t="s">
        <v>893</v>
      </c>
      <c r="T293" s="6" t="s">
        <v>1513</v>
      </c>
      <c r="U293" s="23" t="n">
        <v>51.089</v>
      </c>
      <c r="V293" s="6" t="s">
        <v>4952</v>
      </c>
      <c r="W293" s="6" t="s">
        <v>4953</v>
      </c>
      <c r="X293" s="6" t="s">
        <v>4954</v>
      </c>
      <c r="Y293" s="6" t="s">
        <v>86</v>
      </c>
      <c r="Z293" s="6" t="n">
        <v>0</v>
      </c>
      <c r="AA293" s="6" t="n">
        <v>0</v>
      </c>
      <c r="AB293" s="6" t="n">
        <v>0</v>
      </c>
      <c r="AC293" s="6" t="n">
        <v>1</v>
      </c>
      <c r="AD293" s="6" t="n">
        <v>0</v>
      </c>
      <c r="AE293" s="6" t="n">
        <v>0</v>
      </c>
      <c r="AF293" s="6" t="n">
        <v>0</v>
      </c>
      <c r="AG293" s="6" t="n">
        <v>0</v>
      </c>
      <c r="AH293" s="6" t="n">
        <v>1</v>
      </c>
      <c r="AI293" s="6" t="s">
        <v>84</v>
      </c>
    </row>
    <row r="294" customFormat="false" ht="15" hidden="false" customHeight="false" outlineLevel="0" collapsed="false">
      <c r="A294" s="6" t="n">
        <v>293</v>
      </c>
      <c r="B294" s="6" t="s">
        <v>4955</v>
      </c>
      <c r="C294" s="6" t="n">
        <v>6</v>
      </c>
      <c r="D294" s="6" t="s">
        <v>100</v>
      </c>
      <c r="E294" s="6" t="s">
        <v>67</v>
      </c>
      <c r="F294" s="6" t="n">
        <v>4</v>
      </c>
      <c r="G294" s="6" t="n">
        <v>771</v>
      </c>
      <c r="H294" s="6" t="s">
        <v>4956</v>
      </c>
      <c r="I294" s="22" t="n">
        <v>6442000</v>
      </c>
      <c r="J294" s="22" t="n">
        <v>4500</v>
      </c>
      <c r="K294" s="22" t="n">
        <v>483487.5</v>
      </c>
      <c r="L294" s="22" t="n">
        <v>6929987.5</v>
      </c>
      <c r="M294" s="6" t="s">
        <v>171</v>
      </c>
      <c r="N294" s="6" t="s">
        <v>84</v>
      </c>
      <c r="O294" s="6" t="s">
        <v>892</v>
      </c>
      <c r="P294" s="6" t="s">
        <v>85</v>
      </c>
      <c r="Q294" s="6" t="str">
        <f aca="false">IF(P294="pass","No","Yes")</f>
        <v>Yes</v>
      </c>
      <c r="R294" s="6" t="s">
        <v>86</v>
      </c>
      <c r="S294" s="6" t="s">
        <v>893</v>
      </c>
      <c r="T294" s="6" t="s">
        <v>4957</v>
      </c>
      <c r="U294" s="23" t="n">
        <v>70.155</v>
      </c>
      <c r="V294" s="6" t="s">
        <v>4958</v>
      </c>
      <c r="W294" s="6" t="s">
        <v>4959</v>
      </c>
      <c r="X294" s="6" t="s">
        <v>4960</v>
      </c>
      <c r="Y294" s="6" t="s">
        <v>86</v>
      </c>
      <c r="Z294" s="6" t="n">
        <v>0</v>
      </c>
      <c r="AA294" s="6" t="n">
        <v>0</v>
      </c>
      <c r="AB294" s="6" t="n">
        <v>0</v>
      </c>
      <c r="AC294" s="6" t="n">
        <v>1</v>
      </c>
      <c r="AD294" s="6" t="n">
        <v>0</v>
      </c>
      <c r="AE294" s="6" t="n">
        <v>0</v>
      </c>
      <c r="AF294" s="6" t="n">
        <v>0</v>
      </c>
      <c r="AG294" s="6" t="n">
        <v>0</v>
      </c>
      <c r="AH294" s="6" t="n">
        <v>1</v>
      </c>
      <c r="AI294" s="6" t="s">
        <v>84</v>
      </c>
    </row>
    <row r="295" customFormat="false" ht="15" hidden="false" customHeight="false" outlineLevel="0" collapsed="false">
      <c r="A295" s="6" t="n">
        <v>294</v>
      </c>
      <c r="B295" s="6" t="s">
        <v>4961</v>
      </c>
      <c r="C295" s="6" t="n">
        <v>6</v>
      </c>
      <c r="D295" s="6" t="s">
        <v>213</v>
      </c>
      <c r="E295" s="6" t="s">
        <v>67</v>
      </c>
      <c r="F295" s="6" t="n">
        <v>2</v>
      </c>
      <c r="G295" s="6" t="n">
        <v>4</v>
      </c>
      <c r="H295" s="6" t="s">
        <v>4962</v>
      </c>
      <c r="I295" s="22" t="n">
        <v>84200</v>
      </c>
      <c r="J295" s="22" t="n">
        <v>4500</v>
      </c>
      <c r="K295" s="22" t="n">
        <v>6652.5</v>
      </c>
      <c r="L295" s="22" t="n">
        <v>95352.5</v>
      </c>
      <c r="M295" s="6" t="s">
        <v>960</v>
      </c>
      <c r="N295" s="6" t="s">
        <v>84</v>
      </c>
      <c r="O295" s="6" t="s">
        <v>961</v>
      </c>
      <c r="P295" s="6" t="s">
        <v>85</v>
      </c>
      <c r="Q295" s="6" t="str">
        <f aca="false">IF(P295="pass","No","Yes")</f>
        <v>Yes</v>
      </c>
      <c r="R295" s="6" t="s">
        <v>86</v>
      </c>
      <c r="S295" s="6" t="s">
        <v>961</v>
      </c>
      <c r="T295" s="6" t="s">
        <v>962</v>
      </c>
      <c r="U295" s="23" t="n">
        <v>29.516</v>
      </c>
      <c r="V295" s="6" t="s">
        <v>4963</v>
      </c>
      <c r="W295" s="6" t="s">
        <v>4964</v>
      </c>
      <c r="X295" s="6" t="s">
        <v>4965</v>
      </c>
      <c r="Y295" s="6" t="s">
        <v>86</v>
      </c>
      <c r="Z295" s="6" t="n">
        <v>0</v>
      </c>
      <c r="AA295" s="6" t="n">
        <v>0</v>
      </c>
      <c r="AB295" s="6" t="n">
        <v>0</v>
      </c>
      <c r="AC295" s="6" t="n">
        <v>0</v>
      </c>
      <c r="AD295" s="6" t="n">
        <v>1</v>
      </c>
      <c r="AE295" s="6" t="n">
        <v>0</v>
      </c>
      <c r="AF295" s="6" t="n">
        <v>0</v>
      </c>
      <c r="AG295" s="6" t="n">
        <v>0</v>
      </c>
      <c r="AH295" s="6" t="n">
        <v>0</v>
      </c>
      <c r="AI295" s="6" t="s">
        <v>84</v>
      </c>
    </row>
    <row r="296" customFormat="false" ht="15" hidden="false" customHeight="false" outlineLevel="0" collapsed="false">
      <c r="A296" s="6" t="n">
        <v>295</v>
      </c>
      <c r="B296" s="6" t="s">
        <v>4966</v>
      </c>
      <c r="C296" s="6" t="n">
        <v>6</v>
      </c>
      <c r="D296" s="6" t="s">
        <v>237</v>
      </c>
      <c r="E296" s="6" t="s">
        <v>116</v>
      </c>
      <c r="F296" s="6" t="n">
        <v>2</v>
      </c>
      <c r="G296" s="6" t="n">
        <v>180</v>
      </c>
      <c r="H296" s="6" t="s">
        <v>4967</v>
      </c>
      <c r="I296" s="22" t="n">
        <v>1740000</v>
      </c>
      <c r="J296" s="22" t="n">
        <v>15000</v>
      </c>
      <c r="K296" s="22" t="n">
        <v>131625</v>
      </c>
      <c r="L296" s="22" t="n">
        <v>1886625</v>
      </c>
      <c r="M296" s="6" t="s">
        <v>57</v>
      </c>
      <c r="N296" s="6" t="s">
        <v>58</v>
      </c>
      <c r="O296" s="6"/>
      <c r="P296" s="6" t="s">
        <v>59</v>
      </c>
      <c r="Q296" s="6" t="str">
        <f aca="false">IF(P296="pass","No","Yes")</f>
        <v>Yes</v>
      </c>
      <c r="R296" s="6" t="s">
        <v>60</v>
      </c>
      <c r="S296" s="6" t="s">
        <v>915</v>
      </c>
      <c r="T296" s="6" t="s">
        <v>1135</v>
      </c>
      <c r="U296" s="23" t="n">
        <v>36.799</v>
      </c>
      <c r="V296" s="6" t="s">
        <v>4968</v>
      </c>
      <c r="W296" s="6" t="s">
        <v>4969</v>
      </c>
      <c r="X296" s="6" t="s">
        <v>4970</v>
      </c>
      <c r="Y296" s="6" t="s">
        <v>60</v>
      </c>
      <c r="Z296" s="6" t="n">
        <v>0</v>
      </c>
      <c r="AA296" s="6" t="n">
        <v>0</v>
      </c>
      <c r="AB296" s="6" t="n">
        <v>0</v>
      </c>
      <c r="AC296" s="6" t="n">
        <v>0</v>
      </c>
      <c r="AD296" s="6" t="n">
        <v>0</v>
      </c>
      <c r="AE296" s="6" t="n">
        <v>0</v>
      </c>
      <c r="AF296" s="6" t="n">
        <v>0</v>
      </c>
      <c r="AG296" s="6" t="n">
        <v>0</v>
      </c>
      <c r="AH296" s="6" t="n">
        <v>1</v>
      </c>
      <c r="AI296" s="6" t="s">
        <v>84</v>
      </c>
    </row>
    <row r="297" customFormat="false" ht="15" hidden="false" customHeight="false" outlineLevel="0" collapsed="false">
      <c r="A297" s="6" t="n">
        <v>296</v>
      </c>
      <c r="B297" s="6" t="s">
        <v>4971</v>
      </c>
      <c r="C297" s="6" t="n">
        <v>6</v>
      </c>
      <c r="D297" s="6" t="s">
        <v>63</v>
      </c>
      <c r="E297" s="6" t="s">
        <v>67</v>
      </c>
      <c r="F297" s="6" t="n">
        <v>3</v>
      </c>
      <c r="G297" s="6" t="n">
        <v>227</v>
      </c>
      <c r="H297" s="6" t="s">
        <v>4972</v>
      </c>
      <c r="I297" s="22" t="n">
        <v>2682700</v>
      </c>
      <c r="J297" s="22" t="n">
        <v>4500</v>
      </c>
      <c r="K297" s="22" t="n">
        <v>201540</v>
      </c>
      <c r="L297" s="22" t="n">
        <v>2888740</v>
      </c>
      <c r="M297" s="6" t="s">
        <v>94</v>
      </c>
      <c r="N297" s="6" t="s">
        <v>84</v>
      </c>
      <c r="O297" s="6" t="s">
        <v>909</v>
      </c>
      <c r="P297" s="6" t="s">
        <v>85</v>
      </c>
      <c r="Q297" s="6" t="str">
        <f aca="false">IF(P297="pass","No","Yes")</f>
        <v>Yes</v>
      </c>
      <c r="R297" s="6" t="s">
        <v>86</v>
      </c>
      <c r="S297" s="6" t="s">
        <v>1544</v>
      </c>
      <c r="T297" s="6" t="s">
        <v>4973</v>
      </c>
      <c r="U297" s="23" t="n">
        <v>50.259</v>
      </c>
      <c r="V297" s="6" t="s">
        <v>4974</v>
      </c>
      <c r="W297" s="6" t="s">
        <v>4975</v>
      </c>
      <c r="X297" s="6" t="s">
        <v>4976</v>
      </c>
      <c r="Y297" s="6" t="s">
        <v>86</v>
      </c>
      <c r="Z297" s="6" t="n">
        <v>0</v>
      </c>
      <c r="AA297" s="6" t="n">
        <v>0</v>
      </c>
      <c r="AB297" s="6" t="n">
        <v>0</v>
      </c>
      <c r="AC297" s="6" t="n">
        <v>0</v>
      </c>
      <c r="AD297" s="6" t="n">
        <v>0</v>
      </c>
      <c r="AE297" s="6" t="n">
        <v>0</v>
      </c>
      <c r="AF297" s="6" t="n">
        <v>1</v>
      </c>
      <c r="AG297" s="6" t="n">
        <v>0</v>
      </c>
      <c r="AH297" s="6" t="n">
        <v>1</v>
      </c>
      <c r="AI297" s="6" t="s">
        <v>84</v>
      </c>
    </row>
    <row r="298" customFormat="false" ht="15" hidden="false" customHeight="false" outlineLevel="0" collapsed="false">
      <c r="A298" s="6" t="n">
        <v>297</v>
      </c>
      <c r="B298" s="6" t="s">
        <v>4977</v>
      </c>
      <c r="C298" s="6" t="n">
        <v>6</v>
      </c>
      <c r="D298" s="6" t="s">
        <v>137</v>
      </c>
      <c r="E298" s="6" t="s">
        <v>55</v>
      </c>
      <c r="F298" s="6" t="n">
        <v>4</v>
      </c>
      <c r="G298" s="6" t="n">
        <v>144</v>
      </c>
      <c r="H298" s="6" t="s">
        <v>4978</v>
      </c>
      <c r="I298" s="22" t="n">
        <v>1349700</v>
      </c>
      <c r="J298" s="22" t="n">
        <v>6000</v>
      </c>
      <c r="K298" s="22" t="n">
        <v>101677.5</v>
      </c>
      <c r="L298" s="22" t="n">
        <v>1457377.5</v>
      </c>
      <c r="M298" s="6" t="s">
        <v>1009</v>
      </c>
      <c r="N298" s="6" t="s">
        <v>58</v>
      </c>
      <c r="O298" s="6"/>
      <c r="P298" s="6" t="s">
        <v>59</v>
      </c>
      <c r="Q298" s="6" t="str">
        <f aca="false">IF(P298="pass","No","Yes")</f>
        <v>Yes</v>
      </c>
      <c r="R298" s="6" t="s">
        <v>60</v>
      </c>
      <c r="S298" s="6" t="s">
        <v>915</v>
      </c>
      <c r="T298" s="6" t="s">
        <v>4979</v>
      </c>
      <c r="U298" s="23" t="n">
        <v>57.107</v>
      </c>
      <c r="V298" s="6" t="s">
        <v>4980</v>
      </c>
      <c r="W298" s="6" t="s">
        <v>4981</v>
      </c>
      <c r="X298" s="6" t="s">
        <v>4982</v>
      </c>
      <c r="Y298" s="6" t="s">
        <v>60</v>
      </c>
      <c r="Z298" s="6" t="n">
        <v>0</v>
      </c>
      <c r="AA298" s="6" t="n">
        <v>0</v>
      </c>
      <c r="AB298" s="6" t="n">
        <v>0</v>
      </c>
      <c r="AC298" s="6" t="n">
        <v>0</v>
      </c>
      <c r="AD298" s="6" t="n">
        <v>0</v>
      </c>
      <c r="AE298" s="6" t="n">
        <v>0</v>
      </c>
      <c r="AF298" s="6" t="n">
        <v>0</v>
      </c>
      <c r="AG298" s="6" t="n">
        <v>0</v>
      </c>
      <c r="AH298" s="6" t="n">
        <v>1</v>
      </c>
      <c r="AI298" s="6" t="s">
        <v>84</v>
      </c>
    </row>
    <row r="299" customFormat="false" ht="15" hidden="false" customHeight="false" outlineLevel="0" collapsed="false">
      <c r="A299" s="6" t="n">
        <v>298</v>
      </c>
      <c r="B299" s="6" t="s">
        <v>4983</v>
      </c>
      <c r="C299" s="6" t="n">
        <v>6</v>
      </c>
      <c r="D299" s="6" t="s">
        <v>100</v>
      </c>
      <c r="E299" s="6" t="s">
        <v>67</v>
      </c>
      <c r="F299" s="6" t="n">
        <v>2</v>
      </c>
      <c r="G299" s="6" t="n">
        <v>10</v>
      </c>
      <c r="H299" s="6" t="s">
        <v>4984</v>
      </c>
      <c r="I299" s="22" t="n">
        <v>520000</v>
      </c>
      <c r="J299" s="22" t="n">
        <v>4500</v>
      </c>
      <c r="K299" s="22" t="n">
        <v>39337.5</v>
      </c>
      <c r="L299" s="22" t="n">
        <v>563837.5</v>
      </c>
      <c r="M299" s="6" t="s">
        <v>272</v>
      </c>
      <c r="N299" s="6" t="s">
        <v>84</v>
      </c>
      <c r="O299" s="6" t="s">
        <v>879</v>
      </c>
      <c r="P299" s="6" t="s">
        <v>85</v>
      </c>
      <c r="Q299" s="6" t="str">
        <f aca="false">IF(P299="pass","No","Yes")</f>
        <v>Yes</v>
      </c>
      <c r="R299" s="6" t="s">
        <v>86</v>
      </c>
      <c r="S299" s="6" t="s">
        <v>879</v>
      </c>
      <c r="T299" s="6" t="s">
        <v>4985</v>
      </c>
      <c r="U299" s="23" t="n">
        <v>14.414</v>
      </c>
      <c r="V299" s="6" t="s">
        <v>4986</v>
      </c>
      <c r="W299" s="6" t="s">
        <v>4987</v>
      </c>
      <c r="X299" s="6" t="s">
        <v>4988</v>
      </c>
      <c r="Y299" s="6" t="s">
        <v>86</v>
      </c>
      <c r="Z299" s="6" t="n">
        <v>0</v>
      </c>
      <c r="AA299" s="6" t="n">
        <v>1</v>
      </c>
      <c r="AB299" s="6" t="n">
        <v>0</v>
      </c>
      <c r="AC299" s="6" t="n">
        <v>0</v>
      </c>
      <c r="AD299" s="6" t="n">
        <v>0</v>
      </c>
      <c r="AE299" s="6" t="n">
        <v>0</v>
      </c>
      <c r="AF299" s="6" t="n">
        <v>0</v>
      </c>
      <c r="AG299" s="6" t="n">
        <v>0</v>
      </c>
      <c r="AH299" s="6" t="n">
        <v>0</v>
      </c>
      <c r="AI299" s="6" t="s">
        <v>84</v>
      </c>
    </row>
    <row r="300" customFormat="false" ht="15" hidden="false" customHeight="false" outlineLevel="0" collapsed="false">
      <c r="A300" s="6" t="n">
        <v>299</v>
      </c>
      <c r="B300" s="6" t="s">
        <v>4989</v>
      </c>
      <c r="C300" s="6" t="n">
        <v>6</v>
      </c>
      <c r="D300" s="6" t="s">
        <v>70</v>
      </c>
      <c r="E300" s="6" t="s">
        <v>74</v>
      </c>
      <c r="F300" s="6" t="n">
        <v>1</v>
      </c>
      <c r="G300" s="6" t="n">
        <v>2</v>
      </c>
      <c r="H300" s="6" t="s">
        <v>959</v>
      </c>
      <c r="I300" s="22" t="n">
        <v>8200</v>
      </c>
      <c r="J300" s="22" t="n">
        <v>9000</v>
      </c>
      <c r="K300" s="22" t="n">
        <v>1290</v>
      </c>
      <c r="L300" s="22" t="n">
        <v>18490</v>
      </c>
      <c r="M300" s="6" t="s">
        <v>57</v>
      </c>
      <c r="N300" s="6" t="s">
        <v>58</v>
      </c>
      <c r="O300" s="6"/>
      <c r="P300" s="6" t="s">
        <v>69</v>
      </c>
      <c r="Q300" s="6" t="str">
        <f aca="false">IF(P300="pass","No","Yes")</f>
        <v>No</v>
      </c>
      <c r="R300" s="6" t="s">
        <v>60</v>
      </c>
      <c r="S300" s="6"/>
      <c r="T300" s="6"/>
      <c r="U300" s="23" t="n">
        <v>15.552</v>
      </c>
      <c r="V300" s="6" t="s">
        <v>4990</v>
      </c>
      <c r="W300" s="6" t="s">
        <v>4991</v>
      </c>
      <c r="X300" s="6" t="s">
        <v>4992</v>
      </c>
      <c r="Y300" s="6" t="s">
        <v>60</v>
      </c>
      <c r="Z300" s="6" t="n">
        <v>0</v>
      </c>
      <c r="AA300" s="6" t="n">
        <v>0</v>
      </c>
      <c r="AB300" s="6" t="n">
        <v>0</v>
      </c>
      <c r="AC300" s="6" t="n">
        <v>0</v>
      </c>
      <c r="AD300" s="6" t="n">
        <v>0</v>
      </c>
      <c r="AE300" s="6" t="n">
        <v>0</v>
      </c>
      <c r="AF300" s="6" t="n">
        <v>0</v>
      </c>
      <c r="AG300" s="6" t="n">
        <v>0</v>
      </c>
      <c r="AH300" s="6" t="n">
        <v>0</v>
      </c>
      <c r="AI300" s="6" t="s">
        <v>84</v>
      </c>
    </row>
    <row r="301" customFormat="false" ht="15" hidden="false" customHeight="false" outlineLevel="0" collapsed="false">
      <c r="A301" s="6" t="n">
        <v>300</v>
      </c>
      <c r="B301" s="6" t="s">
        <v>4993</v>
      </c>
      <c r="C301" s="6" t="n">
        <v>6</v>
      </c>
      <c r="D301" s="6" t="s">
        <v>77</v>
      </c>
      <c r="E301" s="6" t="s">
        <v>81</v>
      </c>
      <c r="F301" s="6" t="n">
        <v>4</v>
      </c>
      <c r="G301" s="6" t="n">
        <v>264</v>
      </c>
      <c r="H301" s="6" t="s">
        <v>4994</v>
      </c>
      <c r="I301" s="22" t="n">
        <v>2944200</v>
      </c>
      <c r="J301" s="22" t="n">
        <v>4000</v>
      </c>
      <c r="K301" s="22" t="n">
        <v>221115</v>
      </c>
      <c r="L301" s="22" t="n">
        <v>3169315</v>
      </c>
      <c r="M301" s="6" t="s">
        <v>927</v>
      </c>
      <c r="N301" s="6" t="s">
        <v>58</v>
      </c>
      <c r="O301" s="6"/>
      <c r="P301" s="6" t="s">
        <v>59</v>
      </c>
      <c r="Q301" s="6" t="str">
        <f aca="false">IF(P301="pass","No","Yes")</f>
        <v>Yes</v>
      </c>
      <c r="R301" s="6" t="s">
        <v>60</v>
      </c>
      <c r="S301" s="6" t="s">
        <v>915</v>
      </c>
      <c r="T301" s="6" t="s">
        <v>4995</v>
      </c>
      <c r="U301" s="23" t="n">
        <v>72.191</v>
      </c>
      <c r="V301" s="6" t="s">
        <v>4996</v>
      </c>
      <c r="W301" s="6" t="s">
        <v>4997</v>
      </c>
      <c r="X301" s="6" t="s">
        <v>4998</v>
      </c>
      <c r="Y301" s="6" t="s">
        <v>60</v>
      </c>
      <c r="Z301" s="6" t="n">
        <v>0</v>
      </c>
      <c r="AA301" s="6" t="n">
        <v>0</v>
      </c>
      <c r="AB301" s="6" t="n">
        <v>0</v>
      </c>
      <c r="AC301" s="6" t="n">
        <v>0</v>
      </c>
      <c r="AD301" s="6" t="n">
        <v>0</v>
      </c>
      <c r="AE301" s="6" t="n">
        <v>0</v>
      </c>
      <c r="AF301" s="6" t="n">
        <v>0</v>
      </c>
      <c r="AG301" s="6" t="n">
        <v>0</v>
      </c>
      <c r="AH301" s="6" t="n">
        <v>1</v>
      </c>
      <c r="AI301" s="6" t="s">
        <v>84</v>
      </c>
    </row>
    <row r="302" customFormat="false" ht="15" hidden="false" customHeight="false" outlineLevel="0" collapsed="false">
      <c r="A302" s="6" t="n">
        <v>301</v>
      </c>
      <c r="B302" s="6" t="s">
        <v>4999</v>
      </c>
      <c r="C302" s="6" t="n">
        <v>7</v>
      </c>
      <c r="D302" s="6" t="s">
        <v>51</v>
      </c>
      <c r="E302" s="6" t="s">
        <v>55</v>
      </c>
      <c r="F302" s="6" t="n">
        <v>2</v>
      </c>
      <c r="G302" s="6" t="n">
        <v>18</v>
      </c>
      <c r="H302" s="6" t="s">
        <v>5000</v>
      </c>
      <c r="I302" s="22" t="n">
        <v>637000</v>
      </c>
      <c r="J302" s="22" t="n">
        <v>6000</v>
      </c>
      <c r="K302" s="22" t="n">
        <v>48225</v>
      </c>
      <c r="L302" s="22" t="n">
        <v>691225</v>
      </c>
      <c r="M302" s="6" t="s">
        <v>57</v>
      </c>
      <c r="N302" s="6" t="s">
        <v>58</v>
      </c>
      <c r="O302" s="6"/>
      <c r="P302" s="6" t="s">
        <v>69</v>
      </c>
      <c r="Q302" s="6" t="str">
        <f aca="false">IF(P302="pass","No","Yes")</f>
        <v>No</v>
      </c>
      <c r="R302" s="6" t="s">
        <v>60</v>
      </c>
      <c r="S302" s="6"/>
      <c r="T302" s="6"/>
      <c r="U302" s="23" t="n">
        <v>29.15</v>
      </c>
      <c r="V302" s="6" t="s">
        <v>5001</v>
      </c>
      <c r="W302" s="6" t="s">
        <v>5002</v>
      </c>
      <c r="X302" s="6" t="s">
        <v>5003</v>
      </c>
      <c r="Y302" s="6" t="s">
        <v>60</v>
      </c>
      <c r="Z302" s="6" t="n">
        <v>0</v>
      </c>
      <c r="AA302" s="6" t="n">
        <v>0</v>
      </c>
      <c r="AB302" s="6" t="n">
        <v>0</v>
      </c>
      <c r="AC302" s="6" t="n">
        <v>0</v>
      </c>
      <c r="AD302" s="6" t="n">
        <v>0</v>
      </c>
      <c r="AE302" s="6" t="n">
        <v>0</v>
      </c>
      <c r="AF302" s="6" t="n">
        <v>0</v>
      </c>
      <c r="AG302" s="6" t="n">
        <v>0</v>
      </c>
      <c r="AH302" s="6" t="n">
        <v>0</v>
      </c>
      <c r="AI302" s="6" t="s">
        <v>84</v>
      </c>
    </row>
    <row r="303" customFormat="false" ht="15" hidden="false" customHeight="false" outlineLevel="0" collapsed="false">
      <c r="A303" s="6" t="n">
        <v>302</v>
      </c>
      <c r="B303" s="6" t="s">
        <v>5004</v>
      </c>
      <c r="C303" s="6" t="n">
        <v>7</v>
      </c>
      <c r="D303" s="6" t="s">
        <v>51</v>
      </c>
      <c r="E303" s="6" t="s">
        <v>55</v>
      </c>
      <c r="F303" s="6" t="n">
        <v>1</v>
      </c>
      <c r="G303" s="6" t="n">
        <v>35</v>
      </c>
      <c r="H303" s="6" t="s">
        <v>5005</v>
      </c>
      <c r="I303" s="22" t="n">
        <v>301000</v>
      </c>
      <c r="J303" s="22" t="n">
        <v>6000</v>
      </c>
      <c r="K303" s="22" t="n">
        <v>23025</v>
      </c>
      <c r="L303" s="22" t="n">
        <v>330025</v>
      </c>
      <c r="M303" s="6" t="s">
        <v>57</v>
      </c>
      <c r="N303" s="6" t="s">
        <v>58</v>
      </c>
      <c r="O303" s="6"/>
      <c r="P303" s="6" t="s">
        <v>69</v>
      </c>
      <c r="Q303" s="6" t="str">
        <f aca="false">IF(P303="pass","No","Yes")</f>
        <v>No</v>
      </c>
      <c r="R303" s="6" t="s">
        <v>60</v>
      </c>
      <c r="S303" s="6"/>
      <c r="T303" s="6"/>
      <c r="U303" s="23" t="n">
        <v>17.983</v>
      </c>
      <c r="V303" s="6" t="s">
        <v>5006</v>
      </c>
      <c r="W303" s="6" t="s">
        <v>5007</v>
      </c>
      <c r="X303" s="6" t="s">
        <v>5008</v>
      </c>
      <c r="Y303" s="6" t="s">
        <v>60</v>
      </c>
      <c r="Z303" s="6" t="n">
        <v>0</v>
      </c>
      <c r="AA303" s="6" t="n">
        <v>0</v>
      </c>
      <c r="AB303" s="6" t="n">
        <v>0</v>
      </c>
      <c r="AC303" s="6" t="n">
        <v>0</v>
      </c>
      <c r="AD303" s="6" t="n">
        <v>0</v>
      </c>
      <c r="AE303" s="6" t="n">
        <v>0</v>
      </c>
      <c r="AF303" s="6" t="n">
        <v>0</v>
      </c>
      <c r="AG303" s="6" t="n">
        <v>0</v>
      </c>
      <c r="AH303" s="6" t="n">
        <v>0</v>
      </c>
      <c r="AI303" s="6" t="s">
        <v>84</v>
      </c>
    </row>
    <row r="304" customFormat="false" ht="15" hidden="false" customHeight="false" outlineLevel="0" collapsed="false">
      <c r="A304" s="6" t="n">
        <v>303</v>
      </c>
      <c r="B304" s="6" t="s">
        <v>5009</v>
      </c>
      <c r="C304" s="6" t="n">
        <v>7</v>
      </c>
      <c r="D304" s="6" t="s">
        <v>70</v>
      </c>
      <c r="E304" s="6" t="s">
        <v>74</v>
      </c>
      <c r="F304" s="6" t="n">
        <v>4</v>
      </c>
      <c r="G304" s="6" t="n">
        <v>430</v>
      </c>
      <c r="H304" s="6" t="s">
        <v>5010</v>
      </c>
      <c r="I304" s="22" t="n">
        <v>4921300</v>
      </c>
      <c r="J304" s="22" t="n">
        <v>9000</v>
      </c>
      <c r="K304" s="22" t="n">
        <v>369772.5</v>
      </c>
      <c r="L304" s="22" t="n">
        <v>5300072.5</v>
      </c>
      <c r="M304" s="6" t="s">
        <v>171</v>
      </c>
      <c r="N304" s="6" t="s">
        <v>84</v>
      </c>
      <c r="O304" s="6" t="s">
        <v>892</v>
      </c>
      <c r="P304" s="6" t="s">
        <v>85</v>
      </c>
      <c r="Q304" s="6" t="str">
        <f aca="false">IF(P304="pass","No","Yes")</f>
        <v>Yes</v>
      </c>
      <c r="R304" s="6" t="s">
        <v>86</v>
      </c>
      <c r="S304" s="6" t="s">
        <v>892</v>
      </c>
      <c r="T304" s="6" t="s">
        <v>368</v>
      </c>
      <c r="U304" s="23" t="n">
        <v>47.041</v>
      </c>
      <c r="V304" s="6" t="s">
        <v>5011</v>
      </c>
      <c r="W304" s="6" t="s">
        <v>5012</v>
      </c>
      <c r="X304" s="6" t="s">
        <v>5013</v>
      </c>
      <c r="Y304" s="6" t="s">
        <v>86</v>
      </c>
      <c r="Z304" s="6" t="n">
        <v>0</v>
      </c>
      <c r="AA304" s="6" t="n">
        <v>0</v>
      </c>
      <c r="AB304" s="6" t="n">
        <v>0</v>
      </c>
      <c r="AC304" s="6" t="n">
        <v>1</v>
      </c>
      <c r="AD304" s="6" t="n">
        <v>0</v>
      </c>
      <c r="AE304" s="6" t="n">
        <v>0</v>
      </c>
      <c r="AF304" s="6" t="n">
        <v>0</v>
      </c>
      <c r="AG304" s="6" t="n">
        <v>0</v>
      </c>
      <c r="AH304" s="6" t="n">
        <v>0</v>
      </c>
      <c r="AI304" s="6" t="s">
        <v>84</v>
      </c>
    </row>
    <row r="305" customFormat="false" ht="15" hidden="false" customHeight="false" outlineLevel="0" collapsed="false">
      <c r="A305" s="6" t="n">
        <v>304</v>
      </c>
      <c r="B305" s="6" t="s">
        <v>5014</v>
      </c>
      <c r="C305" s="6" t="n">
        <v>7</v>
      </c>
      <c r="D305" s="6" t="s">
        <v>198</v>
      </c>
      <c r="E305" s="6" t="s">
        <v>81</v>
      </c>
      <c r="F305" s="6" t="n">
        <v>3</v>
      </c>
      <c r="G305" s="6" t="n">
        <v>158</v>
      </c>
      <c r="H305" s="6" t="s">
        <v>5015</v>
      </c>
      <c r="I305" s="22" t="n">
        <v>1463800</v>
      </c>
      <c r="J305" s="22" t="n">
        <v>4000</v>
      </c>
      <c r="K305" s="22" t="n">
        <v>110085</v>
      </c>
      <c r="L305" s="22" t="n">
        <v>1577885</v>
      </c>
      <c r="M305" s="6" t="s">
        <v>57</v>
      </c>
      <c r="N305" s="6" t="s">
        <v>58</v>
      </c>
      <c r="O305" s="6"/>
      <c r="P305" s="6" t="s">
        <v>69</v>
      </c>
      <c r="Q305" s="6" t="str">
        <f aca="false">IF(P305="pass","No","Yes")</f>
        <v>No</v>
      </c>
      <c r="R305" s="6" t="s">
        <v>60</v>
      </c>
      <c r="S305" s="6"/>
      <c r="T305" s="6"/>
      <c r="U305" s="23" t="n">
        <v>49.678</v>
      </c>
      <c r="V305" s="6" t="s">
        <v>5016</v>
      </c>
      <c r="W305" s="6" t="s">
        <v>5017</v>
      </c>
      <c r="X305" s="6" t="s">
        <v>5018</v>
      </c>
      <c r="Y305" s="6" t="s">
        <v>60</v>
      </c>
      <c r="Z305" s="6" t="n">
        <v>0</v>
      </c>
      <c r="AA305" s="6" t="n">
        <v>0</v>
      </c>
      <c r="AB305" s="6" t="n">
        <v>0</v>
      </c>
      <c r="AC305" s="6" t="n">
        <v>0</v>
      </c>
      <c r="AD305" s="6" t="n">
        <v>0</v>
      </c>
      <c r="AE305" s="6" t="n">
        <v>0</v>
      </c>
      <c r="AF305" s="6" t="n">
        <v>0</v>
      </c>
      <c r="AG305" s="6" t="n">
        <v>0</v>
      </c>
      <c r="AH305" s="6" t="n">
        <v>0</v>
      </c>
      <c r="AI305" s="6" t="s">
        <v>84</v>
      </c>
    </row>
    <row r="306" customFormat="false" ht="15" hidden="false" customHeight="false" outlineLevel="0" collapsed="false">
      <c r="A306" s="6" t="n">
        <v>305</v>
      </c>
      <c r="B306" s="6" t="s">
        <v>5019</v>
      </c>
      <c r="C306" s="6" t="n">
        <v>7</v>
      </c>
      <c r="D306" s="6" t="s">
        <v>154</v>
      </c>
      <c r="E306" s="6" t="s">
        <v>123</v>
      </c>
      <c r="F306" s="6" t="n">
        <v>3</v>
      </c>
      <c r="G306" s="6" t="n">
        <v>510</v>
      </c>
      <c r="H306" s="6" t="s">
        <v>5020</v>
      </c>
      <c r="I306" s="22" t="n">
        <v>2354100</v>
      </c>
      <c r="J306" s="22" t="n">
        <v>5000</v>
      </c>
      <c r="K306" s="22" t="n">
        <v>176932.5</v>
      </c>
      <c r="L306" s="22" t="n">
        <v>2536032.5</v>
      </c>
      <c r="M306" s="6" t="s">
        <v>159</v>
      </c>
      <c r="N306" s="6" t="s">
        <v>84</v>
      </c>
      <c r="O306" s="6" t="s">
        <v>886</v>
      </c>
      <c r="P306" s="6" t="s">
        <v>85</v>
      </c>
      <c r="Q306" s="6" t="str">
        <f aca="false">IF(P306="pass","No","Yes")</f>
        <v>Yes</v>
      </c>
      <c r="R306" s="6" t="s">
        <v>86</v>
      </c>
      <c r="S306" s="6" t="s">
        <v>992</v>
      </c>
      <c r="T306" s="6" t="s">
        <v>5021</v>
      </c>
      <c r="U306" s="23" t="n">
        <v>39.506</v>
      </c>
      <c r="V306" s="6" t="s">
        <v>5022</v>
      </c>
      <c r="W306" s="6" t="s">
        <v>5023</v>
      </c>
      <c r="X306" s="6" t="s">
        <v>5024</v>
      </c>
      <c r="Y306" s="6" t="s">
        <v>86</v>
      </c>
      <c r="Z306" s="6" t="n">
        <v>0</v>
      </c>
      <c r="AA306" s="6" t="n">
        <v>0</v>
      </c>
      <c r="AB306" s="6" t="n">
        <v>1</v>
      </c>
      <c r="AC306" s="6" t="n">
        <v>1</v>
      </c>
      <c r="AD306" s="6" t="n">
        <v>0</v>
      </c>
      <c r="AE306" s="6" t="n">
        <v>0</v>
      </c>
      <c r="AF306" s="6" t="n">
        <v>0</v>
      </c>
      <c r="AG306" s="6" t="n">
        <v>0</v>
      </c>
      <c r="AH306" s="6" t="n">
        <v>1</v>
      </c>
      <c r="AI306" s="6" t="s">
        <v>84</v>
      </c>
    </row>
    <row r="307" customFormat="false" ht="15" hidden="false" customHeight="false" outlineLevel="0" collapsed="false">
      <c r="A307" s="6" t="n">
        <v>306</v>
      </c>
      <c r="B307" s="6" t="s">
        <v>5025</v>
      </c>
      <c r="C307" s="6" t="n">
        <v>7</v>
      </c>
      <c r="D307" s="6" t="s">
        <v>213</v>
      </c>
      <c r="E307" s="6" t="s">
        <v>67</v>
      </c>
      <c r="F307" s="6" t="n">
        <v>2</v>
      </c>
      <c r="G307" s="6" t="n">
        <v>15</v>
      </c>
      <c r="H307" s="6" t="s">
        <v>5026</v>
      </c>
      <c r="I307" s="22" t="n">
        <v>619000</v>
      </c>
      <c r="J307" s="22" t="n">
        <v>4500</v>
      </c>
      <c r="K307" s="22" t="n">
        <v>46762.5</v>
      </c>
      <c r="L307" s="22" t="n">
        <v>670262.5</v>
      </c>
      <c r="M307" s="6" t="s">
        <v>132</v>
      </c>
      <c r="N307" s="6" t="s">
        <v>84</v>
      </c>
      <c r="O307" s="6" t="s">
        <v>879</v>
      </c>
      <c r="P307" s="6" t="s">
        <v>85</v>
      </c>
      <c r="Q307" s="6" t="str">
        <f aca="false">IF(P307="pass","No","Yes")</f>
        <v>Yes</v>
      </c>
      <c r="R307" s="6" t="s">
        <v>86</v>
      </c>
      <c r="S307" s="6" t="s">
        <v>880</v>
      </c>
      <c r="T307" s="6" t="s">
        <v>134</v>
      </c>
      <c r="U307" s="23" t="n">
        <v>19.09</v>
      </c>
      <c r="V307" s="6" t="s">
        <v>5027</v>
      </c>
      <c r="W307" s="6" t="s">
        <v>5028</v>
      </c>
      <c r="X307" s="6" t="s">
        <v>5029</v>
      </c>
      <c r="Y307" s="6" t="s">
        <v>86</v>
      </c>
      <c r="Z307" s="6" t="n">
        <v>0</v>
      </c>
      <c r="AA307" s="6" t="n">
        <v>1</v>
      </c>
      <c r="AB307" s="6" t="n">
        <v>0</v>
      </c>
      <c r="AC307" s="6" t="n">
        <v>1</v>
      </c>
      <c r="AD307" s="6" t="n">
        <v>0</v>
      </c>
      <c r="AE307" s="6" t="n">
        <v>0</v>
      </c>
      <c r="AF307" s="6" t="n">
        <v>0</v>
      </c>
      <c r="AG307" s="6" t="n">
        <v>0</v>
      </c>
      <c r="AH307" s="6" t="n">
        <v>0</v>
      </c>
      <c r="AI307" s="6" t="s">
        <v>84</v>
      </c>
    </row>
    <row r="308" customFormat="false" ht="15" hidden="false" customHeight="false" outlineLevel="0" collapsed="false">
      <c r="A308" s="6" t="n">
        <v>307</v>
      </c>
      <c r="B308" s="6" t="s">
        <v>5030</v>
      </c>
      <c r="C308" s="6" t="n">
        <v>7</v>
      </c>
      <c r="D308" s="6" t="s">
        <v>112</v>
      </c>
      <c r="E308" s="6" t="s">
        <v>116</v>
      </c>
      <c r="F308" s="6" t="n">
        <v>2</v>
      </c>
      <c r="G308" s="6" t="n">
        <v>15</v>
      </c>
      <c r="H308" s="6" t="s">
        <v>5031</v>
      </c>
      <c r="I308" s="22" t="n">
        <v>549000</v>
      </c>
      <c r="J308" s="22" t="n">
        <v>15000</v>
      </c>
      <c r="K308" s="22" t="n">
        <v>42300</v>
      </c>
      <c r="L308" s="22" t="n">
        <v>606300</v>
      </c>
      <c r="M308" s="6" t="s">
        <v>57</v>
      </c>
      <c r="N308" s="6" t="s">
        <v>58</v>
      </c>
      <c r="O308" s="6"/>
      <c r="P308" s="6" t="s">
        <v>69</v>
      </c>
      <c r="Q308" s="6" t="str">
        <f aca="false">IF(P308="pass","No","Yes")</f>
        <v>No</v>
      </c>
      <c r="R308" s="6" t="s">
        <v>60</v>
      </c>
      <c r="S308" s="6"/>
      <c r="T308" s="6"/>
      <c r="U308" s="23" t="n">
        <v>26.926</v>
      </c>
      <c r="V308" s="6" t="s">
        <v>5032</v>
      </c>
      <c r="W308" s="6" t="s">
        <v>5033</v>
      </c>
      <c r="X308" s="6" t="s">
        <v>5034</v>
      </c>
      <c r="Y308" s="6" t="s">
        <v>60</v>
      </c>
      <c r="Z308" s="6" t="n">
        <v>0</v>
      </c>
      <c r="AA308" s="6" t="n">
        <v>0</v>
      </c>
      <c r="AB308" s="6" t="n">
        <v>0</v>
      </c>
      <c r="AC308" s="6" t="n">
        <v>0</v>
      </c>
      <c r="AD308" s="6" t="n">
        <v>0</v>
      </c>
      <c r="AE308" s="6" t="n">
        <v>0</v>
      </c>
      <c r="AF308" s="6" t="n">
        <v>0</v>
      </c>
      <c r="AG308" s="6" t="n">
        <v>0</v>
      </c>
      <c r="AH308" s="6" t="n">
        <v>0</v>
      </c>
      <c r="AI308" s="6" t="s">
        <v>84</v>
      </c>
    </row>
    <row r="309" customFormat="false" ht="15" hidden="false" customHeight="false" outlineLevel="0" collapsed="false">
      <c r="A309" s="6" t="n">
        <v>308</v>
      </c>
      <c r="B309" s="6" t="s">
        <v>5035</v>
      </c>
      <c r="C309" s="6" t="n">
        <v>7</v>
      </c>
      <c r="D309" s="6" t="s">
        <v>51</v>
      </c>
      <c r="E309" s="6" t="s">
        <v>55</v>
      </c>
      <c r="F309" s="6" t="n">
        <v>3</v>
      </c>
      <c r="G309" s="6" t="n">
        <v>148</v>
      </c>
      <c r="H309" s="6" t="s">
        <v>5036</v>
      </c>
      <c r="I309" s="22" t="n">
        <v>1367400</v>
      </c>
      <c r="J309" s="22" t="n">
        <v>6000</v>
      </c>
      <c r="K309" s="22" t="n">
        <v>103005</v>
      </c>
      <c r="L309" s="22" t="n">
        <v>1476405</v>
      </c>
      <c r="M309" s="6" t="s">
        <v>57</v>
      </c>
      <c r="N309" s="6" t="s">
        <v>58</v>
      </c>
      <c r="O309" s="6"/>
      <c r="P309" s="6" t="s">
        <v>59</v>
      </c>
      <c r="Q309" s="6" t="str">
        <f aca="false">IF(P309="pass","No","Yes")</f>
        <v>Yes</v>
      </c>
      <c r="R309" s="6" t="s">
        <v>60</v>
      </c>
      <c r="S309" s="6" t="s">
        <v>915</v>
      </c>
      <c r="T309" s="6" t="s">
        <v>5037</v>
      </c>
      <c r="U309" s="23" t="n">
        <v>47.903</v>
      </c>
      <c r="V309" s="6" t="s">
        <v>5038</v>
      </c>
      <c r="W309" s="6" t="s">
        <v>5039</v>
      </c>
      <c r="X309" s="6" t="s">
        <v>5040</v>
      </c>
      <c r="Y309" s="6" t="s">
        <v>60</v>
      </c>
      <c r="Z309" s="6" t="n">
        <v>0</v>
      </c>
      <c r="AA309" s="6" t="n">
        <v>0</v>
      </c>
      <c r="AB309" s="6" t="n">
        <v>0</v>
      </c>
      <c r="AC309" s="6" t="n">
        <v>0</v>
      </c>
      <c r="AD309" s="6" t="n">
        <v>0</v>
      </c>
      <c r="AE309" s="6" t="n">
        <v>0</v>
      </c>
      <c r="AF309" s="6" t="n">
        <v>0</v>
      </c>
      <c r="AG309" s="6" t="n">
        <v>0</v>
      </c>
      <c r="AH309" s="6" t="n">
        <v>1</v>
      </c>
      <c r="AI309" s="6" t="s">
        <v>84</v>
      </c>
    </row>
    <row r="310" customFormat="false" ht="15" hidden="false" customHeight="false" outlineLevel="0" collapsed="false">
      <c r="A310" s="6" t="n">
        <v>309</v>
      </c>
      <c r="B310" s="6" t="s">
        <v>5041</v>
      </c>
      <c r="C310" s="6" t="n">
        <v>7</v>
      </c>
      <c r="D310" s="6" t="s">
        <v>119</v>
      </c>
      <c r="E310" s="6" t="s">
        <v>123</v>
      </c>
      <c r="F310" s="6" t="n">
        <v>3</v>
      </c>
      <c r="G310" s="6" t="n">
        <v>46</v>
      </c>
      <c r="H310" s="6" t="s">
        <v>5042</v>
      </c>
      <c r="I310" s="22" t="n">
        <v>718500</v>
      </c>
      <c r="J310" s="22" t="n">
        <v>5000</v>
      </c>
      <c r="K310" s="22" t="n">
        <v>54262.5</v>
      </c>
      <c r="L310" s="22" t="n">
        <v>777762.5</v>
      </c>
      <c r="M310" s="6" t="s">
        <v>83</v>
      </c>
      <c r="N310" s="6" t="s">
        <v>84</v>
      </c>
      <c r="O310" s="6" t="s">
        <v>886</v>
      </c>
      <c r="P310" s="6" t="s">
        <v>85</v>
      </c>
      <c r="Q310" s="6" t="str">
        <f aca="false">IF(P310="pass","No","Yes")</f>
        <v>Yes</v>
      </c>
      <c r="R310" s="6" t="s">
        <v>86</v>
      </c>
      <c r="S310" s="6" t="s">
        <v>886</v>
      </c>
      <c r="T310" s="6" t="s">
        <v>438</v>
      </c>
      <c r="U310" s="23" t="n">
        <v>35.558</v>
      </c>
      <c r="V310" s="6" t="s">
        <v>5043</v>
      </c>
      <c r="W310" s="6" t="s">
        <v>5044</v>
      </c>
      <c r="X310" s="6" t="s">
        <v>5045</v>
      </c>
      <c r="Y310" s="6" t="s">
        <v>86</v>
      </c>
      <c r="Z310" s="6" t="n">
        <v>0</v>
      </c>
      <c r="AA310" s="6" t="n">
        <v>0</v>
      </c>
      <c r="AB310" s="6" t="n">
        <v>1</v>
      </c>
      <c r="AC310" s="6" t="n">
        <v>0</v>
      </c>
      <c r="AD310" s="6" t="n">
        <v>0</v>
      </c>
      <c r="AE310" s="6" t="n">
        <v>0</v>
      </c>
      <c r="AF310" s="6" t="n">
        <v>0</v>
      </c>
      <c r="AG310" s="6" t="n">
        <v>0</v>
      </c>
      <c r="AH310" s="6" t="n">
        <v>0</v>
      </c>
      <c r="AI310" s="6" t="s">
        <v>84</v>
      </c>
    </row>
    <row r="311" customFormat="false" ht="15" hidden="false" customHeight="false" outlineLevel="0" collapsed="false">
      <c r="A311" s="6" t="n">
        <v>310</v>
      </c>
      <c r="B311" s="6" t="s">
        <v>5046</v>
      </c>
      <c r="C311" s="6" t="n">
        <v>7</v>
      </c>
      <c r="D311" s="6" t="s">
        <v>51</v>
      </c>
      <c r="E311" s="6" t="s">
        <v>146</v>
      </c>
      <c r="F311" s="6" t="n">
        <v>3</v>
      </c>
      <c r="G311" s="6" t="n">
        <v>164</v>
      </c>
      <c r="H311" s="6" t="s">
        <v>5047</v>
      </c>
      <c r="I311" s="22" t="n">
        <v>2209500</v>
      </c>
      <c r="J311" s="22" t="n">
        <v>0</v>
      </c>
      <c r="K311" s="22" t="n">
        <v>165712.5</v>
      </c>
      <c r="L311" s="22" t="n">
        <v>2375212.5</v>
      </c>
      <c r="M311" s="6" t="s">
        <v>148</v>
      </c>
      <c r="N311" s="6" t="s">
        <v>84</v>
      </c>
      <c r="O311" s="6" t="s">
        <v>866</v>
      </c>
      <c r="P311" s="6" t="s">
        <v>85</v>
      </c>
      <c r="Q311" s="6" t="str">
        <f aca="false">IF(P311="pass","No","Yes")</f>
        <v>Yes</v>
      </c>
      <c r="R311" s="6" t="s">
        <v>86</v>
      </c>
      <c r="S311" s="6" t="s">
        <v>866</v>
      </c>
      <c r="T311" s="6" t="s">
        <v>150</v>
      </c>
      <c r="U311" s="23" t="n">
        <v>51.309</v>
      </c>
      <c r="V311" s="6" t="s">
        <v>5048</v>
      </c>
      <c r="W311" s="6" t="s">
        <v>5049</v>
      </c>
      <c r="X311" s="6" t="s">
        <v>5050</v>
      </c>
      <c r="Y311" s="6" t="s">
        <v>86</v>
      </c>
      <c r="Z311" s="6" t="n">
        <v>1</v>
      </c>
      <c r="AA311" s="6" t="n">
        <v>0</v>
      </c>
      <c r="AB311" s="6" t="n">
        <v>0</v>
      </c>
      <c r="AC311" s="6" t="n">
        <v>0</v>
      </c>
      <c r="AD311" s="6" t="n">
        <v>0</v>
      </c>
      <c r="AE311" s="6" t="n">
        <v>0</v>
      </c>
      <c r="AF311" s="6" t="n">
        <v>0</v>
      </c>
      <c r="AG311" s="6" t="n">
        <v>0</v>
      </c>
      <c r="AH311" s="6" t="n">
        <v>0</v>
      </c>
      <c r="AI311" s="6" t="s">
        <v>84</v>
      </c>
    </row>
    <row r="312" customFormat="false" ht="15" hidden="false" customHeight="false" outlineLevel="0" collapsed="false">
      <c r="A312" s="6" t="n">
        <v>311</v>
      </c>
      <c r="B312" s="6" t="s">
        <v>5051</v>
      </c>
      <c r="C312" s="6" t="n">
        <v>7</v>
      </c>
      <c r="D312" s="6" t="s">
        <v>63</v>
      </c>
      <c r="E312" s="6" t="s">
        <v>146</v>
      </c>
      <c r="F312" s="6" t="n">
        <v>1</v>
      </c>
      <c r="G312" s="6" t="n">
        <v>49</v>
      </c>
      <c r="H312" s="6" t="s">
        <v>5052</v>
      </c>
      <c r="I312" s="22" t="n">
        <v>578200</v>
      </c>
      <c r="J312" s="22" t="n">
        <v>0</v>
      </c>
      <c r="K312" s="22" t="n">
        <v>43365</v>
      </c>
      <c r="L312" s="22" t="n">
        <v>621565</v>
      </c>
      <c r="M312" s="6" t="s">
        <v>148</v>
      </c>
      <c r="N312" s="6" t="s">
        <v>84</v>
      </c>
      <c r="O312" s="6" t="s">
        <v>866</v>
      </c>
      <c r="P312" s="6" t="s">
        <v>85</v>
      </c>
      <c r="Q312" s="6" t="str">
        <f aca="false">IF(P312="pass","No","Yes")</f>
        <v>Yes</v>
      </c>
      <c r="R312" s="6" t="s">
        <v>86</v>
      </c>
      <c r="S312" s="6" t="s">
        <v>866</v>
      </c>
      <c r="T312" s="6" t="s">
        <v>150</v>
      </c>
      <c r="U312" s="23" t="n">
        <v>15.942</v>
      </c>
      <c r="V312" s="6" t="s">
        <v>5053</v>
      </c>
      <c r="W312" s="6" t="s">
        <v>5054</v>
      </c>
      <c r="X312" s="6" t="s">
        <v>5055</v>
      </c>
      <c r="Y312" s="6" t="s">
        <v>86</v>
      </c>
      <c r="Z312" s="6" t="n">
        <v>1</v>
      </c>
      <c r="AA312" s="6" t="n">
        <v>0</v>
      </c>
      <c r="AB312" s="6" t="n">
        <v>0</v>
      </c>
      <c r="AC312" s="6" t="n">
        <v>0</v>
      </c>
      <c r="AD312" s="6" t="n">
        <v>0</v>
      </c>
      <c r="AE312" s="6" t="n">
        <v>0</v>
      </c>
      <c r="AF312" s="6" t="n">
        <v>0</v>
      </c>
      <c r="AG312" s="6" t="n">
        <v>0</v>
      </c>
      <c r="AH312" s="6" t="n">
        <v>0</v>
      </c>
      <c r="AI312" s="6" t="s">
        <v>84</v>
      </c>
    </row>
    <row r="313" customFormat="false" ht="15" hidden="false" customHeight="false" outlineLevel="0" collapsed="false">
      <c r="A313" s="6" t="n">
        <v>312</v>
      </c>
      <c r="B313" s="6" t="s">
        <v>5056</v>
      </c>
      <c r="C313" s="6" t="n">
        <v>7</v>
      </c>
      <c r="D313" s="6" t="s">
        <v>105</v>
      </c>
      <c r="E313" s="6" t="s">
        <v>81</v>
      </c>
      <c r="F313" s="6" t="n">
        <v>1</v>
      </c>
      <c r="G313" s="6" t="n">
        <v>73</v>
      </c>
      <c r="H313" s="6" t="s">
        <v>5057</v>
      </c>
      <c r="I313" s="22" t="n">
        <v>693500</v>
      </c>
      <c r="J313" s="22" t="n">
        <v>4000</v>
      </c>
      <c r="K313" s="22" t="n">
        <v>52312.5</v>
      </c>
      <c r="L313" s="22" t="n">
        <v>749812.5</v>
      </c>
      <c r="M313" s="6" t="s">
        <v>984</v>
      </c>
      <c r="N313" s="6" t="s">
        <v>84</v>
      </c>
      <c r="O313" s="6" t="s">
        <v>985</v>
      </c>
      <c r="P313" s="6" t="s">
        <v>85</v>
      </c>
      <c r="Q313" s="6" t="str">
        <f aca="false">IF(P313="pass","No","Yes")</f>
        <v>Yes</v>
      </c>
      <c r="R313" s="6" t="s">
        <v>86</v>
      </c>
      <c r="S313" s="6" t="s">
        <v>985</v>
      </c>
      <c r="T313" s="6" t="s">
        <v>986</v>
      </c>
      <c r="U313" s="23" t="n">
        <v>28.996</v>
      </c>
      <c r="V313" s="6" t="s">
        <v>5058</v>
      </c>
      <c r="W313" s="6" t="s">
        <v>5059</v>
      </c>
      <c r="X313" s="6" t="s">
        <v>5060</v>
      </c>
      <c r="Y313" s="6" t="s">
        <v>86</v>
      </c>
      <c r="Z313" s="6" t="n">
        <v>0</v>
      </c>
      <c r="AA313" s="6" t="n">
        <v>0</v>
      </c>
      <c r="AB313" s="6" t="n">
        <v>0</v>
      </c>
      <c r="AC313" s="6" t="n">
        <v>0</v>
      </c>
      <c r="AD313" s="6" t="n">
        <v>0</v>
      </c>
      <c r="AE313" s="6" t="n">
        <v>1</v>
      </c>
      <c r="AF313" s="6" t="n">
        <v>0</v>
      </c>
      <c r="AG313" s="6" t="n">
        <v>0</v>
      </c>
      <c r="AH313" s="6" t="n">
        <v>0</v>
      </c>
      <c r="AI313" s="6" t="s">
        <v>84</v>
      </c>
    </row>
    <row r="314" customFormat="false" ht="15" hidden="false" customHeight="false" outlineLevel="0" collapsed="false">
      <c r="A314" s="6" t="n">
        <v>313</v>
      </c>
      <c r="B314" s="6" t="s">
        <v>5061</v>
      </c>
      <c r="C314" s="6" t="n">
        <v>7</v>
      </c>
      <c r="D314" s="6" t="s">
        <v>63</v>
      </c>
      <c r="E314" s="6" t="s">
        <v>67</v>
      </c>
      <c r="F314" s="6" t="n">
        <v>3</v>
      </c>
      <c r="G314" s="6" t="n">
        <v>145</v>
      </c>
      <c r="H314" s="6" t="s">
        <v>5062</v>
      </c>
      <c r="I314" s="22" t="n">
        <v>1712500</v>
      </c>
      <c r="J314" s="22" t="n">
        <v>4500</v>
      </c>
      <c r="K314" s="22" t="n">
        <v>128775</v>
      </c>
      <c r="L314" s="22" t="n">
        <v>1845775</v>
      </c>
      <c r="M314" s="6" t="s">
        <v>57</v>
      </c>
      <c r="N314" s="6" t="s">
        <v>58</v>
      </c>
      <c r="O314" s="6"/>
      <c r="P314" s="6" t="s">
        <v>59</v>
      </c>
      <c r="Q314" s="6" t="str">
        <f aca="false">IF(P314="pass","No","Yes")</f>
        <v>Yes</v>
      </c>
      <c r="R314" s="6" t="s">
        <v>60</v>
      </c>
      <c r="S314" s="6" t="s">
        <v>915</v>
      </c>
      <c r="T314" s="6" t="s">
        <v>5063</v>
      </c>
      <c r="U314" s="23" t="n">
        <v>52.818</v>
      </c>
      <c r="V314" s="6" t="s">
        <v>5064</v>
      </c>
      <c r="W314" s="6" t="s">
        <v>5065</v>
      </c>
      <c r="X314" s="6" t="s">
        <v>5066</v>
      </c>
      <c r="Y314" s="6" t="s">
        <v>60</v>
      </c>
      <c r="Z314" s="6" t="n">
        <v>0</v>
      </c>
      <c r="AA314" s="6" t="n">
        <v>0</v>
      </c>
      <c r="AB314" s="6" t="n">
        <v>0</v>
      </c>
      <c r="AC314" s="6" t="n">
        <v>0</v>
      </c>
      <c r="AD314" s="6" t="n">
        <v>0</v>
      </c>
      <c r="AE314" s="6" t="n">
        <v>0</v>
      </c>
      <c r="AF314" s="6" t="n">
        <v>0</v>
      </c>
      <c r="AG314" s="6" t="n">
        <v>0</v>
      </c>
      <c r="AH314" s="6" t="n">
        <v>1</v>
      </c>
      <c r="AI314" s="6" t="s">
        <v>84</v>
      </c>
    </row>
    <row r="315" customFormat="false" ht="15" hidden="false" customHeight="false" outlineLevel="0" collapsed="false">
      <c r="A315" s="6" t="n">
        <v>314</v>
      </c>
      <c r="B315" s="6" t="s">
        <v>5067</v>
      </c>
      <c r="C315" s="6" t="n">
        <v>7</v>
      </c>
      <c r="D315" s="6" t="s">
        <v>89</v>
      </c>
      <c r="E315" s="6" t="s">
        <v>67</v>
      </c>
      <c r="F315" s="6" t="n">
        <v>1</v>
      </c>
      <c r="G315" s="6" t="n">
        <v>4</v>
      </c>
      <c r="H315" s="6" t="s">
        <v>3654</v>
      </c>
      <c r="I315" s="22" t="n">
        <v>124000</v>
      </c>
      <c r="J315" s="22" t="n">
        <v>4500</v>
      </c>
      <c r="K315" s="22" t="n">
        <v>9637.5</v>
      </c>
      <c r="L315" s="22" t="n">
        <v>138137.5</v>
      </c>
      <c r="M315" s="6" t="s">
        <v>57</v>
      </c>
      <c r="N315" s="6" t="s">
        <v>58</v>
      </c>
      <c r="O315" s="6"/>
      <c r="P315" s="6" t="s">
        <v>69</v>
      </c>
      <c r="Q315" s="6" t="str">
        <f aca="false">IF(P315="pass","No","Yes")</f>
        <v>No</v>
      </c>
      <c r="R315" s="6" t="s">
        <v>60</v>
      </c>
      <c r="S315" s="6"/>
      <c r="T315" s="6"/>
      <c r="U315" s="23" t="n">
        <v>18.298</v>
      </c>
      <c r="V315" s="6" t="s">
        <v>5068</v>
      </c>
      <c r="W315" s="6" t="s">
        <v>5069</v>
      </c>
      <c r="X315" s="6" t="s">
        <v>5070</v>
      </c>
      <c r="Y315" s="6" t="s">
        <v>60</v>
      </c>
      <c r="Z315" s="6" t="n">
        <v>0</v>
      </c>
      <c r="AA315" s="6" t="n">
        <v>0</v>
      </c>
      <c r="AB315" s="6" t="n">
        <v>0</v>
      </c>
      <c r="AC315" s="6" t="n">
        <v>0</v>
      </c>
      <c r="AD315" s="6" t="n">
        <v>0</v>
      </c>
      <c r="AE315" s="6" t="n">
        <v>0</v>
      </c>
      <c r="AF315" s="6" t="n">
        <v>0</v>
      </c>
      <c r="AG315" s="6" t="n">
        <v>0</v>
      </c>
      <c r="AH315" s="6" t="n">
        <v>0</v>
      </c>
      <c r="AI315" s="6" t="s">
        <v>84</v>
      </c>
    </row>
    <row r="316" customFormat="false" ht="15" hidden="false" customHeight="false" outlineLevel="0" collapsed="false">
      <c r="A316" s="6" t="n">
        <v>315</v>
      </c>
      <c r="B316" s="6" t="s">
        <v>5071</v>
      </c>
      <c r="C316" s="6" t="n">
        <v>7</v>
      </c>
      <c r="D316" s="6" t="s">
        <v>213</v>
      </c>
      <c r="E316" s="6" t="s">
        <v>67</v>
      </c>
      <c r="F316" s="6" t="n">
        <v>3</v>
      </c>
      <c r="G316" s="6" t="n">
        <v>78</v>
      </c>
      <c r="H316" s="6" t="s">
        <v>5072</v>
      </c>
      <c r="I316" s="22" t="n">
        <v>1002000</v>
      </c>
      <c r="J316" s="22" t="n">
        <v>4500</v>
      </c>
      <c r="K316" s="22" t="n">
        <v>75487.5</v>
      </c>
      <c r="L316" s="22" t="n">
        <v>1081987.5</v>
      </c>
      <c r="M316" s="6" t="s">
        <v>57</v>
      </c>
      <c r="N316" s="6" t="s">
        <v>58</v>
      </c>
      <c r="O316" s="6"/>
      <c r="P316" s="6" t="s">
        <v>69</v>
      </c>
      <c r="Q316" s="6" t="str">
        <f aca="false">IF(P316="pass","No","Yes")</f>
        <v>No</v>
      </c>
      <c r="R316" s="6" t="s">
        <v>60</v>
      </c>
      <c r="S316" s="6"/>
      <c r="T316" s="6"/>
      <c r="U316" s="23" t="n">
        <v>39.268</v>
      </c>
      <c r="V316" s="6" t="s">
        <v>5073</v>
      </c>
      <c r="W316" s="6" t="s">
        <v>5074</v>
      </c>
      <c r="X316" s="6" t="s">
        <v>5075</v>
      </c>
      <c r="Y316" s="6" t="s">
        <v>60</v>
      </c>
      <c r="Z316" s="6" t="n">
        <v>0</v>
      </c>
      <c r="AA316" s="6" t="n">
        <v>0</v>
      </c>
      <c r="AB316" s="6" t="n">
        <v>0</v>
      </c>
      <c r="AC316" s="6" t="n">
        <v>0</v>
      </c>
      <c r="AD316" s="6" t="n">
        <v>0</v>
      </c>
      <c r="AE316" s="6" t="n">
        <v>0</v>
      </c>
      <c r="AF316" s="6" t="n">
        <v>0</v>
      </c>
      <c r="AG316" s="6" t="n">
        <v>0</v>
      </c>
      <c r="AH316" s="6" t="n">
        <v>0</v>
      </c>
      <c r="AI316" s="6" t="s">
        <v>84</v>
      </c>
    </row>
    <row r="317" customFormat="false" ht="15" hidden="false" customHeight="false" outlineLevel="0" collapsed="false">
      <c r="A317" s="6" t="n">
        <v>316</v>
      </c>
      <c r="B317" s="6" t="s">
        <v>5076</v>
      </c>
      <c r="C317" s="6" t="n">
        <v>7</v>
      </c>
      <c r="D317" s="6" t="s">
        <v>237</v>
      </c>
      <c r="E317" s="6" t="s">
        <v>116</v>
      </c>
      <c r="F317" s="6" t="n">
        <v>4</v>
      </c>
      <c r="G317" s="6" t="n">
        <v>77</v>
      </c>
      <c r="H317" s="6" t="s">
        <v>5077</v>
      </c>
      <c r="I317" s="22" t="n">
        <v>1180800</v>
      </c>
      <c r="J317" s="22" t="n">
        <v>15000</v>
      </c>
      <c r="K317" s="22" t="n">
        <v>89685</v>
      </c>
      <c r="L317" s="22" t="n">
        <v>1285485</v>
      </c>
      <c r="M317" s="6" t="s">
        <v>132</v>
      </c>
      <c r="N317" s="6" t="s">
        <v>84</v>
      </c>
      <c r="O317" s="6" t="s">
        <v>879</v>
      </c>
      <c r="P317" s="6" t="s">
        <v>85</v>
      </c>
      <c r="Q317" s="6" t="str">
        <f aca="false">IF(P317="pass","No","Yes")</f>
        <v>Yes</v>
      </c>
      <c r="R317" s="6" t="s">
        <v>86</v>
      </c>
      <c r="S317" s="6" t="s">
        <v>880</v>
      </c>
      <c r="T317" s="6" t="s">
        <v>134</v>
      </c>
      <c r="U317" s="23" t="n">
        <v>41.454</v>
      </c>
      <c r="V317" s="6" t="s">
        <v>5078</v>
      </c>
      <c r="W317" s="6" t="s">
        <v>5079</v>
      </c>
      <c r="X317" s="6" t="s">
        <v>5080</v>
      </c>
      <c r="Y317" s="6" t="s">
        <v>86</v>
      </c>
      <c r="Z317" s="6" t="n">
        <v>0</v>
      </c>
      <c r="AA317" s="6" t="n">
        <v>1</v>
      </c>
      <c r="AB317" s="6" t="n">
        <v>0</v>
      </c>
      <c r="AC317" s="6" t="n">
        <v>1</v>
      </c>
      <c r="AD317" s="6" t="n">
        <v>0</v>
      </c>
      <c r="AE317" s="6" t="n">
        <v>0</v>
      </c>
      <c r="AF317" s="6" t="n">
        <v>0</v>
      </c>
      <c r="AG317" s="6" t="n">
        <v>0</v>
      </c>
      <c r="AH317" s="6" t="n">
        <v>0</v>
      </c>
      <c r="AI317" s="6" t="s">
        <v>84</v>
      </c>
    </row>
    <row r="318" customFormat="false" ht="15" hidden="false" customHeight="false" outlineLevel="0" collapsed="false">
      <c r="A318" s="6" t="n">
        <v>317</v>
      </c>
      <c r="B318" s="6" t="s">
        <v>5081</v>
      </c>
      <c r="C318" s="6" t="n">
        <v>7</v>
      </c>
      <c r="D318" s="6" t="s">
        <v>166</v>
      </c>
      <c r="E318" s="6" t="s">
        <v>74</v>
      </c>
      <c r="F318" s="6" t="n">
        <v>3</v>
      </c>
      <c r="G318" s="6" t="n">
        <v>177</v>
      </c>
      <c r="H318" s="6" t="s">
        <v>5082</v>
      </c>
      <c r="I318" s="22" t="n">
        <v>1623300</v>
      </c>
      <c r="J318" s="22" t="n">
        <v>9000</v>
      </c>
      <c r="K318" s="22" t="n">
        <v>122422.5</v>
      </c>
      <c r="L318" s="22" t="n">
        <v>1754722.5</v>
      </c>
      <c r="M318" s="6" t="s">
        <v>57</v>
      </c>
      <c r="N318" s="6" t="s">
        <v>58</v>
      </c>
      <c r="O318" s="6"/>
      <c r="P318" s="6" t="s">
        <v>59</v>
      </c>
      <c r="Q318" s="6" t="str">
        <f aca="false">IF(P318="pass","No","Yes")</f>
        <v>Yes</v>
      </c>
      <c r="R318" s="6" t="s">
        <v>60</v>
      </c>
      <c r="S318" s="6" t="s">
        <v>915</v>
      </c>
      <c r="T318" s="6" t="s">
        <v>5083</v>
      </c>
      <c r="U318" s="23" t="n">
        <v>50.063</v>
      </c>
      <c r="V318" s="6" t="s">
        <v>5084</v>
      </c>
      <c r="W318" s="6" t="s">
        <v>5085</v>
      </c>
      <c r="X318" s="6" t="s">
        <v>5086</v>
      </c>
      <c r="Y318" s="6" t="s">
        <v>60</v>
      </c>
      <c r="Z318" s="6" t="n">
        <v>0</v>
      </c>
      <c r="AA318" s="6" t="n">
        <v>0</v>
      </c>
      <c r="AB318" s="6" t="n">
        <v>0</v>
      </c>
      <c r="AC318" s="6" t="n">
        <v>0</v>
      </c>
      <c r="AD318" s="6" t="n">
        <v>0</v>
      </c>
      <c r="AE318" s="6" t="n">
        <v>0</v>
      </c>
      <c r="AF318" s="6" t="n">
        <v>0</v>
      </c>
      <c r="AG318" s="6" t="n">
        <v>0</v>
      </c>
      <c r="AH318" s="6" t="n">
        <v>1</v>
      </c>
      <c r="AI318" s="6" t="s">
        <v>84</v>
      </c>
    </row>
    <row r="319" customFormat="false" ht="15" hidden="false" customHeight="false" outlineLevel="0" collapsed="false">
      <c r="A319" s="6" t="n">
        <v>318</v>
      </c>
      <c r="B319" s="6" t="s">
        <v>5087</v>
      </c>
      <c r="C319" s="6" t="n">
        <v>7</v>
      </c>
      <c r="D319" s="6" t="s">
        <v>112</v>
      </c>
      <c r="E319" s="6" t="s">
        <v>116</v>
      </c>
      <c r="F319" s="6" t="n">
        <v>2</v>
      </c>
      <c r="G319" s="6" t="n">
        <v>185</v>
      </c>
      <c r="H319" s="6" t="s">
        <v>5088</v>
      </c>
      <c r="I319" s="22" t="n">
        <v>1757500</v>
      </c>
      <c r="J319" s="22" t="n">
        <v>15000</v>
      </c>
      <c r="K319" s="22" t="n">
        <v>132937.5</v>
      </c>
      <c r="L319" s="22" t="n">
        <v>1905437.5</v>
      </c>
      <c r="M319" s="6" t="s">
        <v>272</v>
      </c>
      <c r="N319" s="6" t="s">
        <v>84</v>
      </c>
      <c r="O319" s="6" t="s">
        <v>879</v>
      </c>
      <c r="P319" s="6" t="s">
        <v>85</v>
      </c>
      <c r="Q319" s="6" t="str">
        <f aca="false">IF(P319="pass","No","Yes")</f>
        <v>Yes</v>
      </c>
      <c r="R319" s="6" t="s">
        <v>86</v>
      </c>
      <c r="S319" s="6" t="s">
        <v>1233</v>
      </c>
      <c r="T319" s="6" t="s">
        <v>5089</v>
      </c>
      <c r="U319" s="23" t="n">
        <v>29.755</v>
      </c>
      <c r="V319" s="6" t="s">
        <v>5090</v>
      </c>
      <c r="W319" s="6" t="s">
        <v>5091</v>
      </c>
      <c r="X319" s="6" t="s">
        <v>5092</v>
      </c>
      <c r="Y319" s="6" t="s">
        <v>86</v>
      </c>
      <c r="Z319" s="6" t="n">
        <v>0</v>
      </c>
      <c r="AA319" s="6" t="n">
        <v>1</v>
      </c>
      <c r="AB319" s="6" t="n">
        <v>0</v>
      </c>
      <c r="AC319" s="6" t="n">
        <v>0</v>
      </c>
      <c r="AD319" s="6" t="n">
        <v>0</v>
      </c>
      <c r="AE319" s="6" t="n">
        <v>0</v>
      </c>
      <c r="AF319" s="6" t="n">
        <v>0</v>
      </c>
      <c r="AG319" s="6" t="n">
        <v>0</v>
      </c>
      <c r="AH319" s="6" t="n">
        <v>1</v>
      </c>
      <c r="AI319" s="6" t="s">
        <v>84</v>
      </c>
    </row>
    <row r="320" customFormat="false" ht="15" hidden="false" customHeight="false" outlineLevel="0" collapsed="false">
      <c r="A320" s="6" t="n">
        <v>319</v>
      </c>
      <c r="B320" s="6" t="s">
        <v>5093</v>
      </c>
      <c r="C320" s="6" t="n">
        <v>7</v>
      </c>
      <c r="D320" s="6" t="s">
        <v>177</v>
      </c>
      <c r="E320" s="6" t="s">
        <v>81</v>
      </c>
      <c r="F320" s="6" t="n">
        <v>3</v>
      </c>
      <c r="G320" s="6" t="n">
        <v>62</v>
      </c>
      <c r="H320" s="6" t="s">
        <v>5094</v>
      </c>
      <c r="I320" s="22" t="n">
        <v>1222000</v>
      </c>
      <c r="J320" s="22" t="n">
        <v>4000</v>
      </c>
      <c r="K320" s="22" t="n">
        <v>91950</v>
      </c>
      <c r="L320" s="22" t="n">
        <v>1317950</v>
      </c>
      <c r="M320" s="6" t="s">
        <v>57</v>
      </c>
      <c r="N320" s="6" t="s">
        <v>58</v>
      </c>
      <c r="O320" s="6"/>
      <c r="P320" s="6" t="s">
        <v>69</v>
      </c>
      <c r="Q320" s="6" t="str">
        <f aca="false">IF(P320="pass","No","Yes")</f>
        <v>No</v>
      </c>
      <c r="R320" s="6" t="s">
        <v>60</v>
      </c>
      <c r="S320" s="6"/>
      <c r="T320" s="6"/>
      <c r="U320" s="23" t="n">
        <v>41.909</v>
      </c>
      <c r="V320" s="6" t="s">
        <v>5095</v>
      </c>
      <c r="W320" s="6" t="s">
        <v>5096</v>
      </c>
      <c r="X320" s="6" t="s">
        <v>5097</v>
      </c>
      <c r="Y320" s="6" t="s">
        <v>60</v>
      </c>
      <c r="Z320" s="6" t="n">
        <v>0</v>
      </c>
      <c r="AA320" s="6" t="n">
        <v>0</v>
      </c>
      <c r="AB320" s="6" t="n">
        <v>0</v>
      </c>
      <c r="AC320" s="6" t="n">
        <v>0</v>
      </c>
      <c r="AD320" s="6" t="n">
        <v>0</v>
      </c>
      <c r="AE320" s="6" t="n">
        <v>0</v>
      </c>
      <c r="AF320" s="6" t="n">
        <v>0</v>
      </c>
      <c r="AG320" s="6" t="n">
        <v>0</v>
      </c>
      <c r="AH320" s="6" t="n">
        <v>0</v>
      </c>
      <c r="AI320" s="6" t="s">
        <v>84</v>
      </c>
    </row>
    <row r="321" customFormat="false" ht="15" hidden="false" customHeight="false" outlineLevel="0" collapsed="false">
      <c r="A321" s="6" t="n">
        <v>320</v>
      </c>
      <c r="B321" s="6" t="s">
        <v>5098</v>
      </c>
      <c r="C321" s="6" t="n">
        <v>7</v>
      </c>
      <c r="D321" s="6" t="s">
        <v>191</v>
      </c>
      <c r="E321" s="6" t="s">
        <v>116</v>
      </c>
      <c r="F321" s="6" t="n">
        <v>2</v>
      </c>
      <c r="G321" s="6" t="n">
        <v>22</v>
      </c>
      <c r="H321" s="6" t="s">
        <v>5099</v>
      </c>
      <c r="I321" s="22" t="n">
        <v>336200</v>
      </c>
      <c r="J321" s="22" t="n">
        <v>15000</v>
      </c>
      <c r="K321" s="22" t="n">
        <v>26340</v>
      </c>
      <c r="L321" s="22" t="n">
        <v>377540</v>
      </c>
      <c r="M321" s="6" t="s">
        <v>57</v>
      </c>
      <c r="N321" s="6" t="s">
        <v>58</v>
      </c>
      <c r="O321" s="6"/>
      <c r="P321" s="6" t="s">
        <v>69</v>
      </c>
      <c r="Q321" s="6" t="str">
        <f aca="false">IF(P321="pass","No","Yes")</f>
        <v>No</v>
      </c>
      <c r="R321" s="6" t="s">
        <v>60</v>
      </c>
      <c r="S321" s="6"/>
      <c r="T321" s="6"/>
      <c r="U321" s="23" t="n">
        <v>29.182</v>
      </c>
      <c r="V321" s="6" t="s">
        <v>5100</v>
      </c>
      <c r="W321" s="6" t="s">
        <v>5101</v>
      </c>
      <c r="X321" s="6" t="s">
        <v>5102</v>
      </c>
      <c r="Y321" s="6" t="s">
        <v>60</v>
      </c>
      <c r="Z321" s="6" t="n">
        <v>0</v>
      </c>
      <c r="AA321" s="6" t="n">
        <v>0</v>
      </c>
      <c r="AB321" s="6" t="n">
        <v>0</v>
      </c>
      <c r="AC321" s="6" t="n">
        <v>0</v>
      </c>
      <c r="AD321" s="6" t="n">
        <v>0</v>
      </c>
      <c r="AE321" s="6" t="n">
        <v>0</v>
      </c>
      <c r="AF321" s="6" t="n">
        <v>0</v>
      </c>
      <c r="AG321" s="6" t="n">
        <v>0</v>
      </c>
      <c r="AH321" s="6" t="n">
        <v>0</v>
      </c>
      <c r="AI321" s="6" t="s">
        <v>84</v>
      </c>
    </row>
    <row r="322" customFormat="false" ht="15" hidden="false" customHeight="false" outlineLevel="0" collapsed="false">
      <c r="A322" s="6" t="n">
        <v>321</v>
      </c>
      <c r="B322" s="6" t="s">
        <v>5103</v>
      </c>
      <c r="C322" s="6" t="n">
        <v>7</v>
      </c>
      <c r="D322" s="6" t="s">
        <v>112</v>
      </c>
      <c r="E322" s="6" t="s">
        <v>116</v>
      </c>
      <c r="F322" s="6" t="n">
        <v>2</v>
      </c>
      <c r="G322" s="6" t="n">
        <v>51</v>
      </c>
      <c r="H322" s="6" t="s">
        <v>5104</v>
      </c>
      <c r="I322" s="22" t="n">
        <v>451400</v>
      </c>
      <c r="J322" s="22" t="n">
        <v>15000</v>
      </c>
      <c r="K322" s="22" t="n">
        <v>34980</v>
      </c>
      <c r="L322" s="22" t="n">
        <v>501380</v>
      </c>
      <c r="M322" s="6" t="s">
        <v>83</v>
      </c>
      <c r="N322" s="6" t="s">
        <v>84</v>
      </c>
      <c r="O322" s="6" t="s">
        <v>886</v>
      </c>
      <c r="P322" s="6" t="s">
        <v>85</v>
      </c>
      <c r="Q322" s="6" t="str">
        <f aca="false">IF(P322="pass","No","Yes")</f>
        <v>Yes</v>
      </c>
      <c r="R322" s="6" t="s">
        <v>86</v>
      </c>
      <c r="S322" s="6" t="s">
        <v>886</v>
      </c>
      <c r="T322" s="6" t="s">
        <v>290</v>
      </c>
      <c r="U322" s="23" t="n">
        <v>29.94</v>
      </c>
      <c r="V322" s="6" t="s">
        <v>5105</v>
      </c>
      <c r="W322" s="6" t="s">
        <v>5106</v>
      </c>
      <c r="X322" s="6" t="s">
        <v>5107</v>
      </c>
      <c r="Y322" s="6" t="s">
        <v>86</v>
      </c>
      <c r="Z322" s="6" t="n">
        <v>0</v>
      </c>
      <c r="AA322" s="6" t="n">
        <v>0</v>
      </c>
      <c r="AB322" s="6" t="n">
        <v>1</v>
      </c>
      <c r="AC322" s="6" t="n">
        <v>0</v>
      </c>
      <c r="AD322" s="6" t="n">
        <v>0</v>
      </c>
      <c r="AE322" s="6" t="n">
        <v>0</v>
      </c>
      <c r="AF322" s="6" t="n">
        <v>0</v>
      </c>
      <c r="AG322" s="6" t="n">
        <v>0</v>
      </c>
      <c r="AH322" s="6" t="n">
        <v>0</v>
      </c>
      <c r="AI322" s="6" t="s">
        <v>84</v>
      </c>
    </row>
    <row r="323" customFormat="false" ht="15" hidden="false" customHeight="false" outlineLevel="0" collapsed="false">
      <c r="A323" s="6" t="n">
        <v>322</v>
      </c>
      <c r="B323" s="6" t="s">
        <v>5108</v>
      </c>
      <c r="C323" s="6" t="n">
        <v>7</v>
      </c>
      <c r="D323" s="6" t="s">
        <v>237</v>
      </c>
      <c r="E323" s="6" t="s">
        <v>116</v>
      </c>
      <c r="F323" s="6" t="n">
        <v>1</v>
      </c>
      <c r="G323" s="6" t="n">
        <v>5</v>
      </c>
      <c r="H323" s="6" t="s">
        <v>2079</v>
      </c>
      <c r="I323" s="22" t="n">
        <v>190000</v>
      </c>
      <c r="J323" s="22" t="n">
        <v>15000</v>
      </c>
      <c r="K323" s="22" t="n">
        <v>15375</v>
      </c>
      <c r="L323" s="22" t="n">
        <v>220375</v>
      </c>
      <c r="M323" s="6" t="s">
        <v>94</v>
      </c>
      <c r="N323" s="6" t="s">
        <v>84</v>
      </c>
      <c r="O323" s="6" t="s">
        <v>909</v>
      </c>
      <c r="P323" s="6" t="s">
        <v>85</v>
      </c>
      <c r="Q323" s="6" t="str">
        <f aca="false">IF(P323="pass","No","Yes")</f>
        <v>Yes</v>
      </c>
      <c r="R323" s="6" t="s">
        <v>86</v>
      </c>
      <c r="S323" s="6" t="s">
        <v>909</v>
      </c>
      <c r="T323" s="6" t="s">
        <v>254</v>
      </c>
      <c r="U323" s="23" t="n">
        <v>14.954</v>
      </c>
      <c r="V323" s="6" t="s">
        <v>5109</v>
      </c>
      <c r="W323" s="6" t="s">
        <v>5110</v>
      </c>
      <c r="X323" s="6" t="s">
        <v>5111</v>
      </c>
      <c r="Y323" s="6" t="s">
        <v>86</v>
      </c>
      <c r="Z323" s="6" t="n">
        <v>0</v>
      </c>
      <c r="AA323" s="6" t="n">
        <v>0</v>
      </c>
      <c r="AB323" s="6" t="n">
        <v>0</v>
      </c>
      <c r="AC323" s="6" t="n">
        <v>0</v>
      </c>
      <c r="AD323" s="6" t="n">
        <v>0</v>
      </c>
      <c r="AE323" s="6" t="n">
        <v>0</v>
      </c>
      <c r="AF323" s="6" t="n">
        <v>1</v>
      </c>
      <c r="AG323" s="6" t="n">
        <v>0</v>
      </c>
      <c r="AH323" s="6" t="n">
        <v>0</v>
      </c>
      <c r="AI323" s="6" t="s">
        <v>84</v>
      </c>
    </row>
    <row r="324" customFormat="false" ht="15" hidden="false" customHeight="false" outlineLevel="0" collapsed="false">
      <c r="A324" s="6" t="n">
        <v>323</v>
      </c>
      <c r="B324" s="6" t="s">
        <v>5112</v>
      </c>
      <c r="C324" s="6" t="n">
        <v>7</v>
      </c>
      <c r="D324" s="6" t="s">
        <v>112</v>
      </c>
      <c r="E324" s="6" t="s">
        <v>116</v>
      </c>
      <c r="F324" s="6" t="n">
        <v>1</v>
      </c>
      <c r="G324" s="6" t="n">
        <v>69</v>
      </c>
      <c r="H324" s="6" t="s">
        <v>5113</v>
      </c>
      <c r="I324" s="22" t="n">
        <v>862500</v>
      </c>
      <c r="J324" s="22" t="n">
        <v>15000</v>
      </c>
      <c r="K324" s="22" t="n">
        <v>65812.5</v>
      </c>
      <c r="L324" s="22" t="n">
        <v>943312.5</v>
      </c>
      <c r="M324" s="6" t="s">
        <v>1042</v>
      </c>
      <c r="N324" s="6" t="s">
        <v>58</v>
      </c>
      <c r="O324" s="6"/>
      <c r="P324" s="6" t="s">
        <v>69</v>
      </c>
      <c r="Q324" s="6" t="str">
        <f aca="false">IF(P324="pass","No","Yes")</f>
        <v>No</v>
      </c>
      <c r="R324" s="6" t="s">
        <v>60</v>
      </c>
      <c r="S324" s="6"/>
      <c r="T324" s="6"/>
      <c r="U324" s="23" t="n">
        <v>17.881</v>
      </c>
      <c r="V324" s="6" t="s">
        <v>5114</v>
      </c>
      <c r="W324" s="6" t="s">
        <v>5115</v>
      </c>
      <c r="X324" s="6" t="s">
        <v>5116</v>
      </c>
      <c r="Y324" s="6" t="s">
        <v>60</v>
      </c>
      <c r="Z324" s="6" t="n">
        <v>0</v>
      </c>
      <c r="AA324" s="6" t="n">
        <v>0</v>
      </c>
      <c r="AB324" s="6" t="n">
        <v>0</v>
      </c>
      <c r="AC324" s="6" t="n">
        <v>0</v>
      </c>
      <c r="AD324" s="6" t="n">
        <v>0</v>
      </c>
      <c r="AE324" s="6" t="n">
        <v>0</v>
      </c>
      <c r="AF324" s="6" t="n">
        <v>0</v>
      </c>
      <c r="AG324" s="6" t="n">
        <v>0</v>
      </c>
      <c r="AH324" s="6" t="n">
        <v>0</v>
      </c>
      <c r="AI324" s="6" t="s">
        <v>84</v>
      </c>
    </row>
    <row r="325" customFormat="false" ht="15" hidden="false" customHeight="false" outlineLevel="0" collapsed="false">
      <c r="A325" s="6" t="n">
        <v>324</v>
      </c>
      <c r="B325" s="6" t="s">
        <v>5117</v>
      </c>
      <c r="C325" s="6" t="n">
        <v>7</v>
      </c>
      <c r="D325" s="6" t="s">
        <v>213</v>
      </c>
      <c r="E325" s="6" t="s">
        <v>67</v>
      </c>
      <c r="F325" s="6" t="n">
        <v>1</v>
      </c>
      <c r="G325" s="6" t="n">
        <v>60</v>
      </c>
      <c r="H325" s="6" t="s">
        <v>5118</v>
      </c>
      <c r="I325" s="22" t="n">
        <v>708000</v>
      </c>
      <c r="J325" s="22" t="n">
        <v>4500</v>
      </c>
      <c r="K325" s="22" t="n">
        <v>53437.5</v>
      </c>
      <c r="L325" s="22" t="n">
        <v>765937.5</v>
      </c>
      <c r="M325" s="6" t="s">
        <v>57</v>
      </c>
      <c r="N325" s="6" t="s">
        <v>58</v>
      </c>
      <c r="O325" s="6"/>
      <c r="P325" s="6" t="s">
        <v>69</v>
      </c>
      <c r="Q325" s="6" t="str">
        <f aca="false">IF(P325="pass","No","Yes")</f>
        <v>No</v>
      </c>
      <c r="R325" s="6" t="s">
        <v>60</v>
      </c>
      <c r="S325" s="6"/>
      <c r="T325" s="6"/>
      <c r="U325" s="23" t="n">
        <v>17.977</v>
      </c>
      <c r="V325" s="6" t="s">
        <v>5119</v>
      </c>
      <c r="W325" s="6" t="s">
        <v>5120</v>
      </c>
      <c r="X325" s="6" t="s">
        <v>5121</v>
      </c>
      <c r="Y325" s="6" t="s">
        <v>60</v>
      </c>
      <c r="Z325" s="6" t="n">
        <v>0</v>
      </c>
      <c r="AA325" s="6" t="n">
        <v>0</v>
      </c>
      <c r="AB325" s="6" t="n">
        <v>0</v>
      </c>
      <c r="AC325" s="6" t="n">
        <v>0</v>
      </c>
      <c r="AD325" s="6" t="n">
        <v>0</v>
      </c>
      <c r="AE325" s="6" t="n">
        <v>0</v>
      </c>
      <c r="AF325" s="6" t="n">
        <v>0</v>
      </c>
      <c r="AG325" s="6" t="n">
        <v>0</v>
      </c>
      <c r="AH325" s="6" t="n">
        <v>0</v>
      </c>
      <c r="AI325" s="6" t="s">
        <v>84</v>
      </c>
    </row>
    <row r="326" customFormat="false" ht="15" hidden="false" customHeight="false" outlineLevel="0" collapsed="false">
      <c r="A326" s="6" t="n">
        <v>325</v>
      </c>
      <c r="B326" s="6" t="s">
        <v>5122</v>
      </c>
      <c r="C326" s="6" t="n">
        <v>7</v>
      </c>
      <c r="D326" s="6" t="s">
        <v>105</v>
      </c>
      <c r="E326" s="6" t="s">
        <v>81</v>
      </c>
      <c r="F326" s="6" t="n">
        <v>3</v>
      </c>
      <c r="G326" s="6" t="n">
        <v>29</v>
      </c>
      <c r="H326" s="6" t="s">
        <v>5123</v>
      </c>
      <c r="I326" s="22" t="n">
        <v>724600</v>
      </c>
      <c r="J326" s="22" t="n">
        <v>4000</v>
      </c>
      <c r="K326" s="22" t="n">
        <v>54645</v>
      </c>
      <c r="L326" s="22" t="n">
        <v>783245</v>
      </c>
      <c r="M326" s="6" t="s">
        <v>224</v>
      </c>
      <c r="N326" s="6" t="s">
        <v>84</v>
      </c>
      <c r="O326" s="6" t="s">
        <v>866</v>
      </c>
      <c r="P326" s="6" t="s">
        <v>85</v>
      </c>
      <c r="Q326" s="6" t="str">
        <f aca="false">IF(P326="pass","No","Yes")</f>
        <v>Yes</v>
      </c>
      <c r="R326" s="6" t="s">
        <v>86</v>
      </c>
      <c r="S326" s="6" t="s">
        <v>866</v>
      </c>
      <c r="T326" s="6" t="s">
        <v>225</v>
      </c>
      <c r="U326" s="23" t="n">
        <v>43.373</v>
      </c>
      <c r="V326" s="6" t="s">
        <v>5124</v>
      </c>
      <c r="W326" s="6" t="s">
        <v>5125</v>
      </c>
      <c r="X326" s="6" t="s">
        <v>5126</v>
      </c>
      <c r="Y326" s="6" t="s">
        <v>86</v>
      </c>
      <c r="Z326" s="6" t="n">
        <v>1</v>
      </c>
      <c r="AA326" s="6" t="n">
        <v>0</v>
      </c>
      <c r="AB326" s="6" t="n">
        <v>0</v>
      </c>
      <c r="AC326" s="6" t="n">
        <v>0</v>
      </c>
      <c r="AD326" s="6" t="n">
        <v>0</v>
      </c>
      <c r="AE326" s="6" t="n">
        <v>0</v>
      </c>
      <c r="AF326" s="6" t="n">
        <v>0</v>
      </c>
      <c r="AG326" s="6" t="n">
        <v>0</v>
      </c>
      <c r="AH326" s="6" t="n">
        <v>0</v>
      </c>
      <c r="AI326" s="6" t="s">
        <v>58</v>
      </c>
    </row>
    <row r="327" customFormat="false" ht="15" hidden="false" customHeight="false" outlineLevel="0" collapsed="false">
      <c r="A327" s="6" t="n">
        <v>326</v>
      </c>
      <c r="B327" s="6" t="s">
        <v>5127</v>
      </c>
      <c r="C327" s="6" t="n">
        <v>7</v>
      </c>
      <c r="D327" s="6" t="s">
        <v>51</v>
      </c>
      <c r="E327" s="6" t="s">
        <v>55</v>
      </c>
      <c r="F327" s="6" t="n">
        <v>3</v>
      </c>
      <c r="G327" s="6" t="n">
        <v>59</v>
      </c>
      <c r="H327" s="6" t="s">
        <v>5128</v>
      </c>
      <c r="I327" s="22" t="n">
        <v>1100000</v>
      </c>
      <c r="J327" s="22" t="n">
        <v>6000</v>
      </c>
      <c r="K327" s="22" t="n">
        <v>82950</v>
      </c>
      <c r="L327" s="22" t="n">
        <v>1188950</v>
      </c>
      <c r="M327" s="6" t="s">
        <v>984</v>
      </c>
      <c r="N327" s="6" t="s">
        <v>84</v>
      </c>
      <c r="O327" s="6" t="s">
        <v>985</v>
      </c>
      <c r="P327" s="6" t="s">
        <v>85</v>
      </c>
      <c r="Q327" s="6" t="str">
        <f aca="false">IF(P327="pass","No","Yes")</f>
        <v>Yes</v>
      </c>
      <c r="R327" s="6" t="s">
        <v>86</v>
      </c>
      <c r="S327" s="6" t="s">
        <v>985</v>
      </c>
      <c r="T327" s="6" t="s">
        <v>3244</v>
      </c>
      <c r="U327" s="23" t="n">
        <v>43.105</v>
      </c>
      <c r="V327" s="6" t="s">
        <v>5129</v>
      </c>
      <c r="W327" s="6" t="s">
        <v>5130</v>
      </c>
      <c r="X327" s="6" t="s">
        <v>5131</v>
      </c>
      <c r="Y327" s="6" t="s">
        <v>86</v>
      </c>
      <c r="Z327" s="6" t="n">
        <v>0</v>
      </c>
      <c r="AA327" s="6" t="n">
        <v>0</v>
      </c>
      <c r="AB327" s="6" t="n">
        <v>0</v>
      </c>
      <c r="AC327" s="6" t="n">
        <v>0</v>
      </c>
      <c r="AD327" s="6" t="n">
        <v>0</v>
      </c>
      <c r="AE327" s="6" t="n">
        <v>1</v>
      </c>
      <c r="AF327" s="6" t="n">
        <v>0</v>
      </c>
      <c r="AG327" s="6" t="n">
        <v>0</v>
      </c>
      <c r="AH327" s="6" t="n">
        <v>0</v>
      </c>
      <c r="AI327" s="6" t="s">
        <v>84</v>
      </c>
    </row>
    <row r="328" customFormat="false" ht="15" hidden="false" customHeight="false" outlineLevel="0" collapsed="false">
      <c r="A328" s="6" t="n">
        <v>327</v>
      </c>
      <c r="B328" s="6" t="s">
        <v>5132</v>
      </c>
      <c r="C328" s="6" t="n">
        <v>7</v>
      </c>
      <c r="D328" s="6" t="s">
        <v>191</v>
      </c>
      <c r="E328" s="6" t="s">
        <v>116</v>
      </c>
      <c r="F328" s="6" t="n">
        <v>4</v>
      </c>
      <c r="G328" s="6" t="n">
        <v>86</v>
      </c>
      <c r="H328" s="6" t="s">
        <v>5133</v>
      </c>
      <c r="I328" s="22" t="n">
        <v>1049800</v>
      </c>
      <c r="J328" s="22" t="n">
        <v>15000</v>
      </c>
      <c r="K328" s="22" t="n">
        <v>79860</v>
      </c>
      <c r="L328" s="22" t="n">
        <v>1144660</v>
      </c>
      <c r="M328" s="6" t="s">
        <v>152</v>
      </c>
      <c r="N328" s="6" t="s">
        <v>84</v>
      </c>
      <c r="O328" s="6" t="s">
        <v>886</v>
      </c>
      <c r="P328" s="6" t="s">
        <v>85</v>
      </c>
      <c r="Q328" s="6" t="str">
        <f aca="false">IF(P328="pass","No","Yes")</f>
        <v>Yes</v>
      </c>
      <c r="R328" s="6" t="s">
        <v>86</v>
      </c>
      <c r="S328" s="6" t="s">
        <v>886</v>
      </c>
      <c r="T328" s="6" t="s">
        <v>418</v>
      </c>
      <c r="U328" s="23" t="n">
        <v>40.213</v>
      </c>
      <c r="V328" s="6" t="s">
        <v>5134</v>
      </c>
      <c r="W328" s="6" t="s">
        <v>5135</v>
      </c>
      <c r="X328" s="6" t="s">
        <v>5136</v>
      </c>
      <c r="Y328" s="6" t="s">
        <v>86</v>
      </c>
      <c r="Z328" s="6" t="n">
        <v>0</v>
      </c>
      <c r="AA328" s="6" t="n">
        <v>0</v>
      </c>
      <c r="AB328" s="6" t="n">
        <v>1</v>
      </c>
      <c r="AC328" s="6" t="n">
        <v>0</v>
      </c>
      <c r="AD328" s="6" t="n">
        <v>0</v>
      </c>
      <c r="AE328" s="6" t="n">
        <v>0</v>
      </c>
      <c r="AF328" s="6" t="n">
        <v>0</v>
      </c>
      <c r="AG328" s="6" t="n">
        <v>0</v>
      </c>
      <c r="AH328" s="6" t="n">
        <v>0</v>
      </c>
      <c r="AI328" s="6" t="s">
        <v>84</v>
      </c>
    </row>
    <row r="329" customFormat="false" ht="15" hidden="false" customHeight="false" outlineLevel="0" collapsed="false">
      <c r="A329" s="6" t="n">
        <v>328</v>
      </c>
      <c r="B329" s="6" t="s">
        <v>5137</v>
      </c>
      <c r="C329" s="6" t="n">
        <v>7</v>
      </c>
      <c r="D329" s="6" t="s">
        <v>70</v>
      </c>
      <c r="E329" s="6" t="s">
        <v>74</v>
      </c>
      <c r="F329" s="6" t="n">
        <v>3</v>
      </c>
      <c r="G329" s="6" t="n">
        <v>53</v>
      </c>
      <c r="H329" s="6" t="s">
        <v>5138</v>
      </c>
      <c r="I329" s="22" t="n">
        <v>767500</v>
      </c>
      <c r="J329" s="22" t="n">
        <v>9000</v>
      </c>
      <c r="K329" s="22" t="n">
        <v>58237.5</v>
      </c>
      <c r="L329" s="22" t="n">
        <v>834737.5</v>
      </c>
      <c r="M329" s="6" t="s">
        <v>57</v>
      </c>
      <c r="N329" s="6" t="s">
        <v>58</v>
      </c>
      <c r="O329" s="6"/>
      <c r="P329" s="6" t="s">
        <v>69</v>
      </c>
      <c r="Q329" s="6" t="str">
        <f aca="false">IF(P329="pass","No","Yes")</f>
        <v>No</v>
      </c>
      <c r="R329" s="6" t="s">
        <v>60</v>
      </c>
      <c r="S329" s="6"/>
      <c r="T329" s="6"/>
      <c r="U329" s="23" t="n">
        <v>42.707</v>
      </c>
      <c r="V329" s="6" t="s">
        <v>5139</v>
      </c>
      <c r="W329" s="6" t="s">
        <v>5140</v>
      </c>
      <c r="X329" s="6" t="s">
        <v>5141</v>
      </c>
      <c r="Y329" s="6" t="s">
        <v>60</v>
      </c>
      <c r="Z329" s="6" t="n">
        <v>0</v>
      </c>
      <c r="AA329" s="6" t="n">
        <v>0</v>
      </c>
      <c r="AB329" s="6" t="n">
        <v>0</v>
      </c>
      <c r="AC329" s="6" t="n">
        <v>0</v>
      </c>
      <c r="AD329" s="6" t="n">
        <v>0</v>
      </c>
      <c r="AE329" s="6" t="n">
        <v>0</v>
      </c>
      <c r="AF329" s="6" t="n">
        <v>0</v>
      </c>
      <c r="AG329" s="6" t="n">
        <v>0</v>
      </c>
      <c r="AH329" s="6" t="n">
        <v>0</v>
      </c>
      <c r="AI329" s="6" t="s">
        <v>84</v>
      </c>
    </row>
    <row r="330" customFormat="false" ht="15" hidden="false" customHeight="false" outlineLevel="0" collapsed="false">
      <c r="A330" s="6" t="n">
        <v>329</v>
      </c>
      <c r="B330" s="6" t="s">
        <v>5142</v>
      </c>
      <c r="C330" s="6" t="n">
        <v>7</v>
      </c>
      <c r="D330" s="6" t="s">
        <v>191</v>
      </c>
      <c r="E330" s="6" t="s">
        <v>116</v>
      </c>
      <c r="F330" s="6" t="n">
        <v>3</v>
      </c>
      <c r="G330" s="6" t="n">
        <v>221</v>
      </c>
      <c r="H330" s="6" t="s">
        <v>5143</v>
      </c>
      <c r="I330" s="22" t="n">
        <v>1987800</v>
      </c>
      <c r="J330" s="22" t="n">
        <v>15000</v>
      </c>
      <c r="K330" s="22" t="n">
        <v>150210</v>
      </c>
      <c r="L330" s="22" t="n">
        <v>2153010</v>
      </c>
      <c r="M330" s="6" t="s">
        <v>57</v>
      </c>
      <c r="N330" s="6" t="s">
        <v>58</v>
      </c>
      <c r="O330" s="6"/>
      <c r="P330" s="6" t="s">
        <v>69</v>
      </c>
      <c r="Q330" s="6" t="str">
        <f aca="false">IF(P330="pass","No","Yes")</f>
        <v>No</v>
      </c>
      <c r="R330" s="6" t="s">
        <v>60</v>
      </c>
      <c r="S330" s="6"/>
      <c r="T330" s="6"/>
      <c r="U330" s="23" t="n">
        <v>55.978</v>
      </c>
      <c r="V330" s="6" t="s">
        <v>5144</v>
      </c>
      <c r="W330" s="6" t="s">
        <v>5145</v>
      </c>
      <c r="X330" s="6" t="s">
        <v>5146</v>
      </c>
      <c r="Y330" s="6" t="s">
        <v>60</v>
      </c>
      <c r="Z330" s="6" t="n">
        <v>0</v>
      </c>
      <c r="AA330" s="6" t="n">
        <v>0</v>
      </c>
      <c r="AB330" s="6" t="n">
        <v>0</v>
      </c>
      <c r="AC330" s="6" t="n">
        <v>0</v>
      </c>
      <c r="AD330" s="6" t="n">
        <v>0</v>
      </c>
      <c r="AE330" s="6" t="n">
        <v>0</v>
      </c>
      <c r="AF330" s="6" t="n">
        <v>0</v>
      </c>
      <c r="AG330" s="6" t="n">
        <v>0</v>
      </c>
      <c r="AH330" s="6" t="n">
        <v>0</v>
      </c>
      <c r="AI330" s="6" t="s">
        <v>84</v>
      </c>
    </row>
    <row r="331" customFormat="false" ht="15" hidden="false" customHeight="false" outlineLevel="0" collapsed="false">
      <c r="A331" s="6" t="n">
        <v>330</v>
      </c>
      <c r="B331" s="6" t="s">
        <v>5147</v>
      </c>
      <c r="C331" s="6" t="n">
        <v>7</v>
      </c>
      <c r="D331" s="6" t="s">
        <v>142</v>
      </c>
      <c r="E331" s="6" t="s">
        <v>74</v>
      </c>
      <c r="F331" s="6" t="n">
        <v>3</v>
      </c>
      <c r="G331" s="6" t="n">
        <v>53</v>
      </c>
      <c r="H331" s="6" t="s">
        <v>5148</v>
      </c>
      <c r="I331" s="22" t="n">
        <v>740800</v>
      </c>
      <c r="J331" s="22" t="n">
        <v>9000</v>
      </c>
      <c r="K331" s="22" t="n">
        <v>56235</v>
      </c>
      <c r="L331" s="22" t="n">
        <v>806035</v>
      </c>
      <c r="M331" s="6" t="s">
        <v>224</v>
      </c>
      <c r="N331" s="6" t="s">
        <v>84</v>
      </c>
      <c r="O331" s="6" t="s">
        <v>866</v>
      </c>
      <c r="P331" s="6" t="s">
        <v>85</v>
      </c>
      <c r="Q331" s="6" t="str">
        <f aca="false">IF(P331="pass","No","Yes")</f>
        <v>Yes</v>
      </c>
      <c r="R331" s="6" t="s">
        <v>86</v>
      </c>
      <c r="S331" s="6" t="s">
        <v>866</v>
      </c>
      <c r="T331" s="6" t="s">
        <v>225</v>
      </c>
      <c r="U331" s="23" t="n">
        <v>40.549</v>
      </c>
      <c r="V331" s="6" t="s">
        <v>5149</v>
      </c>
      <c r="W331" s="6" t="s">
        <v>5150</v>
      </c>
      <c r="X331" s="6" t="s">
        <v>5151</v>
      </c>
      <c r="Y331" s="6" t="s">
        <v>86</v>
      </c>
      <c r="Z331" s="6" t="n">
        <v>1</v>
      </c>
      <c r="AA331" s="6" t="n">
        <v>0</v>
      </c>
      <c r="AB331" s="6" t="n">
        <v>0</v>
      </c>
      <c r="AC331" s="6" t="n">
        <v>0</v>
      </c>
      <c r="AD331" s="6" t="n">
        <v>0</v>
      </c>
      <c r="AE331" s="6" t="n">
        <v>0</v>
      </c>
      <c r="AF331" s="6" t="n">
        <v>0</v>
      </c>
      <c r="AG331" s="6" t="n">
        <v>0</v>
      </c>
      <c r="AH331" s="6" t="n">
        <v>0</v>
      </c>
      <c r="AI331" s="6" t="s">
        <v>58</v>
      </c>
    </row>
    <row r="332" customFormat="false" ht="15" hidden="false" customHeight="false" outlineLevel="0" collapsed="false">
      <c r="A332" s="6" t="n">
        <v>331</v>
      </c>
      <c r="B332" s="6" t="s">
        <v>5152</v>
      </c>
      <c r="C332" s="6" t="n">
        <v>7</v>
      </c>
      <c r="D332" s="6" t="s">
        <v>198</v>
      </c>
      <c r="E332" s="6" t="s">
        <v>81</v>
      </c>
      <c r="F332" s="6" t="n">
        <v>2</v>
      </c>
      <c r="G332" s="6" t="n">
        <v>15</v>
      </c>
      <c r="H332" s="6" t="s">
        <v>5153</v>
      </c>
      <c r="I332" s="22" t="n">
        <v>281800</v>
      </c>
      <c r="J332" s="22" t="n">
        <v>4000</v>
      </c>
      <c r="K332" s="22" t="n">
        <v>21435</v>
      </c>
      <c r="L332" s="22" t="n">
        <v>307235</v>
      </c>
      <c r="M332" s="6" t="s">
        <v>57</v>
      </c>
      <c r="N332" s="6" t="s">
        <v>58</v>
      </c>
      <c r="O332" s="6"/>
      <c r="P332" s="6" t="s">
        <v>69</v>
      </c>
      <c r="Q332" s="6" t="str">
        <f aca="false">IF(P332="pass","No","Yes")</f>
        <v>No</v>
      </c>
      <c r="R332" s="6" t="s">
        <v>60</v>
      </c>
      <c r="S332" s="6"/>
      <c r="T332" s="6"/>
      <c r="U332" s="23" t="n">
        <v>33.04</v>
      </c>
      <c r="V332" s="6" t="s">
        <v>5154</v>
      </c>
      <c r="W332" s="6" t="s">
        <v>5155</v>
      </c>
      <c r="X332" s="6" t="s">
        <v>5156</v>
      </c>
      <c r="Y332" s="6" t="s">
        <v>60</v>
      </c>
      <c r="Z332" s="6" t="n">
        <v>0</v>
      </c>
      <c r="AA332" s="6" t="n">
        <v>0</v>
      </c>
      <c r="AB332" s="6" t="n">
        <v>0</v>
      </c>
      <c r="AC332" s="6" t="n">
        <v>0</v>
      </c>
      <c r="AD332" s="6" t="n">
        <v>0</v>
      </c>
      <c r="AE332" s="6" t="n">
        <v>0</v>
      </c>
      <c r="AF332" s="6" t="n">
        <v>0</v>
      </c>
      <c r="AG332" s="6" t="n">
        <v>0</v>
      </c>
      <c r="AH332" s="6" t="n">
        <v>0</v>
      </c>
      <c r="AI332" s="6" t="s">
        <v>84</v>
      </c>
    </row>
    <row r="333" customFormat="false" ht="15" hidden="false" customHeight="false" outlineLevel="0" collapsed="false">
      <c r="A333" s="6" t="n">
        <v>332</v>
      </c>
      <c r="B333" s="6" t="s">
        <v>5157</v>
      </c>
      <c r="C333" s="6" t="n">
        <v>7</v>
      </c>
      <c r="D333" s="6" t="s">
        <v>213</v>
      </c>
      <c r="E333" s="6" t="s">
        <v>67</v>
      </c>
      <c r="F333" s="6" t="n">
        <v>2</v>
      </c>
      <c r="G333" s="6" t="n">
        <v>23</v>
      </c>
      <c r="H333" s="6" t="s">
        <v>5158</v>
      </c>
      <c r="I333" s="22" t="n">
        <v>242600</v>
      </c>
      <c r="J333" s="22" t="n">
        <v>4500</v>
      </c>
      <c r="K333" s="22" t="n">
        <v>18532.5</v>
      </c>
      <c r="L333" s="22" t="n">
        <v>265632.5</v>
      </c>
      <c r="M333" s="6" t="s">
        <v>57</v>
      </c>
      <c r="N333" s="6" t="s">
        <v>58</v>
      </c>
      <c r="O333" s="6"/>
      <c r="P333" s="6" t="s">
        <v>69</v>
      </c>
      <c r="Q333" s="6" t="str">
        <f aca="false">IF(P333="pass","No","Yes")</f>
        <v>No</v>
      </c>
      <c r="R333" s="6" t="s">
        <v>60</v>
      </c>
      <c r="S333" s="6"/>
      <c r="T333" s="6"/>
      <c r="U333" s="23" t="n">
        <v>33.533</v>
      </c>
      <c r="V333" s="6" t="s">
        <v>5159</v>
      </c>
      <c r="W333" s="6" t="s">
        <v>5160</v>
      </c>
      <c r="X333" s="6" t="s">
        <v>5161</v>
      </c>
      <c r="Y333" s="6" t="s">
        <v>60</v>
      </c>
      <c r="Z333" s="6" t="n">
        <v>0</v>
      </c>
      <c r="AA333" s="6" t="n">
        <v>0</v>
      </c>
      <c r="AB333" s="6" t="n">
        <v>0</v>
      </c>
      <c r="AC333" s="6" t="n">
        <v>0</v>
      </c>
      <c r="AD333" s="6" t="n">
        <v>0</v>
      </c>
      <c r="AE333" s="6" t="n">
        <v>0</v>
      </c>
      <c r="AF333" s="6" t="n">
        <v>0</v>
      </c>
      <c r="AG333" s="6" t="n">
        <v>0</v>
      </c>
      <c r="AH333" s="6" t="n">
        <v>0</v>
      </c>
      <c r="AI333" s="6" t="s">
        <v>84</v>
      </c>
    </row>
    <row r="334" customFormat="false" ht="15" hidden="false" customHeight="false" outlineLevel="0" collapsed="false">
      <c r="A334" s="6" t="n">
        <v>333</v>
      </c>
      <c r="B334" s="6" t="s">
        <v>5162</v>
      </c>
      <c r="C334" s="6" t="n">
        <v>7</v>
      </c>
      <c r="D334" s="6" t="s">
        <v>186</v>
      </c>
      <c r="E334" s="6" t="s">
        <v>123</v>
      </c>
      <c r="F334" s="6" t="n">
        <v>2</v>
      </c>
      <c r="G334" s="6" t="n">
        <v>119</v>
      </c>
      <c r="H334" s="6" t="s">
        <v>5163</v>
      </c>
      <c r="I334" s="22" t="n">
        <v>1097700</v>
      </c>
      <c r="J334" s="22" t="n">
        <v>5000</v>
      </c>
      <c r="K334" s="22" t="n">
        <v>82702.5</v>
      </c>
      <c r="L334" s="22" t="n">
        <v>1185402.5</v>
      </c>
      <c r="M334" s="6" t="s">
        <v>57</v>
      </c>
      <c r="N334" s="6" t="s">
        <v>58</v>
      </c>
      <c r="O334" s="6"/>
      <c r="P334" s="6" t="s">
        <v>69</v>
      </c>
      <c r="Q334" s="6" t="str">
        <f aca="false">IF(P334="pass","No","Yes")</f>
        <v>No</v>
      </c>
      <c r="R334" s="6" t="s">
        <v>60</v>
      </c>
      <c r="S334" s="6"/>
      <c r="T334" s="6"/>
      <c r="U334" s="23" t="n">
        <v>43.272</v>
      </c>
      <c r="V334" s="6" t="s">
        <v>5164</v>
      </c>
      <c r="W334" s="6" t="s">
        <v>5165</v>
      </c>
      <c r="X334" s="6" t="s">
        <v>5166</v>
      </c>
      <c r="Y334" s="6" t="s">
        <v>60</v>
      </c>
      <c r="Z334" s="6" t="n">
        <v>0</v>
      </c>
      <c r="AA334" s="6" t="n">
        <v>0</v>
      </c>
      <c r="AB334" s="6" t="n">
        <v>0</v>
      </c>
      <c r="AC334" s="6" t="n">
        <v>0</v>
      </c>
      <c r="AD334" s="6" t="n">
        <v>0</v>
      </c>
      <c r="AE334" s="6" t="n">
        <v>0</v>
      </c>
      <c r="AF334" s="6" t="n">
        <v>0</v>
      </c>
      <c r="AG334" s="6" t="n">
        <v>0</v>
      </c>
      <c r="AH334" s="6" t="n">
        <v>0</v>
      </c>
      <c r="AI334" s="6" t="s">
        <v>84</v>
      </c>
    </row>
    <row r="335" customFormat="false" ht="15" hidden="false" customHeight="false" outlineLevel="0" collapsed="false">
      <c r="A335" s="6" t="n">
        <v>334</v>
      </c>
      <c r="B335" s="6" t="s">
        <v>5167</v>
      </c>
      <c r="C335" s="6" t="n">
        <v>7</v>
      </c>
      <c r="D335" s="6" t="s">
        <v>166</v>
      </c>
      <c r="E335" s="6" t="s">
        <v>74</v>
      </c>
      <c r="F335" s="6" t="n">
        <v>3</v>
      </c>
      <c r="G335" s="6" t="n">
        <v>44</v>
      </c>
      <c r="H335" s="6" t="s">
        <v>5168</v>
      </c>
      <c r="I335" s="22" t="n">
        <v>1340500</v>
      </c>
      <c r="J335" s="22" t="n">
        <v>9000</v>
      </c>
      <c r="K335" s="22" t="n">
        <v>101212.5</v>
      </c>
      <c r="L335" s="22" t="n">
        <v>1450712.5</v>
      </c>
      <c r="M335" s="6" t="s">
        <v>57</v>
      </c>
      <c r="N335" s="6" t="s">
        <v>58</v>
      </c>
      <c r="O335" s="6"/>
      <c r="P335" s="6" t="s">
        <v>69</v>
      </c>
      <c r="Q335" s="6" t="str">
        <f aca="false">IF(P335="pass","No","Yes")</f>
        <v>No</v>
      </c>
      <c r="R335" s="6" t="s">
        <v>60</v>
      </c>
      <c r="S335" s="6"/>
      <c r="T335" s="6"/>
      <c r="U335" s="23" t="n">
        <v>43.004</v>
      </c>
      <c r="V335" s="6" t="s">
        <v>5169</v>
      </c>
      <c r="W335" s="6" t="s">
        <v>5170</v>
      </c>
      <c r="X335" s="6" t="s">
        <v>5171</v>
      </c>
      <c r="Y335" s="6" t="s">
        <v>60</v>
      </c>
      <c r="Z335" s="6" t="n">
        <v>0</v>
      </c>
      <c r="AA335" s="6" t="n">
        <v>0</v>
      </c>
      <c r="AB335" s="6" t="n">
        <v>0</v>
      </c>
      <c r="AC335" s="6" t="n">
        <v>0</v>
      </c>
      <c r="AD335" s="6" t="n">
        <v>0</v>
      </c>
      <c r="AE335" s="6" t="n">
        <v>0</v>
      </c>
      <c r="AF335" s="6" t="n">
        <v>0</v>
      </c>
      <c r="AG335" s="6" t="n">
        <v>0</v>
      </c>
      <c r="AH335" s="6" t="n">
        <v>0</v>
      </c>
      <c r="AI335" s="6" t="s">
        <v>84</v>
      </c>
    </row>
    <row r="336" customFormat="false" ht="15" hidden="false" customHeight="false" outlineLevel="0" collapsed="false">
      <c r="A336" s="6" t="n">
        <v>335</v>
      </c>
      <c r="B336" s="6" t="s">
        <v>5172</v>
      </c>
      <c r="C336" s="6" t="n">
        <v>7</v>
      </c>
      <c r="D336" s="6" t="s">
        <v>154</v>
      </c>
      <c r="E336" s="6" t="s">
        <v>123</v>
      </c>
      <c r="F336" s="6" t="n">
        <v>2</v>
      </c>
      <c r="G336" s="6" t="n">
        <v>34</v>
      </c>
      <c r="H336" s="6" t="s">
        <v>5173</v>
      </c>
      <c r="I336" s="22" t="n">
        <v>331900</v>
      </c>
      <c r="J336" s="22" t="n">
        <v>5000</v>
      </c>
      <c r="K336" s="22" t="n">
        <v>25267.5</v>
      </c>
      <c r="L336" s="22" t="n">
        <v>362167.5</v>
      </c>
      <c r="M336" s="6" t="s">
        <v>1009</v>
      </c>
      <c r="N336" s="6" t="s">
        <v>58</v>
      </c>
      <c r="O336" s="6"/>
      <c r="P336" s="6" t="s">
        <v>59</v>
      </c>
      <c r="Q336" s="6" t="str">
        <f aca="false">IF(P336="pass","No","Yes")</f>
        <v>Yes</v>
      </c>
      <c r="R336" s="6" t="s">
        <v>60</v>
      </c>
      <c r="S336" s="6" t="s">
        <v>915</v>
      </c>
      <c r="T336" s="6" t="s">
        <v>5174</v>
      </c>
      <c r="U336" s="23" t="n">
        <v>31.336</v>
      </c>
      <c r="V336" s="6" t="s">
        <v>5175</v>
      </c>
      <c r="W336" s="6" t="s">
        <v>5176</v>
      </c>
      <c r="X336" s="6" t="s">
        <v>5177</v>
      </c>
      <c r="Y336" s="6" t="s">
        <v>60</v>
      </c>
      <c r="Z336" s="6" t="n">
        <v>0</v>
      </c>
      <c r="AA336" s="6" t="n">
        <v>0</v>
      </c>
      <c r="AB336" s="6" t="n">
        <v>0</v>
      </c>
      <c r="AC336" s="6" t="n">
        <v>0</v>
      </c>
      <c r="AD336" s="6" t="n">
        <v>0</v>
      </c>
      <c r="AE336" s="6" t="n">
        <v>0</v>
      </c>
      <c r="AF336" s="6" t="n">
        <v>0</v>
      </c>
      <c r="AG336" s="6" t="n">
        <v>0</v>
      </c>
      <c r="AH336" s="6" t="n">
        <v>1</v>
      </c>
      <c r="AI336" s="6" t="s">
        <v>84</v>
      </c>
    </row>
    <row r="337" customFormat="false" ht="15" hidden="false" customHeight="false" outlineLevel="0" collapsed="false">
      <c r="A337" s="6" t="n">
        <v>336</v>
      </c>
      <c r="B337" s="6" t="s">
        <v>5178</v>
      </c>
      <c r="C337" s="6" t="n">
        <v>7</v>
      </c>
      <c r="D337" s="6" t="s">
        <v>213</v>
      </c>
      <c r="E337" s="6" t="s">
        <v>67</v>
      </c>
      <c r="F337" s="6" t="n">
        <v>3</v>
      </c>
      <c r="G337" s="6" t="n">
        <v>342</v>
      </c>
      <c r="H337" s="6" t="s">
        <v>5179</v>
      </c>
      <c r="I337" s="22" t="n">
        <v>2798500</v>
      </c>
      <c r="J337" s="22" t="n">
        <v>4500</v>
      </c>
      <c r="K337" s="22" t="n">
        <v>210225</v>
      </c>
      <c r="L337" s="22" t="n">
        <v>3013225</v>
      </c>
      <c r="M337" s="6" t="s">
        <v>927</v>
      </c>
      <c r="N337" s="6" t="s">
        <v>58</v>
      </c>
      <c r="O337" s="6"/>
      <c r="P337" s="6" t="s">
        <v>59</v>
      </c>
      <c r="Q337" s="6" t="str">
        <f aca="false">IF(P337="pass","No","Yes")</f>
        <v>Yes</v>
      </c>
      <c r="R337" s="6" t="s">
        <v>60</v>
      </c>
      <c r="S337" s="6" t="s">
        <v>915</v>
      </c>
      <c r="T337" s="6" t="s">
        <v>5180</v>
      </c>
      <c r="U337" s="23" t="n">
        <v>70.966</v>
      </c>
      <c r="V337" s="6" t="s">
        <v>5181</v>
      </c>
      <c r="W337" s="6" t="s">
        <v>5182</v>
      </c>
      <c r="X337" s="6" t="s">
        <v>5183</v>
      </c>
      <c r="Y337" s="6" t="s">
        <v>60</v>
      </c>
      <c r="Z337" s="6" t="n">
        <v>0</v>
      </c>
      <c r="AA337" s="6" t="n">
        <v>0</v>
      </c>
      <c r="AB337" s="6" t="n">
        <v>0</v>
      </c>
      <c r="AC337" s="6" t="n">
        <v>0</v>
      </c>
      <c r="AD337" s="6" t="n">
        <v>0</v>
      </c>
      <c r="AE337" s="6" t="n">
        <v>0</v>
      </c>
      <c r="AF337" s="6" t="n">
        <v>0</v>
      </c>
      <c r="AG337" s="6" t="n">
        <v>0</v>
      </c>
      <c r="AH337" s="6" t="n">
        <v>1</v>
      </c>
      <c r="AI337" s="6" t="s">
        <v>84</v>
      </c>
    </row>
    <row r="338" customFormat="false" ht="15" hidden="false" customHeight="false" outlineLevel="0" collapsed="false">
      <c r="A338" s="6" t="n">
        <v>337</v>
      </c>
      <c r="B338" s="6" t="s">
        <v>5184</v>
      </c>
      <c r="C338" s="6" t="n">
        <v>7</v>
      </c>
      <c r="D338" s="6" t="s">
        <v>89</v>
      </c>
      <c r="E338" s="6" t="s">
        <v>67</v>
      </c>
      <c r="F338" s="6" t="n">
        <v>2</v>
      </c>
      <c r="G338" s="6" t="n">
        <v>135</v>
      </c>
      <c r="H338" s="6" t="s">
        <v>5185</v>
      </c>
      <c r="I338" s="22" t="n">
        <v>1271700</v>
      </c>
      <c r="J338" s="22" t="n">
        <v>4500</v>
      </c>
      <c r="K338" s="22" t="n">
        <v>95715</v>
      </c>
      <c r="L338" s="22" t="n">
        <v>1371915</v>
      </c>
      <c r="M338" s="6" t="s">
        <v>57</v>
      </c>
      <c r="N338" s="6" t="s">
        <v>58</v>
      </c>
      <c r="O338" s="6"/>
      <c r="P338" s="6" t="s">
        <v>69</v>
      </c>
      <c r="Q338" s="6" t="str">
        <f aca="false">IF(P338="pass","No","Yes")</f>
        <v>No</v>
      </c>
      <c r="R338" s="6" t="s">
        <v>60</v>
      </c>
      <c r="S338" s="6"/>
      <c r="T338" s="6"/>
      <c r="U338" s="23" t="n">
        <v>44.086</v>
      </c>
      <c r="V338" s="6" t="s">
        <v>5186</v>
      </c>
      <c r="W338" s="6" t="s">
        <v>5187</v>
      </c>
      <c r="X338" s="6" t="s">
        <v>5188</v>
      </c>
      <c r="Y338" s="6" t="s">
        <v>60</v>
      </c>
      <c r="Z338" s="6" t="n">
        <v>0</v>
      </c>
      <c r="AA338" s="6" t="n">
        <v>0</v>
      </c>
      <c r="AB338" s="6" t="n">
        <v>0</v>
      </c>
      <c r="AC338" s="6" t="n">
        <v>0</v>
      </c>
      <c r="AD338" s="6" t="n">
        <v>0</v>
      </c>
      <c r="AE338" s="6" t="n">
        <v>0</v>
      </c>
      <c r="AF338" s="6" t="n">
        <v>0</v>
      </c>
      <c r="AG338" s="6" t="n">
        <v>0</v>
      </c>
      <c r="AH338" s="6" t="n">
        <v>0</v>
      </c>
      <c r="AI338" s="6" t="s">
        <v>84</v>
      </c>
    </row>
    <row r="339" customFormat="false" ht="15" hidden="false" customHeight="false" outlineLevel="0" collapsed="false">
      <c r="A339" s="6" t="n">
        <v>338</v>
      </c>
      <c r="B339" s="6" t="s">
        <v>5189</v>
      </c>
      <c r="C339" s="6" t="n">
        <v>7</v>
      </c>
      <c r="D339" s="6" t="s">
        <v>142</v>
      </c>
      <c r="E339" s="6" t="s">
        <v>74</v>
      </c>
      <c r="F339" s="6" t="n">
        <v>1</v>
      </c>
      <c r="G339" s="6" t="n">
        <v>28</v>
      </c>
      <c r="H339" s="6" t="s">
        <v>2536</v>
      </c>
      <c r="I339" s="22" t="n">
        <v>1064000</v>
      </c>
      <c r="J339" s="22" t="n">
        <v>9000</v>
      </c>
      <c r="K339" s="22" t="n">
        <v>80475</v>
      </c>
      <c r="L339" s="22" t="n">
        <v>1153475</v>
      </c>
      <c r="M339" s="6" t="s">
        <v>94</v>
      </c>
      <c r="N339" s="6" t="s">
        <v>84</v>
      </c>
      <c r="O339" s="6" t="s">
        <v>909</v>
      </c>
      <c r="P339" s="6" t="s">
        <v>85</v>
      </c>
      <c r="Q339" s="6" t="str">
        <f aca="false">IF(P339="pass","No","Yes")</f>
        <v>Yes</v>
      </c>
      <c r="R339" s="6" t="s">
        <v>86</v>
      </c>
      <c r="S339" s="6" t="s">
        <v>909</v>
      </c>
      <c r="T339" s="6" t="s">
        <v>254</v>
      </c>
      <c r="U339" s="23" t="n">
        <v>19.807</v>
      </c>
      <c r="V339" s="6" t="s">
        <v>5190</v>
      </c>
      <c r="W339" s="6" t="s">
        <v>5191</v>
      </c>
      <c r="X339" s="6" t="s">
        <v>5192</v>
      </c>
      <c r="Y339" s="6" t="s">
        <v>86</v>
      </c>
      <c r="Z339" s="6" t="n">
        <v>0</v>
      </c>
      <c r="AA339" s="6" t="n">
        <v>0</v>
      </c>
      <c r="AB339" s="6" t="n">
        <v>0</v>
      </c>
      <c r="AC339" s="6" t="n">
        <v>0</v>
      </c>
      <c r="AD339" s="6" t="n">
        <v>0</v>
      </c>
      <c r="AE339" s="6" t="n">
        <v>0</v>
      </c>
      <c r="AF339" s="6" t="n">
        <v>1</v>
      </c>
      <c r="AG339" s="6" t="n">
        <v>0</v>
      </c>
      <c r="AH339" s="6" t="n">
        <v>0</v>
      </c>
      <c r="AI339" s="6" t="s">
        <v>84</v>
      </c>
    </row>
    <row r="340" customFormat="false" ht="15" hidden="false" customHeight="false" outlineLevel="0" collapsed="false">
      <c r="A340" s="6" t="n">
        <v>339</v>
      </c>
      <c r="B340" s="6" t="s">
        <v>5193</v>
      </c>
      <c r="C340" s="6" t="n">
        <v>7</v>
      </c>
      <c r="D340" s="6" t="s">
        <v>89</v>
      </c>
      <c r="E340" s="6" t="s">
        <v>67</v>
      </c>
      <c r="F340" s="6" t="n">
        <v>2</v>
      </c>
      <c r="G340" s="6" t="n">
        <v>135</v>
      </c>
      <c r="H340" s="6" t="s">
        <v>5185</v>
      </c>
      <c r="I340" s="22" t="n">
        <v>1271700</v>
      </c>
      <c r="J340" s="22" t="n">
        <v>4500</v>
      </c>
      <c r="K340" s="22" t="n">
        <v>95715</v>
      </c>
      <c r="L340" s="22" t="n">
        <v>1371915</v>
      </c>
      <c r="M340" s="6" t="s">
        <v>97</v>
      </c>
      <c r="N340" s="6" t="s">
        <v>84</v>
      </c>
      <c r="O340" s="6" t="s">
        <v>1185</v>
      </c>
      <c r="P340" s="6" t="s">
        <v>59</v>
      </c>
      <c r="Q340" s="6" t="str">
        <f aca="false">IF(P340="pass","No","Yes")</f>
        <v>Yes</v>
      </c>
      <c r="R340" s="6" t="s">
        <v>98</v>
      </c>
      <c r="S340" s="6" t="s">
        <v>1185</v>
      </c>
      <c r="T340" s="6" t="s">
        <v>5194</v>
      </c>
      <c r="U340" s="23" t="n">
        <v>41.977</v>
      </c>
      <c r="V340" s="6" t="s">
        <v>5195</v>
      </c>
      <c r="W340" s="6"/>
      <c r="X340" s="6" t="s">
        <v>5195</v>
      </c>
      <c r="Y340" s="6" t="s">
        <v>98</v>
      </c>
      <c r="Z340" s="6" t="n">
        <v>0</v>
      </c>
      <c r="AA340" s="6" t="n">
        <v>0</v>
      </c>
      <c r="AB340" s="6" t="n">
        <v>0</v>
      </c>
      <c r="AC340" s="6" t="n">
        <v>0</v>
      </c>
      <c r="AD340" s="6" t="n">
        <v>0</v>
      </c>
      <c r="AE340" s="6" t="n">
        <v>0</v>
      </c>
      <c r="AF340" s="6" t="n">
        <v>0</v>
      </c>
      <c r="AG340" s="6" t="n">
        <v>1</v>
      </c>
      <c r="AH340" s="6" t="n">
        <v>0</v>
      </c>
      <c r="AI340" s="6" t="s">
        <v>84</v>
      </c>
    </row>
    <row r="341" customFormat="false" ht="15" hidden="false" customHeight="false" outlineLevel="0" collapsed="false">
      <c r="A341" s="6" t="n">
        <v>340</v>
      </c>
      <c r="B341" s="6" t="s">
        <v>5196</v>
      </c>
      <c r="C341" s="6" t="n">
        <v>7</v>
      </c>
      <c r="D341" s="6" t="s">
        <v>100</v>
      </c>
      <c r="E341" s="6" t="s">
        <v>67</v>
      </c>
      <c r="F341" s="6" t="n">
        <v>1</v>
      </c>
      <c r="G341" s="6" t="n">
        <v>13</v>
      </c>
      <c r="H341" s="6" t="s">
        <v>1453</v>
      </c>
      <c r="I341" s="22" t="n">
        <v>403000</v>
      </c>
      <c r="J341" s="22" t="n">
        <v>4500</v>
      </c>
      <c r="K341" s="22" t="n">
        <v>30562.5</v>
      </c>
      <c r="L341" s="22" t="n">
        <v>438062.5</v>
      </c>
      <c r="M341" s="6" t="s">
        <v>57</v>
      </c>
      <c r="N341" s="6" t="s">
        <v>58</v>
      </c>
      <c r="O341" s="6"/>
      <c r="P341" s="6" t="s">
        <v>69</v>
      </c>
      <c r="Q341" s="6" t="str">
        <f aca="false">IF(P341="pass","No","Yes")</f>
        <v>No</v>
      </c>
      <c r="R341" s="6" t="s">
        <v>60</v>
      </c>
      <c r="S341" s="6"/>
      <c r="T341" s="6"/>
      <c r="U341" s="23" t="n">
        <v>20.286</v>
      </c>
      <c r="V341" s="6" t="s">
        <v>5197</v>
      </c>
      <c r="W341" s="6" t="s">
        <v>5198</v>
      </c>
      <c r="X341" s="6" t="s">
        <v>5199</v>
      </c>
      <c r="Y341" s="6" t="s">
        <v>60</v>
      </c>
      <c r="Z341" s="6" t="n">
        <v>0</v>
      </c>
      <c r="AA341" s="6" t="n">
        <v>0</v>
      </c>
      <c r="AB341" s="6" t="n">
        <v>0</v>
      </c>
      <c r="AC341" s="6" t="n">
        <v>0</v>
      </c>
      <c r="AD341" s="6" t="n">
        <v>0</v>
      </c>
      <c r="AE341" s="6" t="n">
        <v>0</v>
      </c>
      <c r="AF341" s="6" t="n">
        <v>0</v>
      </c>
      <c r="AG341" s="6" t="n">
        <v>0</v>
      </c>
      <c r="AH341" s="6" t="n">
        <v>0</v>
      </c>
      <c r="AI341" s="6" t="s">
        <v>84</v>
      </c>
    </row>
    <row r="342" customFormat="false" ht="15" hidden="false" customHeight="false" outlineLevel="0" collapsed="false">
      <c r="A342" s="6" t="n">
        <v>341</v>
      </c>
      <c r="B342" s="6" t="s">
        <v>5200</v>
      </c>
      <c r="C342" s="6" t="n">
        <v>7</v>
      </c>
      <c r="D342" s="6" t="s">
        <v>51</v>
      </c>
      <c r="E342" s="6" t="s">
        <v>55</v>
      </c>
      <c r="F342" s="6" t="n">
        <v>4</v>
      </c>
      <c r="G342" s="6" t="n">
        <v>79</v>
      </c>
      <c r="H342" s="6" t="s">
        <v>5201</v>
      </c>
      <c r="I342" s="22" t="n">
        <v>1386700</v>
      </c>
      <c r="J342" s="22" t="n">
        <v>6000</v>
      </c>
      <c r="K342" s="22" t="n">
        <v>104452.5</v>
      </c>
      <c r="L342" s="22" t="n">
        <v>1497152.5</v>
      </c>
      <c r="M342" s="6" t="s">
        <v>83</v>
      </c>
      <c r="N342" s="6" t="s">
        <v>84</v>
      </c>
      <c r="O342" s="6" t="s">
        <v>886</v>
      </c>
      <c r="P342" s="6" t="s">
        <v>85</v>
      </c>
      <c r="Q342" s="6" t="str">
        <f aca="false">IF(P342="pass","No","Yes")</f>
        <v>Yes</v>
      </c>
      <c r="R342" s="6" t="s">
        <v>86</v>
      </c>
      <c r="S342" s="6" t="s">
        <v>886</v>
      </c>
      <c r="T342" s="6" t="s">
        <v>290</v>
      </c>
      <c r="U342" s="23" t="n">
        <v>55.806</v>
      </c>
      <c r="V342" s="6" t="s">
        <v>5202</v>
      </c>
      <c r="W342" s="6" t="s">
        <v>5203</v>
      </c>
      <c r="X342" s="6" t="s">
        <v>5204</v>
      </c>
      <c r="Y342" s="6" t="s">
        <v>86</v>
      </c>
      <c r="Z342" s="6" t="n">
        <v>0</v>
      </c>
      <c r="AA342" s="6" t="n">
        <v>0</v>
      </c>
      <c r="AB342" s="6" t="n">
        <v>1</v>
      </c>
      <c r="AC342" s="6" t="n">
        <v>0</v>
      </c>
      <c r="AD342" s="6" t="n">
        <v>0</v>
      </c>
      <c r="AE342" s="6" t="n">
        <v>0</v>
      </c>
      <c r="AF342" s="6" t="n">
        <v>0</v>
      </c>
      <c r="AG342" s="6" t="n">
        <v>0</v>
      </c>
      <c r="AH342" s="6" t="n">
        <v>0</v>
      </c>
      <c r="AI342" s="6" t="s">
        <v>84</v>
      </c>
    </row>
    <row r="343" customFormat="false" ht="15" hidden="false" customHeight="false" outlineLevel="0" collapsed="false">
      <c r="A343" s="6" t="n">
        <v>342</v>
      </c>
      <c r="B343" s="6" t="s">
        <v>5205</v>
      </c>
      <c r="C343" s="6" t="n">
        <v>7</v>
      </c>
      <c r="D343" s="6" t="s">
        <v>127</v>
      </c>
      <c r="E343" s="6" t="s">
        <v>55</v>
      </c>
      <c r="F343" s="6" t="n">
        <v>4</v>
      </c>
      <c r="G343" s="6" t="n">
        <v>95</v>
      </c>
      <c r="H343" s="6" t="s">
        <v>5206</v>
      </c>
      <c r="I343" s="22" t="n">
        <v>1661500</v>
      </c>
      <c r="J343" s="22" t="n">
        <v>6000</v>
      </c>
      <c r="K343" s="22" t="n">
        <v>125062.5</v>
      </c>
      <c r="L343" s="22" t="n">
        <v>1792562.5</v>
      </c>
      <c r="M343" s="6" t="s">
        <v>83</v>
      </c>
      <c r="N343" s="6" t="s">
        <v>84</v>
      </c>
      <c r="O343" s="6" t="s">
        <v>886</v>
      </c>
      <c r="P343" s="6" t="s">
        <v>85</v>
      </c>
      <c r="Q343" s="6" t="str">
        <f aca="false">IF(P343="pass","No","Yes")</f>
        <v>Yes</v>
      </c>
      <c r="R343" s="6" t="s">
        <v>86</v>
      </c>
      <c r="S343" s="6" t="s">
        <v>886</v>
      </c>
      <c r="T343" s="6" t="s">
        <v>438</v>
      </c>
      <c r="U343" s="23" t="n">
        <v>60.763</v>
      </c>
      <c r="V343" s="6" t="s">
        <v>5207</v>
      </c>
      <c r="W343" s="6" t="s">
        <v>5208</v>
      </c>
      <c r="X343" s="6" t="s">
        <v>5209</v>
      </c>
      <c r="Y343" s="6" t="s">
        <v>86</v>
      </c>
      <c r="Z343" s="6" t="n">
        <v>0</v>
      </c>
      <c r="AA343" s="6" t="n">
        <v>0</v>
      </c>
      <c r="AB343" s="6" t="n">
        <v>1</v>
      </c>
      <c r="AC343" s="6" t="n">
        <v>0</v>
      </c>
      <c r="AD343" s="6" t="n">
        <v>0</v>
      </c>
      <c r="AE343" s="6" t="n">
        <v>0</v>
      </c>
      <c r="AF343" s="6" t="n">
        <v>0</v>
      </c>
      <c r="AG343" s="6" t="n">
        <v>0</v>
      </c>
      <c r="AH343" s="6" t="n">
        <v>0</v>
      </c>
      <c r="AI343" s="6" t="s">
        <v>84</v>
      </c>
    </row>
    <row r="344" customFormat="false" ht="15" hidden="false" customHeight="false" outlineLevel="0" collapsed="false">
      <c r="A344" s="6" t="n">
        <v>343</v>
      </c>
      <c r="B344" s="6" t="s">
        <v>5210</v>
      </c>
      <c r="C344" s="6" t="n">
        <v>7</v>
      </c>
      <c r="D344" s="6" t="s">
        <v>213</v>
      </c>
      <c r="E344" s="6" t="s">
        <v>67</v>
      </c>
      <c r="F344" s="6" t="n">
        <v>2</v>
      </c>
      <c r="G344" s="6" t="n">
        <v>12</v>
      </c>
      <c r="H344" s="6" t="s">
        <v>5211</v>
      </c>
      <c r="I344" s="22" t="n">
        <v>528200</v>
      </c>
      <c r="J344" s="22" t="n">
        <v>4500</v>
      </c>
      <c r="K344" s="22" t="n">
        <v>39952.5</v>
      </c>
      <c r="L344" s="22" t="n">
        <v>572652.5</v>
      </c>
      <c r="M344" s="6" t="s">
        <v>57</v>
      </c>
      <c r="N344" s="6" t="s">
        <v>58</v>
      </c>
      <c r="O344" s="6"/>
      <c r="P344" s="6" t="s">
        <v>69</v>
      </c>
      <c r="Q344" s="6" t="str">
        <f aca="false">IF(P344="pass","No","Yes")</f>
        <v>No</v>
      </c>
      <c r="R344" s="6" t="s">
        <v>60</v>
      </c>
      <c r="S344" s="6"/>
      <c r="T344" s="6"/>
      <c r="U344" s="23" t="n">
        <v>30.487</v>
      </c>
      <c r="V344" s="6" t="s">
        <v>5212</v>
      </c>
      <c r="W344" s="6" t="s">
        <v>5213</v>
      </c>
      <c r="X344" s="6" t="s">
        <v>5214</v>
      </c>
      <c r="Y344" s="6" t="s">
        <v>60</v>
      </c>
      <c r="Z344" s="6" t="n">
        <v>0</v>
      </c>
      <c r="AA344" s="6" t="n">
        <v>0</v>
      </c>
      <c r="AB344" s="6" t="n">
        <v>0</v>
      </c>
      <c r="AC344" s="6" t="n">
        <v>0</v>
      </c>
      <c r="AD344" s="6" t="n">
        <v>0</v>
      </c>
      <c r="AE344" s="6" t="n">
        <v>0</v>
      </c>
      <c r="AF344" s="6" t="n">
        <v>0</v>
      </c>
      <c r="AG344" s="6" t="n">
        <v>0</v>
      </c>
      <c r="AH344" s="6" t="n">
        <v>0</v>
      </c>
      <c r="AI344" s="6" t="s">
        <v>84</v>
      </c>
    </row>
    <row r="345" customFormat="false" ht="15" hidden="false" customHeight="false" outlineLevel="0" collapsed="false">
      <c r="A345" s="6" t="n">
        <v>344</v>
      </c>
      <c r="B345" s="6" t="s">
        <v>5215</v>
      </c>
      <c r="C345" s="6" t="n">
        <v>7</v>
      </c>
      <c r="D345" s="6" t="s">
        <v>127</v>
      </c>
      <c r="E345" s="6" t="s">
        <v>55</v>
      </c>
      <c r="F345" s="6" t="n">
        <v>4</v>
      </c>
      <c r="G345" s="6" t="n">
        <v>1096</v>
      </c>
      <c r="H345" s="6" t="s">
        <v>5216</v>
      </c>
      <c r="I345" s="22" t="n">
        <v>14281000</v>
      </c>
      <c r="J345" s="22" t="n">
        <v>6000</v>
      </c>
      <c r="K345" s="22" t="n">
        <v>1071525</v>
      </c>
      <c r="L345" s="22" t="n">
        <v>15358525</v>
      </c>
      <c r="M345" s="6" t="s">
        <v>159</v>
      </c>
      <c r="N345" s="6" t="s">
        <v>84</v>
      </c>
      <c r="O345" s="6" t="s">
        <v>886</v>
      </c>
      <c r="P345" s="6" t="s">
        <v>85</v>
      </c>
      <c r="Q345" s="6" t="str">
        <f aca="false">IF(P345="pass","No","Yes")</f>
        <v>Yes</v>
      </c>
      <c r="R345" s="6" t="s">
        <v>86</v>
      </c>
      <c r="S345" s="6" t="s">
        <v>934</v>
      </c>
      <c r="T345" s="6" t="s">
        <v>491</v>
      </c>
      <c r="U345" s="23" t="n">
        <v>52.592</v>
      </c>
      <c r="V345" s="6" t="s">
        <v>5217</v>
      </c>
      <c r="W345" s="6" t="s">
        <v>5218</v>
      </c>
      <c r="X345" s="6" t="s">
        <v>5219</v>
      </c>
      <c r="Y345" s="6" t="s">
        <v>86</v>
      </c>
      <c r="Z345" s="6" t="n">
        <v>0</v>
      </c>
      <c r="AA345" s="6" t="n">
        <v>0</v>
      </c>
      <c r="AB345" s="6" t="n">
        <v>1</v>
      </c>
      <c r="AC345" s="6" t="n">
        <v>1</v>
      </c>
      <c r="AD345" s="6" t="n">
        <v>0</v>
      </c>
      <c r="AE345" s="6" t="n">
        <v>0</v>
      </c>
      <c r="AF345" s="6" t="n">
        <v>0</v>
      </c>
      <c r="AG345" s="6" t="n">
        <v>0</v>
      </c>
      <c r="AH345" s="6" t="n">
        <v>0</v>
      </c>
      <c r="AI345" s="6" t="s">
        <v>84</v>
      </c>
    </row>
    <row r="346" customFormat="false" ht="15" hidden="false" customHeight="false" outlineLevel="0" collapsed="false">
      <c r="A346" s="6" t="n">
        <v>345</v>
      </c>
      <c r="B346" s="6" t="s">
        <v>5220</v>
      </c>
      <c r="C346" s="6" t="n">
        <v>7</v>
      </c>
      <c r="D346" s="6" t="s">
        <v>237</v>
      </c>
      <c r="E346" s="6" t="s">
        <v>116</v>
      </c>
      <c r="F346" s="6" t="n">
        <v>1</v>
      </c>
      <c r="G346" s="6" t="n">
        <v>67</v>
      </c>
      <c r="H346" s="6" t="s">
        <v>5221</v>
      </c>
      <c r="I346" s="22" t="n">
        <v>837500</v>
      </c>
      <c r="J346" s="22" t="n">
        <v>15000</v>
      </c>
      <c r="K346" s="22" t="n">
        <v>63937.5</v>
      </c>
      <c r="L346" s="22" t="n">
        <v>916437.5</v>
      </c>
      <c r="M346" s="6" t="s">
        <v>57</v>
      </c>
      <c r="N346" s="6" t="s">
        <v>58</v>
      </c>
      <c r="O346" s="6"/>
      <c r="P346" s="6" t="s">
        <v>69</v>
      </c>
      <c r="Q346" s="6" t="str">
        <f aca="false">IF(P346="pass","No","Yes")</f>
        <v>No</v>
      </c>
      <c r="R346" s="6" t="s">
        <v>60</v>
      </c>
      <c r="S346" s="6"/>
      <c r="T346" s="6"/>
      <c r="U346" s="23" t="n">
        <v>18.538</v>
      </c>
      <c r="V346" s="6" t="s">
        <v>5222</v>
      </c>
      <c r="W346" s="6" t="s">
        <v>5223</v>
      </c>
      <c r="X346" s="6" t="s">
        <v>5224</v>
      </c>
      <c r="Y346" s="6" t="s">
        <v>60</v>
      </c>
      <c r="Z346" s="6" t="n">
        <v>0</v>
      </c>
      <c r="AA346" s="6" t="n">
        <v>0</v>
      </c>
      <c r="AB346" s="6" t="n">
        <v>0</v>
      </c>
      <c r="AC346" s="6" t="n">
        <v>0</v>
      </c>
      <c r="AD346" s="6" t="n">
        <v>0</v>
      </c>
      <c r="AE346" s="6" t="n">
        <v>0</v>
      </c>
      <c r="AF346" s="6" t="n">
        <v>0</v>
      </c>
      <c r="AG346" s="6" t="n">
        <v>0</v>
      </c>
      <c r="AH346" s="6" t="n">
        <v>0</v>
      </c>
      <c r="AI346" s="6" t="s">
        <v>84</v>
      </c>
    </row>
    <row r="347" customFormat="false" ht="15" hidden="false" customHeight="false" outlineLevel="0" collapsed="false">
      <c r="A347" s="6" t="n">
        <v>346</v>
      </c>
      <c r="B347" s="6" t="s">
        <v>5225</v>
      </c>
      <c r="C347" s="6" t="n">
        <v>7</v>
      </c>
      <c r="D347" s="6" t="s">
        <v>100</v>
      </c>
      <c r="E347" s="6" t="s">
        <v>67</v>
      </c>
      <c r="F347" s="6" t="n">
        <v>3</v>
      </c>
      <c r="G347" s="6" t="n">
        <v>60</v>
      </c>
      <c r="H347" s="6" t="s">
        <v>5226</v>
      </c>
      <c r="I347" s="22" t="n">
        <v>1064000</v>
      </c>
      <c r="J347" s="22" t="n">
        <v>4500</v>
      </c>
      <c r="K347" s="22" t="n">
        <v>80137.5</v>
      </c>
      <c r="L347" s="22" t="n">
        <v>1148637.5</v>
      </c>
      <c r="M347" s="6" t="s">
        <v>132</v>
      </c>
      <c r="N347" s="6" t="s">
        <v>84</v>
      </c>
      <c r="O347" s="6" t="s">
        <v>879</v>
      </c>
      <c r="P347" s="6" t="s">
        <v>85</v>
      </c>
      <c r="Q347" s="6" t="str">
        <f aca="false">IF(P347="pass","No","Yes")</f>
        <v>Yes</v>
      </c>
      <c r="R347" s="6" t="s">
        <v>86</v>
      </c>
      <c r="S347" s="6" t="s">
        <v>880</v>
      </c>
      <c r="T347" s="6" t="s">
        <v>134</v>
      </c>
      <c r="U347" s="23" t="n">
        <v>38.373</v>
      </c>
      <c r="V347" s="6" t="s">
        <v>5227</v>
      </c>
      <c r="W347" s="6" t="s">
        <v>5228</v>
      </c>
      <c r="X347" s="6" t="s">
        <v>5229</v>
      </c>
      <c r="Y347" s="6" t="s">
        <v>86</v>
      </c>
      <c r="Z347" s="6" t="n">
        <v>0</v>
      </c>
      <c r="AA347" s="6" t="n">
        <v>1</v>
      </c>
      <c r="AB347" s="6" t="n">
        <v>0</v>
      </c>
      <c r="AC347" s="6" t="n">
        <v>1</v>
      </c>
      <c r="AD347" s="6" t="n">
        <v>0</v>
      </c>
      <c r="AE347" s="6" t="n">
        <v>0</v>
      </c>
      <c r="AF347" s="6" t="n">
        <v>0</v>
      </c>
      <c r="AG347" s="6" t="n">
        <v>0</v>
      </c>
      <c r="AH347" s="6" t="n">
        <v>0</v>
      </c>
      <c r="AI347" s="6" t="s">
        <v>84</v>
      </c>
    </row>
    <row r="348" customFormat="false" ht="15" hidden="false" customHeight="false" outlineLevel="0" collapsed="false">
      <c r="A348" s="6" t="n">
        <v>347</v>
      </c>
      <c r="B348" s="6" t="s">
        <v>5230</v>
      </c>
      <c r="C348" s="6" t="n">
        <v>7</v>
      </c>
      <c r="D348" s="6" t="s">
        <v>127</v>
      </c>
      <c r="E348" s="6" t="s">
        <v>146</v>
      </c>
      <c r="F348" s="6" t="n">
        <v>2</v>
      </c>
      <c r="G348" s="6" t="n">
        <v>61</v>
      </c>
      <c r="H348" s="6" t="s">
        <v>5231</v>
      </c>
      <c r="I348" s="22" t="n">
        <v>903200</v>
      </c>
      <c r="J348" s="22" t="n">
        <v>0</v>
      </c>
      <c r="K348" s="22" t="n">
        <v>67740</v>
      </c>
      <c r="L348" s="22" t="n">
        <v>970940</v>
      </c>
      <c r="M348" s="6" t="s">
        <v>148</v>
      </c>
      <c r="N348" s="6" t="s">
        <v>84</v>
      </c>
      <c r="O348" s="6" t="s">
        <v>866</v>
      </c>
      <c r="P348" s="6" t="s">
        <v>85</v>
      </c>
      <c r="Q348" s="6" t="str">
        <f aca="false">IF(P348="pass","No","Yes")</f>
        <v>Yes</v>
      </c>
      <c r="R348" s="6" t="s">
        <v>86</v>
      </c>
      <c r="S348" s="6" t="s">
        <v>866</v>
      </c>
      <c r="T348" s="6" t="s">
        <v>150</v>
      </c>
      <c r="U348" s="23" t="n">
        <v>34.56</v>
      </c>
      <c r="V348" s="6" t="s">
        <v>5232</v>
      </c>
      <c r="W348" s="6" t="s">
        <v>5233</v>
      </c>
      <c r="X348" s="6" t="s">
        <v>5234</v>
      </c>
      <c r="Y348" s="6" t="s">
        <v>86</v>
      </c>
      <c r="Z348" s="6" t="n">
        <v>1</v>
      </c>
      <c r="AA348" s="6" t="n">
        <v>0</v>
      </c>
      <c r="AB348" s="6" t="n">
        <v>0</v>
      </c>
      <c r="AC348" s="6" t="n">
        <v>0</v>
      </c>
      <c r="AD348" s="6" t="n">
        <v>0</v>
      </c>
      <c r="AE348" s="6" t="n">
        <v>0</v>
      </c>
      <c r="AF348" s="6" t="n">
        <v>0</v>
      </c>
      <c r="AG348" s="6" t="n">
        <v>0</v>
      </c>
      <c r="AH348" s="6" t="n">
        <v>0</v>
      </c>
      <c r="AI348" s="6" t="s">
        <v>84</v>
      </c>
    </row>
    <row r="349" customFormat="false" ht="15" hidden="false" customHeight="false" outlineLevel="0" collapsed="false">
      <c r="A349" s="6" t="n">
        <v>348</v>
      </c>
      <c r="B349" s="6" t="s">
        <v>5235</v>
      </c>
      <c r="C349" s="6" t="n">
        <v>7</v>
      </c>
      <c r="D349" s="6" t="s">
        <v>237</v>
      </c>
      <c r="E349" s="6" t="s">
        <v>116</v>
      </c>
      <c r="F349" s="6" t="n">
        <v>2</v>
      </c>
      <c r="G349" s="6" t="n">
        <v>67</v>
      </c>
      <c r="H349" s="6" t="s">
        <v>5236</v>
      </c>
      <c r="I349" s="22" t="n">
        <v>531200</v>
      </c>
      <c r="J349" s="22" t="n">
        <v>15000</v>
      </c>
      <c r="K349" s="22" t="n">
        <v>40965</v>
      </c>
      <c r="L349" s="22" t="n">
        <v>587165</v>
      </c>
      <c r="M349" s="6" t="s">
        <v>171</v>
      </c>
      <c r="N349" s="6" t="s">
        <v>84</v>
      </c>
      <c r="O349" s="6" t="s">
        <v>892</v>
      </c>
      <c r="P349" s="6" t="s">
        <v>85</v>
      </c>
      <c r="Q349" s="6" t="str">
        <f aca="false">IF(P349="pass","No","Yes")</f>
        <v>Yes</v>
      </c>
      <c r="R349" s="6" t="s">
        <v>86</v>
      </c>
      <c r="S349" s="6" t="s">
        <v>892</v>
      </c>
      <c r="T349" s="6" t="s">
        <v>242</v>
      </c>
      <c r="U349" s="23" t="n">
        <v>34.032</v>
      </c>
      <c r="V349" s="6" t="s">
        <v>5237</v>
      </c>
      <c r="W349" s="6" t="s">
        <v>5238</v>
      </c>
      <c r="X349" s="6" t="s">
        <v>5239</v>
      </c>
      <c r="Y349" s="6" t="s">
        <v>86</v>
      </c>
      <c r="Z349" s="6" t="n">
        <v>0</v>
      </c>
      <c r="AA349" s="6" t="n">
        <v>0</v>
      </c>
      <c r="AB349" s="6" t="n">
        <v>0</v>
      </c>
      <c r="AC349" s="6" t="n">
        <v>1</v>
      </c>
      <c r="AD349" s="6" t="n">
        <v>0</v>
      </c>
      <c r="AE349" s="6" t="n">
        <v>0</v>
      </c>
      <c r="AF349" s="6" t="n">
        <v>0</v>
      </c>
      <c r="AG349" s="6" t="n">
        <v>0</v>
      </c>
      <c r="AH349" s="6" t="n">
        <v>0</v>
      </c>
      <c r="AI349" s="6" t="s">
        <v>84</v>
      </c>
    </row>
    <row r="350" customFormat="false" ht="15" hidden="false" customHeight="false" outlineLevel="0" collapsed="false">
      <c r="A350" s="6" t="n">
        <v>349</v>
      </c>
      <c r="B350" s="6" t="s">
        <v>5240</v>
      </c>
      <c r="C350" s="6" t="n">
        <v>7</v>
      </c>
      <c r="D350" s="6" t="s">
        <v>89</v>
      </c>
      <c r="E350" s="6" t="s">
        <v>67</v>
      </c>
      <c r="F350" s="6" t="n">
        <v>1</v>
      </c>
      <c r="G350" s="6" t="n">
        <v>2</v>
      </c>
      <c r="H350" s="6" t="s">
        <v>2017</v>
      </c>
      <c r="I350" s="22" t="n">
        <v>76000</v>
      </c>
      <c r="J350" s="22" t="n">
        <v>4500</v>
      </c>
      <c r="K350" s="22" t="n">
        <v>6037.5</v>
      </c>
      <c r="L350" s="22" t="n">
        <v>86537.5</v>
      </c>
      <c r="M350" s="6" t="s">
        <v>984</v>
      </c>
      <c r="N350" s="6" t="s">
        <v>84</v>
      </c>
      <c r="O350" s="6" t="s">
        <v>985</v>
      </c>
      <c r="P350" s="6" t="s">
        <v>85</v>
      </c>
      <c r="Q350" s="6" t="str">
        <f aca="false">IF(P350="pass","No","Yes")</f>
        <v>Yes</v>
      </c>
      <c r="R350" s="6" t="s">
        <v>86</v>
      </c>
      <c r="S350" s="6" t="s">
        <v>985</v>
      </c>
      <c r="T350" s="6" t="s">
        <v>1152</v>
      </c>
      <c r="U350" s="23" t="n">
        <v>17.462</v>
      </c>
      <c r="V350" s="6" t="s">
        <v>5241</v>
      </c>
      <c r="W350" s="6" t="s">
        <v>5242</v>
      </c>
      <c r="X350" s="6" t="s">
        <v>5243</v>
      </c>
      <c r="Y350" s="6" t="s">
        <v>86</v>
      </c>
      <c r="Z350" s="6" t="n">
        <v>0</v>
      </c>
      <c r="AA350" s="6" t="n">
        <v>0</v>
      </c>
      <c r="AB350" s="6" t="n">
        <v>0</v>
      </c>
      <c r="AC350" s="6" t="n">
        <v>0</v>
      </c>
      <c r="AD350" s="6" t="n">
        <v>0</v>
      </c>
      <c r="AE350" s="6" t="n">
        <v>1</v>
      </c>
      <c r="AF350" s="6" t="n">
        <v>0</v>
      </c>
      <c r="AG350" s="6" t="n">
        <v>0</v>
      </c>
      <c r="AH350" s="6" t="n">
        <v>0</v>
      </c>
      <c r="AI350" s="6" t="s">
        <v>84</v>
      </c>
    </row>
    <row r="351" customFormat="false" ht="15" hidden="false" customHeight="false" outlineLevel="0" collapsed="false">
      <c r="A351" s="6" t="n">
        <v>350</v>
      </c>
      <c r="B351" s="6" t="s">
        <v>5244</v>
      </c>
      <c r="C351" s="6" t="n">
        <v>7</v>
      </c>
      <c r="D351" s="6" t="s">
        <v>237</v>
      </c>
      <c r="E351" s="6" t="s">
        <v>116</v>
      </c>
      <c r="F351" s="6" t="n">
        <v>2</v>
      </c>
      <c r="G351" s="6" t="n">
        <v>16</v>
      </c>
      <c r="H351" s="6" t="s">
        <v>5245</v>
      </c>
      <c r="I351" s="22" t="n">
        <v>442200</v>
      </c>
      <c r="J351" s="22" t="n">
        <v>15000</v>
      </c>
      <c r="K351" s="22" t="n">
        <v>34290</v>
      </c>
      <c r="L351" s="22" t="n">
        <v>491490</v>
      </c>
      <c r="M351" s="6" t="s">
        <v>57</v>
      </c>
      <c r="N351" s="6" t="s">
        <v>58</v>
      </c>
      <c r="O351" s="6"/>
      <c r="P351" s="6" t="s">
        <v>69</v>
      </c>
      <c r="Q351" s="6" t="str">
        <f aca="false">IF(P351="pass","No","Yes")</f>
        <v>No</v>
      </c>
      <c r="R351" s="6" t="s">
        <v>60</v>
      </c>
      <c r="S351" s="6"/>
      <c r="T351" s="6"/>
      <c r="U351" s="23" t="n">
        <v>33.709</v>
      </c>
      <c r="V351" s="6" t="s">
        <v>5246</v>
      </c>
      <c r="W351" s="6" t="s">
        <v>5247</v>
      </c>
      <c r="X351" s="6" t="s">
        <v>5248</v>
      </c>
      <c r="Y351" s="6" t="s">
        <v>60</v>
      </c>
      <c r="Z351" s="6" t="n">
        <v>0</v>
      </c>
      <c r="AA351" s="6" t="n">
        <v>0</v>
      </c>
      <c r="AB351" s="6" t="n">
        <v>0</v>
      </c>
      <c r="AC351" s="6" t="n">
        <v>0</v>
      </c>
      <c r="AD351" s="6" t="n">
        <v>0</v>
      </c>
      <c r="AE351" s="6" t="n">
        <v>0</v>
      </c>
      <c r="AF351" s="6" t="n">
        <v>0</v>
      </c>
      <c r="AG351" s="6" t="n">
        <v>0</v>
      </c>
      <c r="AH351" s="6" t="n">
        <v>0</v>
      </c>
      <c r="AI351" s="6" t="s">
        <v>84</v>
      </c>
    </row>
    <row r="352" customFormat="false" ht="15" hidden="false" customHeight="false" outlineLevel="0" collapsed="false">
      <c r="A352" s="6" t="n">
        <v>351</v>
      </c>
      <c r="B352" s="6" t="s">
        <v>5249</v>
      </c>
      <c r="C352" s="6" t="n">
        <v>8</v>
      </c>
      <c r="D352" s="6" t="s">
        <v>166</v>
      </c>
      <c r="E352" s="6" t="s">
        <v>74</v>
      </c>
      <c r="F352" s="6" t="n">
        <v>3</v>
      </c>
      <c r="G352" s="6" t="n">
        <v>902</v>
      </c>
      <c r="H352" s="6" t="s">
        <v>5250</v>
      </c>
      <c r="I352" s="22" t="n">
        <v>12905500</v>
      </c>
      <c r="J352" s="22" t="n">
        <v>9000</v>
      </c>
      <c r="K352" s="22" t="n">
        <v>968587.5</v>
      </c>
      <c r="L352" s="22" t="n">
        <v>13883087.5</v>
      </c>
      <c r="M352" s="6" t="s">
        <v>159</v>
      </c>
      <c r="N352" s="6" t="s">
        <v>84</v>
      </c>
      <c r="O352" s="6" t="s">
        <v>886</v>
      </c>
      <c r="P352" s="6" t="s">
        <v>85</v>
      </c>
      <c r="Q352" s="6" t="str">
        <f aca="false">IF(P352="pass","No","Yes")</f>
        <v>Yes</v>
      </c>
      <c r="R352" s="6" t="s">
        <v>86</v>
      </c>
      <c r="S352" s="6" t="s">
        <v>934</v>
      </c>
      <c r="T352" s="6" t="s">
        <v>161</v>
      </c>
      <c r="U352" s="23" t="n">
        <v>56.414</v>
      </c>
      <c r="V352" s="6" t="s">
        <v>5251</v>
      </c>
      <c r="W352" s="6" t="s">
        <v>5252</v>
      </c>
      <c r="X352" s="6" t="s">
        <v>5253</v>
      </c>
      <c r="Y352" s="6" t="s">
        <v>86</v>
      </c>
      <c r="Z352" s="6" t="n">
        <v>0</v>
      </c>
      <c r="AA352" s="6" t="n">
        <v>0</v>
      </c>
      <c r="AB352" s="6" t="n">
        <v>1</v>
      </c>
      <c r="AC352" s="6" t="n">
        <v>1</v>
      </c>
      <c r="AD352" s="6" t="n">
        <v>0</v>
      </c>
      <c r="AE352" s="6" t="n">
        <v>0</v>
      </c>
      <c r="AF352" s="6" t="n">
        <v>0</v>
      </c>
      <c r="AG352" s="6" t="n">
        <v>0</v>
      </c>
      <c r="AH352" s="6" t="n">
        <v>0</v>
      </c>
      <c r="AI352" s="6" t="s">
        <v>84</v>
      </c>
    </row>
    <row r="353" customFormat="false" ht="15" hidden="false" customHeight="false" outlineLevel="0" collapsed="false">
      <c r="A353" s="6" t="n">
        <v>352</v>
      </c>
      <c r="B353" s="6" t="s">
        <v>5254</v>
      </c>
      <c r="C353" s="6" t="n">
        <v>8</v>
      </c>
      <c r="D353" s="6" t="s">
        <v>237</v>
      </c>
      <c r="E353" s="6" t="s">
        <v>116</v>
      </c>
      <c r="F353" s="6" t="n">
        <v>2</v>
      </c>
      <c r="G353" s="6" t="n">
        <v>16</v>
      </c>
      <c r="H353" s="6" t="s">
        <v>5245</v>
      </c>
      <c r="I353" s="22" t="n">
        <v>442200</v>
      </c>
      <c r="J353" s="22" t="n">
        <v>15000</v>
      </c>
      <c r="K353" s="22" t="n">
        <v>34290</v>
      </c>
      <c r="L353" s="22" t="n">
        <v>491490</v>
      </c>
      <c r="M353" s="6" t="s">
        <v>97</v>
      </c>
      <c r="N353" s="6" t="s">
        <v>84</v>
      </c>
      <c r="O353" s="6" t="s">
        <v>1185</v>
      </c>
      <c r="P353" s="6" t="s">
        <v>59</v>
      </c>
      <c r="Q353" s="6" t="str">
        <f aca="false">IF(P353="pass","No","Yes")</f>
        <v>Yes</v>
      </c>
      <c r="R353" s="6" t="s">
        <v>98</v>
      </c>
      <c r="S353" s="6" t="s">
        <v>1185</v>
      </c>
      <c r="T353" s="6" t="s">
        <v>5255</v>
      </c>
      <c r="U353" s="23" t="n">
        <v>31.944</v>
      </c>
      <c r="V353" s="6" t="s">
        <v>5256</v>
      </c>
      <c r="W353" s="6"/>
      <c r="X353" s="6" t="s">
        <v>5256</v>
      </c>
      <c r="Y353" s="6" t="s">
        <v>98</v>
      </c>
      <c r="Z353" s="6" t="n">
        <v>0</v>
      </c>
      <c r="AA353" s="6" t="n">
        <v>0</v>
      </c>
      <c r="AB353" s="6" t="n">
        <v>0</v>
      </c>
      <c r="AC353" s="6" t="n">
        <v>0</v>
      </c>
      <c r="AD353" s="6" t="n">
        <v>0</v>
      </c>
      <c r="AE353" s="6" t="n">
        <v>0</v>
      </c>
      <c r="AF353" s="6" t="n">
        <v>0</v>
      </c>
      <c r="AG353" s="6" t="n">
        <v>1</v>
      </c>
      <c r="AH353" s="6" t="n">
        <v>0</v>
      </c>
      <c r="AI353" s="6" t="s">
        <v>84</v>
      </c>
    </row>
    <row r="354" customFormat="false" ht="15" hidden="false" customHeight="false" outlineLevel="0" collapsed="false">
      <c r="A354" s="6" t="n">
        <v>353</v>
      </c>
      <c r="B354" s="6" t="s">
        <v>5257</v>
      </c>
      <c r="C354" s="6" t="n">
        <v>8</v>
      </c>
      <c r="D354" s="6" t="s">
        <v>166</v>
      </c>
      <c r="E354" s="6" t="s">
        <v>146</v>
      </c>
      <c r="F354" s="6" t="n">
        <v>2</v>
      </c>
      <c r="G354" s="6" t="n">
        <v>80</v>
      </c>
      <c r="H354" s="6" t="s">
        <v>5258</v>
      </c>
      <c r="I354" s="22" t="n">
        <v>699200</v>
      </c>
      <c r="J354" s="22" t="n">
        <v>0</v>
      </c>
      <c r="K354" s="22" t="n">
        <v>52440</v>
      </c>
      <c r="L354" s="22" t="n">
        <v>751640</v>
      </c>
      <c r="M354" s="6" t="s">
        <v>148</v>
      </c>
      <c r="N354" s="6" t="s">
        <v>84</v>
      </c>
      <c r="O354" s="6" t="s">
        <v>866</v>
      </c>
      <c r="P354" s="6" t="s">
        <v>85</v>
      </c>
      <c r="Q354" s="6" t="str">
        <f aca="false">IF(P354="pass","No","Yes")</f>
        <v>Yes</v>
      </c>
      <c r="R354" s="6" t="s">
        <v>86</v>
      </c>
      <c r="S354" s="6" t="s">
        <v>866</v>
      </c>
      <c r="T354" s="6" t="s">
        <v>150</v>
      </c>
      <c r="U354" s="23" t="n">
        <v>42.992</v>
      </c>
      <c r="V354" s="6" t="s">
        <v>5259</v>
      </c>
      <c r="W354" s="6" t="s">
        <v>5260</v>
      </c>
      <c r="X354" s="6" t="s">
        <v>5261</v>
      </c>
      <c r="Y354" s="6" t="s">
        <v>86</v>
      </c>
      <c r="Z354" s="6" t="n">
        <v>1</v>
      </c>
      <c r="AA354" s="6" t="n">
        <v>0</v>
      </c>
      <c r="AB354" s="6" t="n">
        <v>0</v>
      </c>
      <c r="AC354" s="6" t="n">
        <v>0</v>
      </c>
      <c r="AD354" s="6" t="n">
        <v>0</v>
      </c>
      <c r="AE354" s="6" t="n">
        <v>0</v>
      </c>
      <c r="AF354" s="6" t="n">
        <v>0</v>
      </c>
      <c r="AG354" s="6" t="n">
        <v>0</v>
      </c>
      <c r="AH354" s="6" t="n">
        <v>0</v>
      </c>
      <c r="AI354" s="6" t="s">
        <v>84</v>
      </c>
    </row>
    <row r="355" customFormat="false" ht="15" hidden="false" customHeight="false" outlineLevel="0" collapsed="false">
      <c r="A355" s="6" t="n">
        <v>354</v>
      </c>
      <c r="B355" s="6" t="s">
        <v>5262</v>
      </c>
      <c r="C355" s="6" t="n">
        <v>8</v>
      </c>
      <c r="D355" s="6" t="s">
        <v>213</v>
      </c>
      <c r="E355" s="6" t="s">
        <v>67</v>
      </c>
      <c r="F355" s="6" t="n">
        <v>2</v>
      </c>
      <c r="G355" s="6" t="n">
        <v>11</v>
      </c>
      <c r="H355" s="6" t="s">
        <v>5263</v>
      </c>
      <c r="I355" s="22" t="n">
        <v>138700</v>
      </c>
      <c r="J355" s="22" t="n">
        <v>4500</v>
      </c>
      <c r="K355" s="22" t="n">
        <v>10740</v>
      </c>
      <c r="L355" s="22" t="n">
        <v>153940</v>
      </c>
      <c r="M355" s="6" t="s">
        <v>94</v>
      </c>
      <c r="N355" s="6" t="s">
        <v>84</v>
      </c>
      <c r="O355" s="6" t="s">
        <v>909</v>
      </c>
      <c r="P355" s="6" t="s">
        <v>85</v>
      </c>
      <c r="Q355" s="6" t="str">
        <f aca="false">IF(P355="pass","No","Yes")</f>
        <v>Yes</v>
      </c>
      <c r="R355" s="6" t="s">
        <v>86</v>
      </c>
      <c r="S355" s="6" t="s">
        <v>909</v>
      </c>
      <c r="T355" s="6" t="s">
        <v>254</v>
      </c>
      <c r="U355" s="23" t="n">
        <v>34.363</v>
      </c>
      <c r="V355" s="6" t="s">
        <v>5264</v>
      </c>
      <c r="W355" s="6" t="s">
        <v>5265</v>
      </c>
      <c r="X355" s="6" t="s">
        <v>5266</v>
      </c>
      <c r="Y355" s="6" t="s">
        <v>86</v>
      </c>
      <c r="Z355" s="6" t="n">
        <v>0</v>
      </c>
      <c r="AA355" s="6" t="n">
        <v>0</v>
      </c>
      <c r="AB355" s="6" t="n">
        <v>0</v>
      </c>
      <c r="AC355" s="6" t="n">
        <v>0</v>
      </c>
      <c r="AD355" s="6" t="n">
        <v>0</v>
      </c>
      <c r="AE355" s="6" t="n">
        <v>0</v>
      </c>
      <c r="AF355" s="6" t="n">
        <v>1</v>
      </c>
      <c r="AG355" s="6" t="n">
        <v>0</v>
      </c>
      <c r="AH355" s="6" t="n">
        <v>0</v>
      </c>
      <c r="AI355" s="6" t="s">
        <v>84</v>
      </c>
    </row>
    <row r="356" customFormat="false" ht="15" hidden="false" customHeight="false" outlineLevel="0" collapsed="false">
      <c r="A356" s="6" t="n">
        <v>355</v>
      </c>
      <c r="B356" s="6" t="s">
        <v>5267</v>
      </c>
      <c r="C356" s="6" t="n">
        <v>8</v>
      </c>
      <c r="D356" s="6" t="s">
        <v>154</v>
      </c>
      <c r="E356" s="6" t="s">
        <v>123</v>
      </c>
      <c r="F356" s="6" t="n">
        <v>1</v>
      </c>
      <c r="G356" s="6" t="n">
        <v>72</v>
      </c>
      <c r="H356" s="6" t="s">
        <v>5268</v>
      </c>
      <c r="I356" s="22" t="n">
        <v>1044000</v>
      </c>
      <c r="J356" s="22" t="n">
        <v>5000</v>
      </c>
      <c r="K356" s="22" t="n">
        <v>78675</v>
      </c>
      <c r="L356" s="22" t="n">
        <v>1127675</v>
      </c>
      <c r="M356" s="6" t="s">
        <v>224</v>
      </c>
      <c r="N356" s="6" t="s">
        <v>84</v>
      </c>
      <c r="O356" s="6" t="s">
        <v>866</v>
      </c>
      <c r="P356" s="6" t="s">
        <v>85</v>
      </c>
      <c r="Q356" s="6" t="str">
        <f aca="false">IF(P356="pass","No","Yes")</f>
        <v>Yes</v>
      </c>
      <c r="R356" s="6" t="s">
        <v>86</v>
      </c>
      <c r="S356" s="6" t="s">
        <v>866</v>
      </c>
      <c r="T356" s="6" t="s">
        <v>225</v>
      </c>
      <c r="U356" s="23" t="n">
        <v>20.077</v>
      </c>
      <c r="V356" s="6" t="s">
        <v>5269</v>
      </c>
      <c r="W356" s="6" t="s">
        <v>5270</v>
      </c>
      <c r="X356" s="6" t="s">
        <v>5271</v>
      </c>
      <c r="Y356" s="6" t="s">
        <v>86</v>
      </c>
      <c r="Z356" s="6" t="n">
        <v>1</v>
      </c>
      <c r="AA356" s="6" t="n">
        <v>0</v>
      </c>
      <c r="AB356" s="6" t="n">
        <v>0</v>
      </c>
      <c r="AC356" s="6" t="n">
        <v>0</v>
      </c>
      <c r="AD356" s="6" t="n">
        <v>0</v>
      </c>
      <c r="AE356" s="6" t="n">
        <v>0</v>
      </c>
      <c r="AF356" s="6" t="n">
        <v>0</v>
      </c>
      <c r="AG356" s="6" t="n">
        <v>0</v>
      </c>
      <c r="AH356" s="6" t="n">
        <v>0</v>
      </c>
      <c r="AI356" s="6" t="s">
        <v>58</v>
      </c>
    </row>
    <row r="357" customFormat="false" ht="15" hidden="false" customHeight="false" outlineLevel="0" collapsed="false">
      <c r="A357" s="6" t="n">
        <v>356</v>
      </c>
      <c r="B357" s="6" t="s">
        <v>5272</v>
      </c>
      <c r="C357" s="6" t="n">
        <v>8</v>
      </c>
      <c r="D357" s="6" t="s">
        <v>198</v>
      </c>
      <c r="E357" s="6" t="s">
        <v>81</v>
      </c>
      <c r="F357" s="6" t="n">
        <v>2</v>
      </c>
      <c r="G357" s="6" t="n">
        <v>3</v>
      </c>
      <c r="H357" s="6" t="s">
        <v>5273</v>
      </c>
      <c r="I357" s="22" t="n">
        <v>46200</v>
      </c>
      <c r="J357" s="22" t="n">
        <v>4000</v>
      </c>
      <c r="K357" s="22" t="n">
        <v>3765</v>
      </c>
      <c r="L357" s="22" t="n">
        <v>53965</v>
      </c>
      <c r="M357" s="6" t="s">
        <v>57</v>
      </c>
      <c r="N357" s="6" t="s">
        <v>58</v>
      </c>
      <c r="O357" s="6"/>
      <c r="P357" s="6" t="s">
        <v>69</v>
      </c>
      <c r="Q357" s="6" t="str">
        <f aca="false">IF(P357="pass","No","Yes")</f>
        <v>No</v>
      </c>
      <c r="R357" s="6" t="s">
        <v>60</v>
      </c>
      <c r="S357" s="6"/>
      <c r="T357" s="6"/>
      <c r="U357" s="23" t="n">
        <v>36.902</v>
      </c>
      <c r="V357" s="6" t="s">
        <v>5274</v>
      </c>
      <c r="W357" s="6" t="s">
        <v>5275</v>
      </c>
      <c r="X357" s="6" t="s">
        <v>5276</v>
      </c>
      <c r="Y357" s="6" t="s">
        <v>60</v>
      </c>
      <c r="Z357" s="6" t="n">
        <v>0</v>
      </c>
      <c r="AA357" s="6" t="n">
        <v>0</v>
      </c>
      <c r="AB357" s="6" t="n">
        <v>0</v>
      </c>
      <c r="AC357" s="6" t="n">
        <v>0</v>
      </c>
      <c r="AD357" s="6" t="n">
        <v>0</v>
      </c>
      <c r="AE357" s="6" t="n">
        <v>0</v>
      </c>
      <c r="AF357" s="6" t="n">
        <v>0</v>
      </c>
      <c r="AG357" s="6" t="n">
        <v>0</v>
      </c>
      <c r="AH357" s="6" t="n">
        <v>0</v>
      </c>
      <c r="AI357" s="6" t="s">
        <v>84</v>
      </c>
    </row>
    <row r="358" customFormat="false" ht="15" hidden="false" customHeight="false" outlineLevel="0" collapsed="false">
      <c r="A358" s="6" t="n">
        <v>357</v>
      </c>
      <c r="B358" s="6" t="s">
        <v>5277</v>
      </c>
      <c r="C358" s="6" t="n">
        <v>8</v>
      </c>
      <c r="D358" s="6" t="s">
        <v>63</v>
      </c>
      <c r="E358" s="6" t="s">
        <v>67</v>
      </c>
      <c r="F358" s="6" t="n">
        <v>1</v>
      </c>
      <c r="G358" s="6" t="n">
        <v>7</v>
      </c>
      <c r="H358" s="6" t="s">
        <v>1207</v>
      </c>
      <c r="I358" s="22" t="n">
        <v>266000</v>
      </c>
      <c r="J358" s="22" t="n">
        <v>4500</v>
      </c>
      <c r="K358" s="22" t="n">
        <v>20287.5</v>
      </c>
      <c r="L358" s="22" t="n">
        <v>290787.5</v>
      </c>
      <c r="M358" s="6" t="s">
        <v>57</v>
      </c>
      <c r="N358" s="6" t="s">
        <v>58</v>
      </c>
      <c r="O358" s="6"/>
      <c r="P358" s="6" t="s">
        <v>69</v>
      </c>
      <c r="Q358" s="6" t="str">
        <f aca="false">IF(P358="pass","No","Yes")</f>
        <v>No</v>
      </c>
      <c r="R358" s="6" t="s">
        <v>60</v>
      </c>
      <c r="S358" s="6"/>
      <c r="T358" s="6"/>
      <c r="U358" s="23" t="n">
        <v>19.005</v>
      </c>
      <c r="V358" s="6" t="s">
        <v>5278</v>
      </c>
      <c r="W358" s="6" t="s">
        <v>5279</v>
      </c>
      <c r="X358" s="6" t="s">
        <v>5280</v>
      </c>
      <c r="Y358" s="6" t="s">
        <v>60</v>
      </c>
      <c r="Z358" s="6" t="n">
        <v>0</v>
      </c>
      <c r="AA358" s="6" t="n">
        <v>0</v>
      </c>
      <c r="AB358" s="6" t="n">
        <v>0</v>
      </c>
      <c r="AC358" s="6" t="n">
        <v>0</v>
      </c>
      <c r="AD358" s="6" t="n">
        <v>0</v>
      </c>
      <c r="AE358" s="6" t="n">
        <v>0</v>
      </c>
      <c r="AF358" s="6" t="n">
        <v>0</v>
      </c>
      <c r="AG358" s="6" t="n">
        <v>0</v>
      </c>
      <c r="AH358" s="6" t="n">
        <v>0</v>
      </c>
      <c r="AI358" s="6" t="s">
        <v>84</v>
      </c>
    </row>
    <row r="359" customFormat="false" ht="15" hidden="false" customHeight="false" outlineLevel="0" collapsed="false">
      <c r="A359" s="6" t="n">
        <v>358</v>
      </c>
      <c r="B359" s="6" t="s">
        <v>5281</v>
      </c>
      <c r="C359" s="6" t="n">
        <v>8</v>
      </c>
      <c r="D359" s="6" t="s">
        <v>137</v>
      </c>
      <c r="E359" s="6" t="s">
        <v>55</v>
      </c>
      <c r="F359" s="6" t="n">
        <v>3</v>
      </c>
      <c r="G359" s="6" t="n">
        <v>103</v>
      </c>
      <c r="H359" s="6" t="s">
        <v>5282</v>
      </c>
      <c r="I359" s="22" t="n">
        <v>1846000</v>
      </c>
      <c r="J359" s="22" t="n">
        <v>6000</v>
      </c>
      <c r="K359" s="22" t="n">
        <v>138900</v>
      </c>
      <c r="L359" s="22" t="n">
        <v>1990900</v>
      </c>
      <c r="M359" s="6" t="s">
        <v>57</v>
      </c>
      <c r="N359" s="6" t="s">
        <v>58</v>
      </c>
      <c r="O359" s="6"/>
      <c r="P359" s="6" t="s">
        <v>69</v>
      </c>
      <c r="Q359" s="6" t="str">
        <f aca="false">IF(P359="pass","No","Yes")</f>
        <v>No</v>
      </c>
      <c r="R359" s="6" t="s">
        <v>60</v>
      </c>
      <c r="S359" s="6"/>
      <c r="T359" s="6"/>
      <c r="U359" s="23" t="n">
        <v>46.318</v>
      </c>
      <c r="V359" s="6" t="s">
        <v>5283</v>
      </c>
      <c r="W359" s="6" t="s">
        <v>5284</v>
      </c>
      <c r="X359" s="6" t="s">
        <v>5285</v>
      </c>
      <c r="Y359" s="6" t="s">
        <v>60</v>
      </c>
      <c r="Z359" s="6" t="n">
        <v>0</v>
      </c>
      <c r="AA359" s="6" t="n">
        <v>0</v>
      </c>
      <c r="AB359" s="6" t="n">
        <v>0</v>
      </c>
      <c r="AC359" s="6" t="n">
        <v>0</v>
      </c>
      <c r="AD359" s="6" t="n">
        <v>0</v>
      </c>
      <c r="AE359" s="6" t="n">
        <v>0</v>
      </c>
      <c r="AF359" s="6" t="n">
        <v>0</v>
      </c>
      <c r="AG359" s="6" t="n">
        <v>0</v>
      </c>
      <c r="AH359" s="6" t="n">
        <v>0</v>
      </c>
      <c r="AI359" s="6" t="s">
        <v>84</v>
      </c>
    </row>
    <row r="360" customFormat="false" ht="15" hidden="false" customHeight="false" outlineLevel="0" collapsed="false">
      <c r="A360" s="6" t="n">
        <v>359</v>
      </c>
      <c r="B360" s="6" t="s">
        <v>5286</v>
      </c>
      <c r="C360" s="6" t="n">
        <v>8</v>
      </c>
      <c r="D360" s="6" t="s">
        <v>177</v>
      </c>
      <c r="E360" s="6" t="s">
        <v>81</v>
      </c>
      <c r="F360" s="6" t="n">
        <v>3</v>
      </c>
      <c r="G360" s="6" t="n">
        <v>67</v>
      </c>
      <c r="H360" s="6" t="s">
        <v>5287</v>
      </c>
      <c r="I360" s="22" t="n">
        <v>643600</v>
      </c>
      <c r="J360" s="22" t="n">
        <v>4000</v>
      </c>
      <c r="K360" s="22" t="n">
        <v>48570</v>
      </c>
      <c r="L360" s="22" t="n">
        <v>696170</v>
      </c>
      <c r="M360" s="6" t="s">
        <v>57</v>
      </c>
      <c r="N360" s="6" t="s">
        <v>58</v>
      </c>
      <c r="O360" s="6"/>
      <c r="P360" s="6" t="s">
        <v>69</v>
      </c>
      <c r="Q360" s="6" t="str">
        <f aca="false">IF(P360="pass","No","Yes")</f>
        <v>No</v>
      </c>
      <c r="R360" s="6" t="s">
        <v>60</v>
      </c>
      <c r="S360" s="6"/>
      <c r="T360" s="6"/>
      <c r="U360" s="23" t="n">
        <v>61.966</v>
      </c>
      <c r="V360" s="6" t="s">
        <v>5288</v>
      </c>
      <c r="W360" s="6" t="s">
        <v>5289</v>
      </c>
      <c r="X360" s="6" t="s">
        <v>5290</v>
      </c>
      <c r="Y360" s="6" t="s">
        <v>60</v>
      </c>
      <c r="Z360" s="6" t="n">
        <v>0</v>
      </c>
      <c r="AA360" s="6" t="n">
        <v>0</v>
      </c>
      <c r="AB360" s="6" t="n">
        <v>0</v>
      </c>
      <c r="AC360" s="6" t="n">
        <v>0</v>
      </c>
      <c r="AD360" s="6" t="n">
        <v>0</v>
      </c>
      <c r="AE360" s="6" t="n">
        <v>0</v>
      </c>
      <c r="AF360" s="6" t="n">
        <v>0</v>
      </c>
      <c r="AG360" s="6" t="n">
        <v>0</v>
      </c>
      <c r="AH360" s="6" t="n">
        <v>0</v>
      </c>
      <c r="AI360" s="6" t="s">
        <v>84</v>
      </c>
    </row>
    <row r="361" customFormat="false" ht="15" hidden="false" customHeight="false" outlineLevel="0" collapsed="false">
      <c r="A361" s="6" t="n">
        <v>360</v>
      </c>
      <c r="B361" s="6" t="s">
        <v>5291</v>
      </c>
      <c r="C361" s="6" t="n">
        <v>8</v>
      </c>
      <c r="D361" s="6" t="s">
        <v>119</v>
      </c>
      <c r="E361" s="6" t="s">
        <v>123</v>
      </c>
      <c r="F361" s="6" t="n">
        <v>3</v>
      </c>
      <c r="G361" s="6" t="n">
        <v>133</v>
      </c>
      <c r="H361" s="6" t="s">
        <v>5292</v>
      </c>
      <c r="I361" s="22" t="n">
        <v>1758400</v>
      </c>
      <c r="J361" s="22" t="n">
        <v>5000</v>
      </c>
      <c r="K361" s="22" t="n">
        <v>132255</v>
      </c>
      <c r="L361" s="22" t="n">
        <v>1895655</v>
      </c>
      <c r="M361" s="6" t="s">
        <v>927</v>
      </c>
      <c r="N361" s="6" t="s">
        <v>58</v>
      </c>
      <c r="O361" s="6"/>
      <c r="P361" s="6" t="s">
        <v>59</v>
      </c>
      <c r="Q361" s="6" t="str">
        <f aca="false">IF(P361="pass","No","Yes")</f>
        <v>Yes</v>
      </c>
      <c r="R361" s="6" t="s">
        <v>60</v>
      </c>
      <c r="S361" s="6" t="s">
        <v>915</v>
      </c>
      <c r="T361" s="6" t="s">
        <v>5293</v>
      </c>
      <c r="U361" s="23" t="n">
        <v>59.84</v>
      </c>
      <c r="V361" s="6" t="s">
        <v>5294</v>
      </c>
      <c r="W361" s="6" t="s">
        <v>5295</v>
      </c>
      <c r="X361" s="6" t="s">
        <v>5296</v>
      </c>
      <c r="Y361" s="6" t="s">
        <v>60</v>
      </c>
      <c r="Z361" s="6" t="n">
        <v>0</v>
      </c>
      <c r="AA361" s="6" t="n">
        <v>0</v>
      </c>
      <c r="AB361" s="6" t="n">
        <v>0</v>
      </c>
      <c r="AC361" s="6" t="n">
        <v>0</v>
      </c>
      <c r="AD361" s="6" t="n">
        <v>0</v>
      </c>
      <c r="AE361" s="6" t="n">
        <v>0</v>
      </c>
      <c r="AF361" s="6" t="n">
        <v>0</v>
      </c>
      <c r="AG361" s="6" t="n">
        <v>0</v>
      </c>
      <c r="AH361" s="6" t="n">
        <v>1</v>
      </c>
      <c r="AI361" s="6" t="s">
        <v>84</v>
      </c>
    </row>
    <row r="362" customFormat="false" ht="15" hidden="false" customHeight="false" outlineLevel="0" collapsed="false">
      <c r="A362" s="6" t="n">
        <v>361</v>
      </c>
      <c r="B362" s="6" t="s">
        <v>5297</v>
      </c>
      <c r="C362" s="6" t="n">
        <v>8</v>
      </c>
      <c r="D362" s="6" t="s">
        <v>177</v>
      </c>
      <c r="E362" s="6" t="s">
        <v>81</v>
      </c>
      <c r="F362" s="6" t="n">
        <v>1</v>
      </c>
      <c r="G362" s="6" t="n">
        <v>28</v>
      </c>
      <c r="H362" s="6" t="s">
        <v>5298</v>
      </c>
      <c r="I362" s="22" t="n">
        <v>406000</v>
      </c>
      <c r="J362" s="22" t="n">
        <v>4000</v>
      </c>
      <c r="K362" s="22" t="n">
        <v>30750</v>
      </c>
      <c r="L362" s="22" t="n">
        <v>440750</v>
      </c>
      <c r="M362" s="6" t="s">
        <v>57</v>
      </c>
      <c r="N362" s="6" t="s">
        <v>58</v>
      </c>
      <c r="O362" s="6"/>
      <c r="P362" s="6" t="s">
        <v>69</v>
      </c>
      <c r="Q362" s="6" t="str">
        <f aca="false">IF(P362="pass","No","Yes")</f>
        <v>No</v>
      </c>
      <c r="R362" s="6" t="s">
        <v>60</v>
      </c>
      <c r="S362" s="6"/>
      <c r="T362" s="6"/>
      <c r="U362" s="23" t="n">
        <v>21.879</v>
      </c>
      <c r="V362" s="6" t="s">
        <v>5299</v>
      </c>
      <c r="W362" s="6" t="s">
        <v>5300</v>
      </c>
      <c r="X362" s="6" t="s">
        <v>5301</v>
      </c>
      <c r="Y362" s="6" t="s">
        <v>60</v>
      </c>
      <c r="Z362" s="6" t="n">
        <v>0</v>
      </c>
      <c r="AA362" s="6" t="n">
        <v>0</v>
      </c>
      <c r="AB362" s="6" t="n">
        <v>0</v>
      </c>
      <c r="AC362" s="6" t="n">
        <v>0</v>
      </c>
      <c r="AD362" s="6" t="n">
        <v>0</v>
      </c>
      <c r="AE362" s="6" t="n">
        <v>0</v>
      </c>
      <c r="AF362" s="6" t="n">
        <v>0</v>
      </c>
      <c r="AG362" s="6" t="n">
        <v>0</v>
      </c>
      <c r="AH362" s="6" t="n">
        <v>0</v>
      </c>
      <c r="AI362" s="6" t="s">
        <v>84</v>
      </c>
    </row>
    <row r="363" customFormat="false" ht="15" hidden="false" customHeight="false" outlineLevel="0" collapsed="false">
      <c r="A363" s="6" t="n">
        <v>362</v>
      </c>
      <c r="B363" s="6" t="s">
        <v>5302</v>
      </c>
      <c r="C363" s="6" t="n">
        <v>8</v>
      </c>
      <c r="D363" s="6" t="s">
        <v>213</v>
      </c>
      <c r="E363" s="6" t="s">
        <v>67</v>
      </c>
      <c r="F363" s="6" t="n">
        <v>1</v>
      </c>
      <c r="G363" s="6" t="n">
        <v>11</v>
      </c>
      <c r="H363" s="6" t="s">
        <v>5303</v>
      </c>
      <c r="I363" s="22" t="n">
        <v>572000</v>
      </c>
      <c r="J363" s="22" t="n">
        <v>4500</v>
      </c>
      <c r="K363" s="22" t="n">
        <v>43237.5</v>
      </c>
      <c r="L363" s="22" t="n">
        <v>619737.5</v>
      </c>
      <c r="M363" s="6" t="s">
        <v>57</v>
      </c>
      <c r="N363" s="6" t="s">
        <v>58</v>
      </c>
      <c r="O363" s="6"/>
      <c r="P363" s="6" t="s">
        <v>69</v>
      </c>
      <c r="Q363" s="6" t="str">
        <f aca="false">IF(P363="pass","No","Yes")</f>
        <v>No</v>
      </c>
      <c r="R363" s="6" t="s">
        <v>60</v>
      </c>
      <c r="S363" s="6"/>
      <c r="T363" s="6"/>
      <c r="U363" s="23" t="n">
        <v>19.264</v>
      </c>
      <c r="V363" s="6" t="s">
        <v>5304</v>
      </c>
      <c r="W363" s="6" t="s">
        <v>5305</v>
      </c>
      <c r="X363" s="6" t="s">
        <v>5306</v>
      </c>
      <c r="Y363" s="6" t="s">
        <v>60</v>
      </c>
      <c r="Z363" s="6" t="n">
        <v>0</v>
      </c>
      <c r="AA363" s="6" t="n">
        <v>0</v>
      </c>
      <c r="AB363" s="6" t="n">
        <v>0</v>
      </c>
      <c r="AC363" s="6" t="n">
        <v>0</v>
      </c>
      <c r="AD363" s="6" t="n">
        <v>0</v>
      </c>
      <c r="AE363" s="6" t="n">
        <v>0</v>
      </c>
      <c r="AF363" s="6" t="n">
        <v>0</v>
      </c>
      <c r="AG363" s="6" t="n">
        <v>0</v>
      </c>
      <c r="AH363" s="6" t="n">
        <v>0</v>
      </c>
      <c r="AI363" s="6" t="s">
        <v>84</v>
      </c>
    </row>
    <row r="364" customFormat="false" ht="15" hidden="false" customHeight="false" outlineLevel="0" collapsed="false">
      <c r="A364" s="6" t="n">
        <v>363</v>
      </c>
      <c r="B364" s="6" t="s">
        <v>5307</v>
      </c>
      <c r="C364" s="6" t="n">
        <v>8</v>
      </c>
      <c r="D364" s="6" t="s">
        <v>213</v>
      </c>
      <c r="E364" s="6" t="s">
        <v>67</v>
      </c>
      <c r="F364" s="6" t="n">
        <v>1</v>
      </c>
      <c r="G364" s="6" t="n">
        <v>11</v>
      </c>
      <c r="H364" s="6" t="s">
        <v>5303</v>
      </c>
      <c r="I364" s="22" t="n">
        <v>572000</v>
      </c>
      <c r="J364" s="22" t="n">
        <v>4500</v>
      </c>
      <c r="K364" s="22" t="n">
        <v>43237.5</v>
      </c>
      <c r="L364" s="22" t="n">
        <v>619737.5</v>
      </c>
      <c r="M364" s="6" t="s">
        <v>97</v>
      </c>
      <c r="N364" s="6" t="s">
        <v>84</v>
      </c>
      <c r="O364" s="6" t="s">
        <v>1185</v>
      </c>
      <c r="P364" s="6" t="s">
        <v>59</v>
      </c>
      <c r="Q364" s="6" t="str">
        <f aca="false">IF(P364="pass","No","Yes")</f>
        <v>Yes</v>
      </c>
      <c r="R364" s="6" t="s">
        <v>98</v>
      </c>
      <c r="S364" s="6" t="s">
        <v>1185</v>
      </c>
      <c r="T364" s="6" t="s">
        <v>5308</v>
      </c>
      <c r="U364" s="23" t="n">
        <v>17.092</v>
      </c>
      <c r="V364" s="6" t="s">
        <v>5309</v>
      </c>
      <c r="W364" s="6"/>
      <c r="X364" s="6" t="s">
        <v>5309</v>
      </c>
      <c r="Y364" s="6" t="s">
        <v>98</v>
      </c>
      <c r="Z364" s="6" t="n">
        <v>0</v>
      </c>
      <c r="AA364" s="6" t="n">
        <v>0</v>
      </c>
      <c r="AB364" s="6" t="n">
        <v>0</v>
      </c>
      <c r="AC364" s="6" t="n">
        <v>0</v>
      </c>
      <c r="AD364" s="6" t="n">
        <v>0</v>
      </c>
      <c r="AE364" s="6" t="n">
        <v>0</v>
      </c>
      <c r="AF364" s="6" t="n">
        <v>0</v>
      </c>
      <c r="AG364" s="6" t="n">
        <v>1</v>
      </c>
      <c r="AH364" s="6" t="n">
        <v>0</v>
      </c>
      <c r="AI364" s="6" t="s">
        <v>84</v>
      </c>
    </row>
    <row r="365" customFormat="false" ht="15" hidden="false" customHeight="false" outlineLevel="0" collapsed="false">
      <c r="A365" s="6" t="n">
        <v>364</v>
      </c>
      <c r="B365" s="6" t="s">
        <v>5310</v>
      </c>
      <c r="C365" s="6" t="n">
        <v>8</v>
      </c>
      <c r="D365" s="6" t="s">
        <v>63</v>
      </c>
      <c r="E365" s="6" t="s">
        <v>67</v>
      </c>
      <c r="F365" s="6" t="n">
        <v>3</v>
      </c>
      <c r="G365" s="6" t="n">
        <v>18</v>
      </c>
      <c r="H365" s="6" t="s">
        <v>5311</v>
      </c>
      <c r="I365" s="22" t="n">
        <v>493000</v>
      </c>
      <c r="J365" s="22" t="n">
        <v>4500</v>
      </c>
      <c r="K365" s="22" t="n">
        <v>37312.5</v>
      </c>
      <c r="L365" s="22" t="n">
        <v>534812.5</v>
      </c>
      <c r="M365" s="6" t="s">
        <v>57</v>
      </c>
      <c r="N365" s="6" t="s">
        <v>58</v>
      </c>
      <c r="O365" s="6"/>
      <c r="P365" s="6" t="s">
        <v>69</v>
      </c>
      <c r="Q365" s="6" t="str">
        <f aca="false">IF(P365="pass","No","Yes")</f>
        <v>No</v>
      </c>
      <c r="R365" s="6" t="s">
        <v>60</v>
      </c>
      <c r="S365" s="6"/>
      <c r="T365" s="6"/>
      <c r="U365" s="23" t="n">
        <v>48.886</v>
      </c>
      <c r="V365" s="6" t="s">
        <v>5312</v>
      </c>
      <c r="W365" s="6" t="s">
        <v>5313</v>
      </c>
      <c r="X365" s="6" t="s">
        <v>5314</v>
      </c>
      <c r="Y365" s="6" t="s">
        <v>60</v>
      </c>
      <c r="Z365" s="6" t="n">
        <v>0</v>
      </c>
      <c r="AA365" s="6" t="n">
        <v>0</v>
      </c>
      <c r="AB365" s="6" t="n">
        <v>0</v>
      </c>
      <c r="AC365" s="6" t="n">
        <v>0</v>
      </c>
      <c r="AD365" s="6" t="n">
        <v>0</v>
      </c>
      <c r="AE365" s="6" t="n">
        <v>0</v>
      </c>
      <c r="AF365" s="6" t="n">
        <v>0</v>
      </c>
      <c r="AG365" s="6" t="n">
        <v>0</v>
      </c>
      <c r="AH365" s="6" t="n">
        <v>0</v>
      </c>
      <c r="AI365" s="6" t="s">
        <v>84</v>
      </c>
    </row>
    <row r="366" customFormat="false" ht="15" hidden="false" customHeight="false" outlineLevel="0" collapsed="false">
      <c r="A366" s="6" t="n">
        <v>365</v>
      </c>
      <c r="B366" s="6" t="s">
        <v>5315</v>
      </c>
      <c r="C366" s="6" t="n">
        <v>8</v>
      </c>
      <c r="D366" s="6" t="s">
        <v>100</v>
      </c>
      <c r="E366" s="6" t="s">
        <v>67</v>
      </c>
      <c r="F366" s="6" t="n">
        <v>2</v>
      </c>
      <c r="G366" s="6" t="n">
        <v>17</v>
      </c>
      <c r="H366" s="6" t="s">
        <v>5316</v>
      </c>
      <c r="I366" s="22" t="n">
        <v>814000</v>
      </c>
      <c r="J366" s="22" t="n">
        <v>4500</v>
      </c>
      <c r="K366" s="22" t="n">
        <v>61387.5</v>
      </c>
      <c r="L366" s="22" t="n">
        <v>879887.5</v>
      </c>
      <c r="M366" s="6" t="s">
        <v>57</v>
      </c>
      <c r="N366" s="6" t="s">
        <v>58</v>
      </c>
      <c r="O366" s="6"/>
      <c r="P366" s="6" t="s">
        <v>69</v>
      </c>
      <c r="Q366" s="6" t="str">
        <f aca="false">IF(P366="pass","No","Yes")</f>
        <v>No</v>
      </c>
      <c r="R366" s="6" t="s">
        <v>60</v>
      </c>
      <c r="S366" s="6"/>
      <c r="T366" s="6"/>
      <c r="U366" s="23" t="n">
        <v>36.324</v>
      </c>
      <c r="V366" s="6" t="s">
        <v>5317</v>
      </c>
      <c r="W366" s="6" t="s">
        <v>5318</v>
      </c>
      <c r="X366" s="6" t="s">
        <v>5319</v>
      </c>
      <c r="Y366" s="6" t="s">
        <v>60</v>
      </c>
      <c r="Z366" s="6" t="n">
        <v>0</v>
      </c>
      <c r="AA366" s="6" t="n">
        <v>0</v>
      </c>
      <c r="AB366" s="6" t="n">
        <v>0</v>
      </c>
      <c r="AC366" s="6" t="n">
        <v>0</v>
      </c>
      <c r="AD366" s="6" t="n">
        <v>0</v>
      </c>
      <c r="AE366" s="6" t="n">
        <v>0</v>
      </c>
      <c r="AF366" s="6" t="n">
        <v>0</v>
      </c>
      <c r="AG366" s="6" t="n">
        <v>0</v>
      </c>
      <c r="AH366" s="6" t="n">
        <v>0</v>
      </c>
      <c r="AI366" s="6" t="s">
        <v>84</v>
      </c>
    </row>
    <row r="367" customFormat="false" ht="15" hidden="false" customHeight="false" outlineLevel="0" collapsed="false">
      <c r="A367" s="6" t="n">
        <v>366</v>
      </c>
      <c r="B367" s="6" t="s">
        <v>5320</v>
      </c>
      <c r="C367" s="6" t="n">
        <v>8</v>
      </c>
      <c r="D367" s="6" t="s">
        <v>166</v>
      </c>
      <c r="E367" s="6" t="s">
        <v>74</v>
      </c>
      <c r="F367" s="6" t="n">
        <v>2</v>
      </c>
      <c r="G367" s="6" t="n">
        <v>263</v>
      </c>
      <c r="H367" s="6" t="s">
        <v>5321</v>
      </c>
      <c r="I367" s="22" t="n">
        <v>2183400</v>
      </c>
      <c r="J367" s="22" t="n">
        <v>9000</v>
      </c>
      <c r="K367" s="22" t="n">
        <v>164430</v>
      </c>
      <c r="L367" s="22" t="n">
        <v>2356830</v>
      </c>
      <c r="M367" s="6" t="s">
        <v>57</v>
      </c>
      <c r="N367" s="6" t="s">
        <v>58</v>
      </c>
      <c r="O367" s="6"/>
      <c r="P367" s="6" t="s">
        <v>59</v>
      </c>
      <c r="Q367" s="6" t="str">
        <f aca="false">IF(P367="pass","No","Yes")</f>
        <v>Yes</v>
      </c>
      <c r="R367" s="6" t="s">
        <v>60</v>
      </c>
      <c r="S367" s="6" t="s">
        <v>915</v>
      </c>
      <c r="T367" s="6" t="s">
        <v>5322</v>
      </c>
      <c r="U367" s="23" t="n">
        <v>60.997</v>
      </c>
      <c r="V367" s="6" t="s">
        <v>5323</v>
      </c>
      <c r="W367" s="6" t="s">
        <v>5324</v>
      </c>
      <c r="X367" s="6" t="s">
        <v>5325</v>
      </c>
      <c r="Y367" s="6" t="s">
        <v>60</v>
      </c>
      <c r="Z367" s="6" t="n">
        <v>0</v>
      </c>
      <c r="AA367" s="6" t="n">
        <v>0</v>
      </c>
      <c r="AB367" s="6" t="n">
        <v>0</v>
      </c>
      <c r="AC367" s="6" t="n">
        <v>0</v>
      </c>
      <c r="AD367" s="6" t="n">
        <v>0</v>
      </c>
      <c r="AE367" s="6" t="n">
        <v>0</v>
      </c>
      <c r="AF367" s="6" t="n">
        <v>0</v>
      </c>
      <c r="AG367" s="6" t="n">
        <v>0</v>
      </c>
      <c r="AH367" s="6" t="n">
        <v>1</v>
      </c>
      <c r="AI367" s="6" t="s">
        <v>84</v>
      </c>
    </row>
    <row r="368" customFormat="false" ht="15" hidden="false" customHeight="false" outlineLevel="0" collapsed="false">
      <c r="A368" s="6" t="n">
        <v>367</v>
      </c>
      <c r="B368" s="6" t="s">
        <v>5326</v>
      </c>
      <c r="C368" s="6" t="n">
        <v>8</v>
      </c>
      <c r="D368" s="6" t="s">
        <v>51</v>
      </c>
      <c r="E368" s="6" t="s">
        <v>55</v>
      </c>
      <c r="F368" s="6" t="n">
        <v>2</v>
      </c>
      <c r="G368" s="6" t="n">
        <v>117</v>
      </c>
      <c r="H368" s="6" t="s">
        <v>5327</v>
      </c>
      <c r="I368" s="22" t="n">
        <v>1032800</v>
      </c>
      <c r="J368" s="22" t="n">
        <v>6000</v>
      </c>
      <c r="K368" s="22" t="n">
        <v>77910</v>
      </c>
      <c r="L368" s="22" t="n">
        <v>1116710</v>
      </c>
      <c r="M368" s="6" t="s">
        <v>57</v>
      </c>
      <c r="N368" s="6" t="s">
        <v>58</v>
      </c>
      <c r="O368" s="6"/>
      <c r="P368" s="6" t="s">
        <v>69</v>
      </c>
      <c r="Q368" s="6" t="str">
        <f aca="false">IF(P368="pass","No","Yes")</f>
        <v>No</v>
      </c>
      <c r="R368" s="6" t="s">
        <v>60</v>
      </c>
      <c r="S368" s="6"/>
      <c r="T368" s="6"/>
      <c r="U368" s="23" t="n">
        <v>49.518</v>
      </c>
      <c r="V368" s="6" t="s">
        <v>5328</v>
      </c>
      <c r="W368" s="6" t="s">
        <v>5329</v>
      </c>
      <c r="X368" s="6" t="s">
        <v>5330</v>
      </c>
      <c r="Y368" s="6" t="s">
        <v>60</v>
      </c>
      <c r="Z368" s="6" t="n">
        <v>0</v>
      </c>
      <c r="AA368" s="6" t="n">
        <v>0</v>
      </c>
      <c r="AB368" s="6" t="n">
        <v>0</v>
      </c>
      <c r="AC368" s="6" t="n">
        <v>0</v>
      </c>
      <c r="AD368" s="6" t="n">
        <v>0</v>
      </c>
      <c r="AE368" s="6" t="n">
        <v>0</v>
      </c>
      <c r="AF368" s="6" t="n">
        <v>0</v>
      </c>
      <c r="AG368" s="6" t="n">
        <v>0</v>
      </c>
      <c r="AH368" s="6" t="n">
        <v>0</v>
      </c>
      <c r="AI368" s="6" t="s">
        <v>84</v>
      </c>
    </row>
    <row r="369" customFormat="false" ht="15" hidden="false" customHeight="false" outlineLevel="0" collapsed="false">
      <c r="A369" s="6" t="n">
        <v>368</v>
      </c>
      <c r="B369" s="6" t="s">
        <v>5331</v>
      </c>
      <c r="C369" s="6" t="n">
        <v>8</v>
      </c>
      <c r="D369" s="6" t="s">
        <v>198</v>
      </c>
      <c r="E369" s="6" t="s">
        <v>146</v>
      </c>
      <c r="F369" s="6" t="n">
        <v>1</v>
      </c>
      <c r="G369" s="6" t="n">
        <v>2</v>
      </c>
      <c r="H369" s="6" t="s">
        <v>959</v>
      </c>
      <c r="I369" s="22" t="n">
        <v>8200</v>
      </c>
      <c r="J369" s="22" t="n">
        <v>0</v>
      </c>
      <c r="K369" s="22" t="n">
        <v>615</v>
      </c>
      <c r="L369" s="22" t="n">
        <v>8815</v>
      </c>
      <c r="M369" s="6" t="s">
        <v>148</v>
      </c>
      <c r="N369" s="6" t="s">
        <v>84</v>
      </c>
      <c r="O369" s="6" t="s">
        <v>866</v>
      </c>
      <c r="P369" s="6" t="s">
        <v>85</v>
      </c>
      <c r="Q369" s="6" t="str">
        <f aca="false">IF(P369="pass","No","Yes")</f>
        <v>Yes</v>
      </c>
      <c r="R369" s="6" t="s">
        <v>86</v>
      </c>
      <c r="S369" s="6" t="s">
        <v>866</v>
      </c>
      <c r="T369" s="6" t="s">
        <v>150</v>
      </c>
      <c r="U369" s="23" t="n">
        <v>20.999</v>
      </c>
      <c r="V369" s="6" t="s">
        <v>5332</v>
      </c>
      <c r="W369" s="6" t="s">
        <v>5333</v>
      </c>
      <c r="X369" s="6" t="s">
        <v>5334</v>
      </c>
      <c r="Y369" s="6" t="s">
        <v>86</v>
      </c>
      <c r="Z369" s="6" t="n">
        <v>1</v>
      </c>
      <c r="AA369" s="6" t="n">
        <v>0</v>
      </c>
      <c r="AB369" s="6" t="n">
        <v>0</v>
      </c>
      <c r="AC369" s="6" t="n">
        <v>0</v>
      </c>
      <c r="AD369" s="6" t="n">
        <v>0</v>
      </c>
      <c r="AE369" s="6" t="n">
        <v>0</v>
      </c>
      <c r="AF369" s="6" t="n">
        <v>0</v>
      </c>
      <c r="AG369" s="6" t="n">
        <v>0</v>
      </c>
      <c r="AH369" s="6" t="n">
        <v>0</v>
      </c>
      <c r="AI369" s="6" t="s">
        <v>84</v>
      </c>
    </row>
    <row r="370" customFormat="false" ht="15" hidden="false" customHeight="false" outlineLevel="0" collapsed="false">
      <c r="A370" s="6" t="n">
        <v>369</v>
      </c>
      <c r="B370" s="6" t="s">
        <v>5335</v>
      </c>
      <c r="C370" s="6" t="n">
        <v>8</v>
      </c>
      <c r="D370" s="6" t="s">
        <v>198</v>
      </c>
      <c r="E370" s="6" t="s">
        <v>81</v>
      </c>
      <c r="F370" s="6" t="n">
        <v>2</v>
      </c>
      <c r="G370" s="6" t="n">
        <v>36</v>
      </c>
      <c r="H370" s="6" t="s">
        <v>5336</v>
      </c>
      <c r="I370" s="22" t="n">
        <v>1368000</v>
      </c>
      <c r="J370" s="22" t="n">
        <v>4000</v>
      </c>
      <c r="K370" s="22" t="n">
        <v>102900</v>
      </c>
      <c r="L370" s="22" t="n">
        <v>1474900</v>
      </c>
      <c r="M370" s="6" t="s">
        <v>94</v>
      </c>
      <c r="N370" s="6" t="s">
        <v>84</v>
      </c>
      <c r="O370" s="6" t="s">
        <v>909</v>
      </c>
      <c r="P370" s="6" t="s">
        <v>85</v>
      </c>
      <c r="Q370" s="6" t="str">
        <f aca="false">IF(P370="pass","No","Yes")</f>
        <v>Yes</v>
      </c>
      <c r="R370" s="6" t="s">
        <v>86</v>
      </c>
      <c r="S370" s="6" t="s">
        <v>909</v>
      </c>
      <c r="T370" s="6" t="s">
        <v>254</v>
      </c>
      <c r="U370" s="23" t="n">
        <v>35.212</v>
      </c>
      <c r="V370" s="6" t="s">
        <v>5337</v>
      </c>
      <c r="W370" s="6" t="s">
        <v>5338</v>
      </c>
      <c r="X370" s="6" t="s">
        <v>5339</v>
      </c>
      <c r="Y370" s="6" t="s">
        <v>86</v>
      </c>
      <c r="Z370" s="6" t="n">
        <v>0</v>
      </c>
      <c r="AA370" s="6" t="n">
        <v>0</v>
      </c>
      <c r="AB370" s="6" t="n">
        <v>0</v>
      </c>
      <c r="AC370" s="6" t="n">
        <v>0</v>
      </c>
      <c r="AD370" s="6" t="n">
        <v>0</v>
      </c>
      <c r="AE370" s="6" t="n">
        <v>0</v>
      </c>
      <c r="AF370" s="6" t="n">
        <v>1</v>
      </c>
      <c r="AG370" s="6" t="n">
        <v>0</v>
      </c>
      <c r="AH370" s="6" t="n">
        <v>0</v>
      </c>
      <c r="AI370" s="6" t="s">
        <v>84</v>
      </c>
    </row>
    <row r="371" customFormat="false" ht="15" hidden="false" customHeight="false" outlineLevel="0" collapsed="false">
      <c r="A371" s="6" t="n">
        <v>370</v>
      </c>
      <c r="B371" s="6" t="s">
        <v>5340</v>
      </c>
      <c r="C371" s="6" t="n">
        <v>8</v>
      </c>
      <c r="D371" s="6" t="s">
        <v>100</v>
      </c>
      <c r="E371" s="6" t="s">
        <v>67</v>
      </c>
      <c r="F371" s="6" t="n">
        <v>4</v>
      </c>
      <c r="G371" s="6" t="n">
        <v>40</v>
      </c>
      <c r="H371" s="6" t="s">
        <v>5341</v>
      </c>
      <c r="I371" s="22" t="n">
        <v>865200</v>
      </c>
      <c r="J371" s="22" t="n">
        <v>4500</v>
      </c>
      <c r="K371" s="22" t="n">
        <v>65227.5</v>
      </c>
      <c r="L371" s="22" t="n">
        <v>934927.5</v>
      </c>
      <c r="M371" s="6" t="s">
        <v>132</v>
      </c>
      <c r="N371" s="6" t="s">
        <v>84</v>
      </c>
      <c r="O371" s="6" t="s">
        <v>879</v>
      </c>
      <c r="P371" s="6" t="s">
        <v>85</v>
      </c>
      <c r="Q371" s="6" t="str">
        <f aca="false">IF(P371="pass","No","Yes")</f>
        <v>Yes</v>
      </c>
      <c r="R371" s="6" t="s">
        <v>86</v>
      </c>
      <c r="S371" s="6" t="s">
        <v>880</v>
      </c>
      <c r="T371" s="6" t="s">
        <v>134</v>
      </c>
      <c r="U371" s="23" t="n">
        <v>51.803</v>
      </c>
      <c r="V371" s="6" t="s">
        <v>5342</v>
      </c>
      <c r="W371" s="6" t="s">
        <v>5343</v>
      </c>
      <c r="X371" s="6" t="s">
        <v>5344</v>
      </c>
      <c r="Y371" s="6" t="s">
        <v>86</v>
      </c>
      <c r="Z371" s="6" t="n">
        <v>0</v>
      </c>
      <c r="AA371" s="6" t="n">
        <v>1</v>
      </c>
      <c r="AB371" s="6" t="n">
        <v>0</v>
      </c>
      <c r="AC371" s="6" t="n">
        <v>1</v>
      </c>
      <c r="AD371" s="6" t="n">
        <v>0</v>
      </c>
      <c r="AE371" s="6" t="n">
        <v>0</v>
      </c>
      <c r="AF371" s="6" t="n">
        <v>0</v>
      </c>
      <c r="AG371" s="6" t="n">
        <v>0</v>
      </c>
      <c r="AH371" s="6" t="n">
        <v>0</v>
      </c>
      <c r="AI371" s="6" t="s">
        <v>84</v>
      </c>
    </row>
    <row r="372" customFormat="false" ht="15" hidden="false" customHeight="false" outlineLevel="0" collapsed="false">
      <c r="A372" s="6" t="n">
        <v>371</v>
      </c>
      <c r="B372" s="6" t="s">
        <v>5345</v>
      </c>
      <c r="C372" s="6" t="n">
        <v>8</v>
      </c>
      <c r="D372" s="6" t="s">
        <v>177</v>
      </c>
      <c r="E372" s="6" t="s">
        <v>81</v>
      </c>
      <c r="F372" s="6" t="n">
        <v>3</v>
      </c>
      <c r="G372" s="6" t="n">
        <v>80</v>
      </c>
      <c r="H372" s="6" t="s">
        <v>5346</v>
      </c>
      <c r="I372" s="22" t="n">
        <v>1718000</v>
      </c>
      <c r="J372" s="22" t="n">
        <v>4000</v>
      </c>
      <c r="K372" s="22" t="n">
        <v>129150</v>
      </c>
      <c r="L372" s="22" t="n">
        <v>1851150</v>
      </c>
      <c r="M372" s="6" t="s">
        <v>57</v>
      </c>
      <c r="N372" s="6" t="s">
        <v>58</v>
      </c>
      <c r="O372" s="6"/>
      <c r="P372" s="6" t="s">
        <v>69</v>
      </c>
      <c r="Q372" s="6" t="str">
        <f aca="false">IF(P372="pass","No","Yes")</f>
        <v>No</v>
      </c>
      <c r="R372" s="6" t="s">
        <v>60</v>
      </c>
      <c r="S372" s="6"/>
      <c r="T372" s="6"/>
      <c r="U372" s="23" t="n">
        <v>52.648</v>
      </c>
      <c r="V372" s="6" t="s">
        <v>5347</v>
      </c>
      <c r="W372" s="6" t="s">
        <v>5348</v>
      </c>
      <c r="X372" s="6" t="s">
        <v>5349</v>
      </c>
      <c r="Y372" s="6" t="s">
        <v>60</v>
      </c>
      <c r="Z372" s="6" t="n">
        <v>0</v>
      </c>
      <c r="AA372" s="6" t="n">
        <v>0</v>
      </c>
      <c r="AB372" s="6" t="n">
        <v>0</v>
      </c>
      <c r="AC372" s="6" t="n">
        <v>0</v>
      </c>
      <c r="AD372" s="6" t="n">
        <v>0</v>
      </c>
      <c r="AE372" s="6" t="n">
        <v>0</v>
      </c>
      <c r="AF372" s="6" t="n">
        <v>0</v>
      </c>
      <c r="AG372" s="6" t="n">
        <v>0</v>
      </c>
      <c r="AH372" s="6" t="n">
        <v>0</v>
      </c>
      <c r="AI372" s="6" t="s">
        <v>84</v>
      </c>
    </row>
    <row r="373" customFormat="false" ht="15" hidden="false" customHeight="false" outlineLevel="0" collapsed="false">
      <c r="A373" s="6" t="n">
        <v>372</v>
      </c>
      <c r="B373" s="6" t="s">
        <v>5350</v>
      </c>
      <c r="C373" s="6" t="n">
        <v>8</v>
      </c>
      <c r="D373" s="6" t="s">
        <v>77</v>
      </c>
      <c r="E373" s="6" t="s">
        <v>81</v>
      </c>
      <c r="F373" s="6" t="n">
        <v>3</v>
      </c>
      <c r="G373" s="6" t="n">
        <v>124</v>
      </c>
      <c r="H373" s="6" t="s">
        <v>5351</v>
      </c>
      <c r="I373" s="22" t="n">
        <v>1247700</v>
      </c>
      <c r="J373" s="22" t="n">
        <v>4000</v>
      </c>
      <c r="K373" s="22" t="n">
        <v>93877.5</v>
      </c>
      <c r="L373" s="22" t="n">
        <v>1345577.5</v>
      </c>
      <c r="M373" s="6" t="s">
        <v>57</v>
      </c>
      <c r="N373" s="6" t="s">
        <v>58</v>
      </c>
      <c r="O373" s="6"/>
      <c r="P373" s="6" t="s">
        <v>69</v>
      </c>
      <c r="Q373" s="6" t="str">
        <f aca="false">IF(P373="pass","No","Yes")</f>
        <v>No</v>
      </c>
      <c r="R373" s="6" t="s">
        <v>60</v>
      </c>
      <c r="S373" s="6"/>
      <c r="T373" s="6"/>
      <c r="U373" s="23" t="n">
        <v>66.496</v>
      </c>
      <c r="V373" s="6" t="s">
        <v>5352</v>
      </c>
      <c r="W373" s="6" t="s">
        <v>5353</v>
      </c>
      <c r="X373" s="6" t="s">
        <v>5354</v>
      </c>
      <c r="Y373" s="6" t="s">
        <v>60</v>
      </c>
      <c r="Z373" s="6" t="n">
        <v>0</v>
      </c>
      <c r="AA373" s="6" t="n">
        <v>0</v>
      </c>
      <c r="AB373" s="6" t="n">
        <v>0</v>
      </c>
      <c r="AC373" s="6" t="n">
        <v>0</v>
      </c>
      <c r="AD373" s="6" t="n">
        <v>0</v>
      </c>
      <c r="AE373" s="6" t="n">
        <v>0</v>
      </c>
      <c r="AF373" s="6" t="n">
        <v>0</v>
      </c>
      <c r="AG373" s="6" t="n">
        <v>0</v>
      </c>
      <c r="AH373" s="6" t="n">
        <v>0</v>
      </c>
      <c r="AI373" s="6" t="s">
        <v>84</v>
      </c>
    </row>
    <row r="374" customFormat="false" ht="15" hidden="false" customHeight="false" outlineLevel="0" collapsed="false">
      <c r="A374" s="6" t="n">
        <v>373</v>
      </c>
      <c r="B374" s="6" t="s">
        <v>5355</v>
      </c>
      <c r="C374" s="6" t="n">
        <v>8</v>
      </c>
      <c r="D374" s="6" t="s">
        <v>100</v>
      </c>
      <c r="E374" s="6" t="s">
        <v>67</v>
      </c>
      <c r="F374" s="6" t="n">
        <v>3</v>
      </c>
      <c r="G374" s="6" t="n">
        <v>89</v>
      </c>
      <c r="H374" s="6" t="s">
        <v>5356</v>
      </c>
      <c r="I374" s="22" t="n">
        <v>1319200</v>
      </c>
      <c r="J374" s="22" t="n">
        <v>4500</v>
      </c>
      <c r="K374" s="22" t="n">
        <v>99277.5</v>
      </c>
      <c r="L374" s="22" t="n">
        <v>1422977.5</v>
      </c>
      <c r="M374" s="6" t="s">
        <v>57</v>
      </c>
      <c r="N374" s="6" t="s">
        <v>58</v>
      </c>
      <c r="O374" s="6"/>
      <c r="P374" s="6" t="s">
        <v>69</v>
      </c>
      <c r="Q374" s="6" t="str">
        <f aca="false">IF(P374="pass","No","Yes")</f>
        <v>No</v>
      </c>
      <c r="R374" s="6" t="s">
        <v>60</v>
      </c>
      <c r="S374" s="6"/>
      <c r="T374" s="6"/>
      <c r="U374" s="23" t="n">
        <v>53.723</v>
      </c>
      <c r="V374" s="6" t="s">
        <v>5357</v>
      </c>
      <c r="W374" s="6" t="s">
        <v>5358</v>
      </c>
      <c r="X374" s="6" t="s">
        <v>5359</v>
      </c>
      <c r="Y374" s="6" t="s">
        <v>60</v>
      </c>
      <c r="Z374" s="6" t="n">
        <v>0</v>
      </c>
      <c r="AA374" s="6" t="n">
        <v>0</v>
      </c>
      <c r="AB374" s="6" t="n">
        <v>0</v>
      </c>
      <c r="AC374" s="6" t="n">
        <v>0</v>
      </c>
      <c r="AD374" s="6" t="n">
        <v>0</v>
      </c>
      <c r="AE374" s="6" t="n">
        <v>0</v>
      </c>
      <c r="AF374" s="6" t="n">
        <v>0</v>
      </c>
      <c r="AG374" s="6" t="n">
        <v>0</v>
      </c>
      <c r="AH374" s="6" t="n">
        <v>0</v>
      </c>
      <c r="AI374" s="6" t="s">
        <v>84</v>
      </c>
    </row>
    <row r="375" customFormat="false" ht="15" hidden="false" customHeight="false" outlineLevel="0" collapsed="false">
      <c r="A375" s="6" t="n">
        <v>374</v>
      </c>
      <c r="B375" s="6" t="s">
        <v>5360</v>
      </c>
      <c r="C375" s="6" t="n">
        <v>8</v>
      </c>
      <c r="D375" s="6" t="s">
        <v>119</v>
      </c>
      <c r="E375" s="6" t="s">
        <v>123</v>
      </c>
      <c r="F375" s="6" t="n">
        <v>2</v>
      </c>
      <c r="G375" s="6" t="n">
        <v>629</v>
      </c>
      <c r="H375" s="6" t="s">
        <v>5361</v>
      </c>
      <c r="I375" s="22" t="n">
        <v>4756700</v>
      </c>
      <c r="J375" s="22" t="n">
        <v>5000</v>
      </c>
      <c r="K375" s="22" t="n">
        <v>357127.5</v>
      </c>
      <c r="L375" s="22" t="n">
        <v>5118827.5</v>
      </c>
      <c r="M375" s="6" t="s">
        <v>171</v>
      </c>
      <c r="N375" s="6" t="s">
        <v>84</v>
      </c>
      <c r="O375" s="6" t="s">
        <v>892</v>
      </c>
      <c r="P375" s="6" t="s">
        <v>85</v>
      </c>
      <c r="Q375" s="6" t="str">
        <f aca="false">IF(P375="pass","No","Yes")</f>
        <v>Yes</v>
      </c>
      <c r="R375" s="6" t="s">
        <v>86</v>
      </c>
      <c r="S375" s="6" t="s">
        <v>893</v>
      </c>
      <c r="T375" s="6" t="s">
        <v>5362</v>
      </c>
      <c r="U375" s="23" t="n">
        <v>48.983</v>
      </c>
      <c r="V375" s="6" t="s">
        <v>5363</v>
      </c>
      <c r="W375" s="6" t="s">
        <v>5364</v>
      </c>
      <c r="X375" s="6" t="s">
        <v>5365</v>
      </c>
      <c r="Y375" s="6" t="s">
        <v>86</v>
      </c>
      <c r="Z375" s="6" t="n">
        <v>0</v>
      </c>
      <c r="AA375" s="6" t="n">
        <v>0</v>
      </c>
      <c r="AB375" s="6" t="n">
        <v>0</v>
      </c>
      <c r="AC375" s="6" t="n">
        <v>1</v>
      </c>
      <c r="AD375" s="6" t="n">
        <v>0</v>
      </c>
      <c r="AE375" s="6" t="n">
        <v>0</v>
      </c>
      <c r="AF375" s="6" t="n">
        <v>0</v>
      </c>
      <c r="AG375" s="6" t="n">
        <v>0</v>
      </c>
      <c r="AH375" s="6" t="n">
        <v>1</v>
      </c>
      <c r="AI375" s="6" t="s">
        <v>84</v>
      </c>
    </row>
    <row r="376" customFormat="false" ht="15" hidden="false" customHeight="false" outlineLevel="0" collapsed="false">
      <c r="A376" s="6" t="n">
        <v>375</v>
      </c>
      <c r="B376" s="6" t="s">
        <v>5366</v>
      </c>
      <c r="C376" s="6" t="n">
        <v>8</v>
      </c>
      <c r="D376" s="6" t="s">
        <v>89</v>
      </c>
      <c r="E376" s="6" t="s">
        <v>67</v>
      </c>
      <c r="F376" s="6" t="n">
        <v>4</v>
      </c>
      <c r="G376" s="6" t="n">
        <v>1170</v>
      </c>
      <c r="H376" s="6" t="s">
        <v>5367</v>
      </c>
      <c r="I376" s="22" t="n">
        <v>14298400</v>
      </c>
      <c r="J376" s="22" t="n">
        <v>4500</v>
      </c>
      <c r="K376" s="22" t="n">
        <v>1072717.5</v>
      </c>
      <c r="L376" s="22" t="n">
        <v>15375617.5</v>
      </c>
      <c r="M376" s="6" t="s">
        <v>159</v>
      </c>
      <c r="N376" s="6" t="s">
        <v>84</v>
      </c>
      <c r="O376" s="6" t="s">
        <v>886</v>
      </c>
      <c r="P376" s="6" t="s">
        <v>85</v>
      </c>
      <c r="Q376" s="6" t="str">
        <f aca="false">IF(P376="pass","No","Yes")</f>
        <v>Yes</v>
      </c>
      <c r="R376" s="6" t="s">
        <v>86</v>
      </c>
      <c r="S376" s="6" t="s">
        <v>934</v>
      </c>
      <c r="T376" s="6" t="s">
        <v>491</v>
      </c>
      <c r="U376" s="23" t="n">
        <v>90.113</v>
      </c>
      <c r="V376" s="6" t="s">
        <v>5368</v>
      </c>
      <c r="W376" s="6" t="s">
        <v>5369</v>
      </c>
      <c r="X376" s="6" t="s">
        <v>5370</v>
      </c>
      <c r="Y376" s="6" t="s">
        <v>86</v>
      </c>
      <c r="Z376" s="6" t="n">
        <v>0</v>
      </c>
      <c r="AA376" s="6" t="n">
        <v>0</v>
      </c>
      <c r="AB376" s="6" t="n">
        <v>1</v>
      </c>
      <c r="AC376" s="6" t="n">
        <v>1</v>
      </c>
      <c r="AD376" s="6" t="n">
        <v>0</v>
      </c>
      <c r="AE376" s="6" t="n">
        <v>0</v>
      </c>
      <c r="AF376" s="6" t="n">
        <v>0</v>
      </c>
      <c r="AG376" s="6" t="n">
        <v>0</v>
      </c>
      <c r="AH376" s="6" t="n">
        <v>0</v>
      </c>
      <c r="AI376" s="6" t="s">
        <v>84</v>
      </c>
    </row>
    <row r="377" customFormat="false" ht="15" hidden="false" customHeight="false" outlineLevel="0" collapsed="false">
      <c r="A377" s="6" t="n">
        <v>376</v>
      </c>
      <c r="B377" s="6" t="s">
        <v>5371</v>
      </c>
      <c r="C377" s="6" t="n">
        <v>8</v>
      </c>
      <c r="D377" s="6" t="s">
        <v>213</v>
      </c>
      <c r="E377" s="6" t="s">
        <v>67</v>
      </c>
      <c r="F377" s="6" t="n">
        <v>4</v>
      </c>
      <c r="G377" s="6" t="n">
        <v>37</v>
      </c>
      <c r="H377" s="6" t="s">
        <v>5372</v>
      </c>
      <c r="I377" s="22" t="n">
        <v>504800</v>
      </c>
      <c r="J377" s="22" t="n">
        <v>4500</v>
      </c>
      <c r="K377" s="22" t="n">
        <v>38197.5</v>
      </c>
      <c r="L377" s="22" t="n">
        <v>547497.5</v>
      </c>
      <c r="M377" s="6" t="s">
        <v>171</v>
      </c>
      <c r="N377" s="6" t="s">
        <v>84</v>
      </c>
      <c r="O377" s="6" t="s">
        <v>892</v>
      </c>
      <c r="P377" s="6" t="s">
        <v>85</v>
      </c>
      <c r="Q377" s="6" t="str">
        <f aca="false">IF(P377="pass","No","Yes")</f>
        <v>Yes</v>
      </c>
      <c r="R377" s="6" t="s">
        <v>86</v>
      </c>
      <c r="S377" s="6" t="s">
        <v>892</v>
      </c>
      <c r="T377" s="6" t="s">
        <v>242</v>
      </c>
      <c r="U377" s="23" t="n">
        <v>79.067</v>
      </c>
      <c r="V377" s="6" t="s">
        <v>5373</v>
      </c>
      <c r="W377" s="6" t="s">
        <v>5374</v>
      </c>
      <c r="X377" s="6" t="s">
        <v>5375</v>
      </c>
      <c r="Y377" s="6" t="s">
        <v>86</v>
      </c>
      <c r="Z377" s="6" t="n">
        <v>0</v>
      </c>
      <c r="AA377" s="6" t="n">
        <v>0</v>
      </c>
      <c r="AB377" s="6" t="n">
        <v>0</v>
      </c>
      <c r="AC377" s="6" t="n">
        <v>1</v>
      </c>
      <c r="AD377" s="6" t="n">
        <v>0</v>
      </c>
      <c r="AE377" s="6" t="n">
        <v>0</v>
      </c>
      <c r="AF377" s="6" t="n">
        <v>0</v>
      </c>
      <c r="AG377" s="6" t="n">
        <v>0</v>
      </c>
      <c r="AH377" s="6" t="n">
        <v>0</v>
      </c>
      <c r="AI377" s="6" t="s">
        <v>84</v>
      </c>
    </row>
    <row r="378" customFormat="false" ht="15" hidden="false" customHeight="false" outlineLevel="0" collapsed="false">
      <c r="A378" s="6" t="n">
        <v>377</v>
      </c>
      <c r="B378" s="6" t="s">
        <v>5376</v>
      </c>
      <c r="C378" s="6" t="n">
        <v>8</v>
      </c>
      <c r="D378" s="6" t="s">
        <v>105</v>
      </c>
      <c r="E378" s="6" t="s">
        <v>81</v>
      </c>
      <c r="F378" s="6" t="n">
        <v>1</v>
      </c>
      <c r="G378" s="6" t="n">
        <v>70</v>
      </c>
      <c r="H378" s="6" t="s">
        <v>4024</v>
      </c>
      <c r="I378" s="22" t="n">
        <v>875000</v>
      </c>
      <c r="J378" s="22" t="n">
        <v>4000</v>
      </c>
      <c r="K378" s="22" t="n">
        <v>65925</v>
      </c>
      <c r="L378" s="22" t="n">
        <v>944925</v>
      </c>
      <c r="M378" s="6" t="s">
        <v>57</v>
      </c>
      <c r="N378" s="6" t="s">
        <v>58</v>
      </c>
      <c r="O378" s="6"/>
      <c r="P378" s="6" t="s">
        <v>69</v>
      </c>
      <c r="Q378" s="6" t="str">
        <f aca="false">IF(P378="pass","No","Yes")</f>
        <v>No</v>
      </c>
      <c r="R378" s="6" t="s">
        <v>60</v>
      </c>
      <c r="S378" s="6"/>
      <c r="T378" s="6"/>
      <c r="U378" s="23" t="n">
        <v>20.852</v>
      </c>
      <c r="V378" s="6" t="s">
        <v>5377</v>
      </c>
      <c r="W378" s="6" t="s">
        <v>5378</v>
      </c>
      <c r="X378" s="6" t="s">
        <v>5379</v>
      </c>
      <c r="Y378" s="6" t="s">
        <v>60</v>
      </c>
      <c r="Z378" s="6" t="n">
        <v>0</v>
      </c>
      <c r="AA378" s="6" t="n">
        <v>0</v>
      </c>
      <c r="AB378" s="6" t="n">
        <v>0</v>
      </c>
      <c r="AC378" s="6" t="n">
        <v>0</v>
      </c>
      <c r="AD378" s="6" t="n">
        <v>0</v>
      </c>
      <c r="AE378" s="6" t="n">
        <v>0</v>
      </c>
      <c r="AF378" s="6" t="n">
        <v>0</v>
      </c>
      <c r="AG378" s="6" t="n">
        <v>0</v>
      </c>
      <c r="AH378" s="6" t="n">
        <v>0</v>
      </c>
      <c r="AI378" s="6" t="s">
        <v>84</v>
      </c>
    </row>
    <row r="379" customFormat="false" ht="15" hidden="false" customHeight="false" outlineLevel="0" collapsed="false">
      <c r="A379" s="6" t="n">
        <v>378</v>
      </c>
      <c r="B379" s="6" t="s">
        <v>5380</v>
      </c>
      <c r="C379" s="6" t="n">
        <v>8</v>
      </c>
      <c r="D379" s="6" t="s">
        <v>198</v>
      </c>
      <c r="E379" s="6" t="s">
        <v>81</v>
      </c>
      <c r="F379" s="6" t="n">
        <v>3</v>
      </c>
      <c r="G379" s="6" t="n">
        <v>76</v>
      </c>
      <c r="H379" s="6" t="s">
        <v>5381</v>
      </c>
      <c r="I379" s="22" t="n">
        <v>1471200</v>
      </c>
      <c r="J379" s="22" t="n">
        <v>4000</v>
      </c>
      <c r="K379" s="22" t="n">
        <v>110640</v>
      </c>
      <c r="L379" s="22" t="n">
        <v>1585840</v>
      </c>
      <c r="M379" s="6" t="s">
        <v>57</v>
      </c>
      <c r="N379" s="6" t="s">
        <v>58</v>
      </c>
      <c r="O379" s="6"/>
      <c r="P379" s="6" t="s">
        <v>69</v>
      </c>
      <c r="Q379" s="6" t="str">
        <f aca="false">IF(P379="pass","No","Yes")</f>
        <v>No</v>
      </c>
      <c r="R379" s="6" t="s">
        <v>60</v>
      </c>
      <c r="S379" s="6"/>
      <c r="T379" s="6"/>
      <c r="U379" s="23" t="n">
        <v>66.795</v>
      </c>
      <c r="V379" s="6" t="s">
        <v>5382</v>
      </c>
      <c r="W379" s="6" t="s">
        <v>5383</v>
      </c>
      <c r="X379" s="6" t="s">
        <v>5384</v>
      </c>
      <c r="Y379" s="6" t="s">
        <v>60</v>
      </c>
      <c r="Z379" s="6" t="n">
        <v>0</v>
      </c>
      <c r="AA379" s="6" t="n">
        <v>0</v>
      </c>
      <c r="AB379" s="6" t="n">
        <v>0</v>
      </c>
      <c r="AC379" s="6" t="n">
        <v>0</v>
      </c>
      <c r="AD379" s="6" t="n">
        <v>0</v>
      </c>
      <c r="AE379" s="6" t="n">
        <v>0</v>
      </c>
      <c r="AF379" s="6" t="n">
        <v>0</v>
      </c>
      <c r="AG379" s="6" t="n">
        <v>0</v>
      </c>
      <c r="AH379" s="6" t="n">
        <v>0</v>
      </c>
      <c r="AI379" s="6" t="s">
        <v>84</v>
      </c>
    </row>
    <row r="380" customFormat="false" ht="15" hidden="false" customHeight="false" outlineLevel="0" collapsed="false">
      <c r="A380" s="6" t="n">
        <v>379</v>
      </c>
      <c r="B380" s="6" t="s">
        <v>5385</v>
      </c>
      <c r="C380" s="6" t="n">
        <v>8</v>
      </c>
      <c r="D380" s="6" t="s">
        <v>89</v>
      </c>
      <c r="E380" s="6" t="s">
        <v>67</v>
      </c>
      <c r="F380" s="6" t="n">
        <v>1</v>
      </c>
      <c r="G380" s="6" t="n">
        <v>29</v>
      </c>
      <c r="H380" s="6" t="s">
        <v>1597</v>
      </c>
      <c r="I380" s="22" t="n">
        <v>342200</v>
      </c>
      <c r="J380" s="22" t="n">
        <v>4500</v>
      </c>
      <c r="K380" s="22" t="n">
        <v>26002.5</v>
      </c>
      <c r="L380" s="22" t="n">
        <v>372702.5</v>
      </c>
      <c r="M380" s="6" t="s">
        <v>57</v>
      </c>
      <c r="N380" s="6" t="s">
        <v>58</v>
      </c>
      <c r="O380" s="6"/>
      <c r="P380" s="6" t="s">
        <v>69</v>
      </c>
      <c r="Q380" s="6" t="str">
        <f aca="false">IF(P380="pass","No","Yes")</f>
        <v>No</v>
      </c>
      <c r="R380" s="6" t="s">
        <v>60</v>
      </c>
      <c r="S380" s="6"/>
      <c r="T380" s="6"/>
      <c r="U380" s="23" t="n">
        <v>23.051</v>
      </c>
      <c r="V380" s="6" t="s">
        <v>5386</v>
      </c>
      <c r="W380" s="6" t="s">
        <v>5387</v>
      </c>
      <c r="X380" s="6" t="s">
        <v>5388</v>
      </c>
      <c r="Y380" s="6" t="s">
        <v>60</v>
      </c>
      <c r="Z380" s="6" t="n">
        <v>0</v>
      </c>
      <c r="AA380" s="6" t="n">
        <v>0</v>
      </c>
      <c r="AB380" s="6" t="n">
        <v>0</v>
      </c>
      <c r="AC380" s="6" t="n">
        <v>0</v>
      </c>
      <c r="AD380" s="6" t="n">
        <v>0</v>
      </c>
      <c r="AE380" s="6" t="n">
        <v>0</v>
      </c>
      <c r="AF380" s="6" t="n">
        <v>0</v>
      </c>
      <c r="AG380" s="6" t="n">
        <v>0</v>
      </c>
      <c r="AH380" s="6" t="n">
        <v>0</v>
      </c>
      <c r="AI380" s="6" t="s">
        <v>84</v>
      </c>
    </row>
    <row r="381" customFormat="false" ht="15" hidden="false" customHeight="false" outlineLevel="0" collapsed="false">
      <c r="A381" s="6" t="n">
        <v>380</v>
      </c>
      <c r="B381" s="6" t="s">
        <v>5389</v>
      </c>
      <c r="C381" s="6" t="n">
        <v>8</v>
      </c>
      <c r="D381" s="6" t="s">
        <v>154</v>
      </c>
      <c r="E381" s="6" t="s">
        <v>123</v>
      </c>
      <c r="F381" s="6" t="n">
        <v>2</v>
      </c>
      <c r="G381" s="6" t="n">
        <v>8</v>
      </c>
      <c r="H381" s="6" t="s">
        <v>5390</v>
      </c>
      <c r="I381" s="22" t="n">
        <v>236200</v>
      </c>
      <c r="J381" s="22" t="n">
        <v>5000</v>
      </c>
      <c r="K381" s="22" t="n">
        <v>18090</v>
      </c>
      <c r="L381" s="22" t="n">
        <v>259290</v>
      </c>
      <c r="M381" s="6" t="s">
        <v>57</v>
      </c>
      <c r="N381" s="6" t="s">
        <v>58</v>
      </c>
      <c r="O381" s="6"/>
      <c r="P381" s="6" t="s">
        <v>69</v>
      </c>
      <c r="Q381" s="6" t="str">
        <f aca="false">IF(P381="pass","No","Yes")</f>
        <v>No</v>
      </c>
      <c r="R381" s="6" t="s">
        <v>60</v>
      </c>
      <c r="S381" s="6"/>
      <c r="T381" s="6"/>
      <c r="U381" s="23" t="n">
        <v>40.34</v>
      </c>
      <c r="V381" s="6" t="s">
        <v>5391</v>
      </c>
      <c r="W381" s="6" t="s">
        <v>5392</v>
      </c>
      <c r="X381" s="6" t="s">
        <v>5393</v>
      </c>
      <c r="Y381" s="6" t="s">
        <v>60</v>
      </c>
      <c r="Z381" s="6" t="n">
        <v>0</v>
      </c>
      <c r="AA381" s="6" t="n">
        <v>0</v>
      </c>
      <c r="AB381" s="6" t="n">
        <v>0</v>
      </c>
      <c r="AC381" s="6" t="n">
        <v>0</v>
      </c>
      <c r="AD381" s="6" t="n">
        <v>0</v>
      </c>
      <c r="AE381" s="6" t="n">
        <v>0</v>
      </c>
      <c r="AF381" s="6" t="n">
        <v>0</v>
      </c>
      <c r="AG381" s="6" t="n">
        <v>0</v>
      </c>
      <c r="AH381" s="6" t="n">
        <v>0</v>
      </c>
      <c r="AI381" s="6" t="s">
        <v>84</v>
      </c>
    </row>
    <row r="382" customFormat="false" ht="15" hidden="false" customHeight="false" outlineLevel="0" collapsed="false">
      <c r="A382" s="6" t="n">
        <v>381</v>
      </c>
      <c r="B382" s="6" t="s">
        <v>5394</v>
      </c>
      <c r="C382" s="6" t="n">
        <v>8</v>
      </c>
      <c r="D382" s="6" t="s">
        <v>213</v>
      </c>
      <c r="E382" s="6" t="s">
        <v>67</v>
      </c>
      <c r="F382" s="6" t="n">
        <v>1</v>
      </c>
      <c r="G382" s="6" t="n">
        <v>37</v>
      </c>
      <c r="H382" s="6" t="s">
        <v>5395</v>
      </c>
      <c r="I382" s="22" t="n">
        <v>266400</v>
      </c>
      <c r="J382" s="22" t="n">
        <v>4500</v>
      </c>
      <c r="K382" s="22" t="n">
        <v>20317.5</v>
      </c>
      <c r="L382" s="22" t="n">
        <v>291217.5</v>
      </c>
      <c r="M382" s="6" t="s">
        <v>57</v>
      </c>
      <c r="N382" s="6" t="s">
        <v>58</v>
      </c>
      <c r="O382" s="6"/>
      <c r="P382" s="6" t="s">
        <v>69</v>
      </c>
      <c r="Q382" s="6" t="str">
        <f aca="false">IF(P382="pass","No","Yes")</f>
        <v>No</v>
      </c>
      <c r="R382" s="6" t="s">
        <v>60</v>
      </c>
      <c r="S382" s="6"/>
      <c r="T382" s="6"/>
      <c r="U382" s="23" t="n">
        <v>36.551</v>
      </c>
      <c r="V382" s="6" t="s">
        <v>5396</v>
      </c>
      <c r="W382" s="6" t="s">
        <v>5397</v>
      </c>
      <c r="X382" s="6" t="s">
        <v>5398</v>
      </c>
      <c r="Y382" s="6" t="s">
        <v>60</v>
      </c>
      <c r="Z382" s="6" t="n">
        <v>0</v>
      </c>
      <c r="AA382" s="6" t="n">
        <v>0</v>
      </c>
      <c r="AB382" s="6" t="n">
        <v>0</v>
      </c>
      <c r="AC382" s="6" t="n">
        <v>0</v>
      </c>
      <c r="AD382" s="6" t="n">
        <v>0</v>
      </c>
      <c r="AE382" s="6" t="n">
        <v>0</v>
      </c>
      <c r="AF382" s="6" t="n">
        <v>0</v>
      </c>
      <c r="AG382" s="6" t="n">
        <v>0</v>
      </c>
      <c r="AH382" s="6" t="n">
        <v>0</v>
      </c>
      <c r="AI382" s="6" t="s">
        <v>84</v>
      </c>
    </row>
    <row r="383" customFormat="false" ht="15" hidden="false" customHeight="false" outlineLevel="0" collapsed="false">
      <c r="A383" s="6" t="n">
        <v>382</v>
      </c>
      <c r="B383" s="6" t="s">
        <v>5399</v>
      </c>
      <c r="C383" s="6" t="n">
        <v>8</v>
      </c>
      <c r="D383" s="6" t="s">
        <v>89</v>
      </c>
      <c r="E383" s="6" t="s">
        <v>67</v>
      </c>
      <c r="F383" s="6" t="n">
        <v>4</v>
      </c>
      <c r="G383" s="6" t="n">
        <v>224</v>
      </c>
      <c r="H383" s="6" t="s">
        <v>5400</v>
      </c>
      <c r="I383" s="22" t="n">
        <v>2129600</v>
      </c>
      <c r="J383" s="22" t="n">
        <v>4500</v>
      </c>
      <c r="K383" s="22" t="n">
        <v>160057.5</v>
      </c>
      <c r="L383" s="22" t="n">
        <v>2294157.5</v>
      </c>
      <c r="M383" s="6" t="s">
        <v>927</v>
      </c>
      <c r="N383" s="6" t="s">
        <v>58</v>
      </c>
      <c r="O383" s="6"/>
      <c r="P383" s="6" t="s">
        <v>69</v>
      </c>
      <c r="Q383" s="6" t="str">
        <f aca="false">IF(P383="pass","No","Yes")</f>
        <v>No</v>
      </c>
      <c r="R383" s="6" t="s">
        <v>60</v>
      </c>
      <c r="S383" s="6"/>
      <c r="T383" s="6"/>
      <c r="U383" s="23" t="n">
        <v>84.236</v>
      </c>
      <c r="V383" s="6" t="s">
        <v>5401</v>
      </c>
      <c r="W383" s="6" t="s">
        <v>5402</v>
      </c>
      <c r="X383" s="6" t="s">
        <v>5403</v>
      </c>
      <c r="Y383" s="6" t="s">
        <v>60</v>
      </c>
      <c r="Z383" s="6" t="n">
        <v>0</v>
      </c>
      <c r="AA383" s="6" t="n">
        <v>0</v>
      </c>
      <c r="AB383" s="6" t="n">
        <v>0</v>
      </c>
      <c r="AC383" s="6" t="n">
        <v>0</v>
      </c>
      <c r="AD383" s="6" t="n">
        <v>0</v>
      </c>
      <c r="AE383" s="6" t="n">
        <v>0</v>
      </c>
      <c r="AF383" s="6" t="n">
        <v>0</v>
      </c>
      <c r="AG383" s="6" t="n">
        <v>0</v>
      </c>
      <c r="AH383" s="6" t="n">
        <v>0</v>
      </c>
      <c r="AI383" s="6" t="s">
        <v>84</v>
      </c>
    </row>
    <row r="384" customFormat="false" ht="15" hidden="false" customHeight="false" outlineLevel="0" collapsed="false">
      <c r="A384" s="6" t="n">
        <v>383</v>
      </c>
      <c r="B384" s="6" t="s">
        <v>5404</v>
      </c>
      <c r="C384" s="6" t="n">
        <v>8</v>
      </c>
      <c r="D384" s="6" t="s">
        <v>186</v>
      </c>
      <c r="E384" s="6" t="s">
        <v>123</v>
      </c>
      <c r="F384" s="6" t="n">
        <v>1</v>
      </c>
      <c r="G384" s="6" t="n">
        <v>114</v>
      </c>
      <c r="H384" s="6" t="s">
        <v>5405</v>
      </c>
      <c r="I384" s="22" t="n">
        <v>820800</v>
      </c>
      <c r="J384" s="22" t="n">
        <v>5000</v>
      </c>
      <c r="K384" s="22" t="n">
        <v>61935</v>
      </c>
      <c r="L384" s="22" t="n">
        <v>887735</v>
      </c>
      <c r="M384" s="6" t="s">
        <v>57</v>
      </c>
      <c r="N384" s="6" t="s">
        <v>58</v>
      </c>
      <c r="O384" s="6"/>
      <c r="P384" s="6" t="s">
        <v>69</v>
      </c>
      <c r="Q384" s="6" t="str">
        <f aca="false">IF(P384="pass","No","Yes")</f>
        <v>No</v>
      </c>
      <c r="R384" s="6" t="s">
        <v>60</v>
      </c>
      <c r="S384" s="6"/>
      <c r="T384" s="6"/>
      <c r="U384" s="23" t="n">
        <v>36.797</v>
      </c>
      <c r="V384" s="6" t="s">
        <v>5406</v>
      </c>
      <c r="W384" s="6" t="s">
        <v>5407</v>
      </c>
      <c r="X384" s="6" t="s">
        <v>5408</v>
      </c>
      <c r="Y384" s="6" t="s">
        <v>60</v>
      </c>
      <c r="Z384" s="6" t="n">
        <v>0</v>
      </c>
      <c r="AA384" s="6" t="n">
        <v>0</v>
      </c>
      <c r="AB384" s="6" t="n">
        <v>0</v>
      </c>
      <c r="AC384" s="6" t="n">
        <v>0</v>
      </c>
      <c r="AD384" s="6" t="n">
        <v>0</v>
      </c>
      <c r="AE384" s="6" t="n">
        <v>0</v>
      </c>
      <c r="AF384" s="6" t="n">
        <v>0</v>
      </c>
      <c r="AG384" s="6" t="n">
        <v>0</v>
      </c>
      <c r="AH384" s="6" t="n">
        <v>0</v>
      </c>
      <c r="AI384" s="6" t="s">
        <v>84</v>
      </c>
    </row>
    <row r="385" customFormat="false" ht="15" hidden="false" customHeight="false" outlineLevel="0" collapsed="false">
      <c r="A385" s="6" t="n">
        <v>384</v>
      </c>
      <c r="B385" s="6" t="s">
        <v>5409</v>
      </c>
      <c r="C385" s="6" t="n">
        <v>8</v>
      </c>
      <c r="D385" s="6" t="s">
        <v>166</v>
      </c>
      <c r="E385" s="6" t="s">
        <v>74</v>
      </c>
      <c r="F385" s="6" t="n">
        <v>3</v>
      </c>
      <c r="G385" s="6" t="n">
        <v>79</v>
      </c>
      <c r="H385" s="6" t="s">
        <v>5410</v>
      </c>
      <c r="I385" s="22" t="n">
        <v>822200</v>
      </c>
      <c r="J385" s="22" t="n">
        <v>9000</v>
      </c>
      <c r="K385" s="22" t="n">
        <v>62340</v>
      </c>
      <c r="L385" s="22" t="n">
        <v>893540</v>
      </c>
      <c r="M385" s="6" t="s">
        <v>94</v>
      </c>
      <c r="N385" s="6" t="s">
        <v>84</v>
      </c>
      <c r="O385" s="6" t="s">
        <v>909</v>
      </c>
      <c r="P385" s="6" t="s">
        <v>85</v>
      </c>
      <c r="Q385" s="6" t="str">
        <f aca="false">IF(P385="pass","No","Yes")</f>
        <v>Yes</v>
      </c>
      <c r="R385" s="6" t="s">
        <v>86</v>
      </c>
      <c r="S385" s="6" t="s">
        <v>909</v>
      </c>
      <c r="T385" s="6" t="s">
        <v>254</v>
      </c>
      <c r="U385" s="23" t="n">
        <v>65.48</v>
      </c>
      <c r="V385" s="6" t="s">
        <v>5411</v>
      </c>
      <c r="W385" s="6" t="s">
        <v>5412</v>
      </c>
      <c r="X385" s="6" t="s">
        <v>5413</v>
      </c>
      <c r="Y385" s="6" t="s">
        <v>86</v>
      </c>
      <c r="Z385" s="6" t="n">
        <v>0</v>
      </c>
      <c r="AA385" s="6" t="n">
        <v>0</v>
      </c>
      <c r="AB385" s="6" t="n">
        <v>0</v>
      </c>
      <c r="AC385" s="6" t="n">
        <v>0</v>
      </c>
      <c r="AD385" s="6" t="n">
        <v>0</v>
      </c>
      <c r="AE385" s="6" t="n">
        <v>0</v>
      </c>
      <c r="AF385" s="6" t="n">
        <v>1</v>
      </c>
      <c r="AG385" s="6" t="n">
        <v>0</v>
      </c>
      <c r="AH385" s="6" t="n">
        <v>0</v>
      </c>
      <c r="AI385" s="6" t="s">
        <v>84</v>
      </c>
    </row>
    <row r="386" customFormat="false" ht="15" hidden="false" customHeight="false" outlineLevel="0" collapsed="false">
      <c r="A386" s="6" t="n">
        <v>385</v>
      </c>
      <c r="B386" s="6" t="s">
        <v>5414</v>
      </c>
      <c r="C386" s="6" t="n">
        <v>8</v>
      </c>
      <c r="D386" s="6" t="s">
        <v>198</v>
      </c>
      <c r="E386" s="6" t="s">
        <v>81</v>
      </c>
      <c r="F386" s="6" t="n">
        <v>1</v>
      </c>
      <c r="G386" s="6" t="n">
        <v>6</v>
      </c>
      <c r="H386" s="6" t="s">
        <v>2063</v>
      </c>
      <c r="I386" s="22" t="n">
        <v>312000</v>
      </c>
      <c r="J386" s="22" t="n">
        <v>4000</v>
      </c>
      <c r="K386" s="22" t="n">
        <v>23700</v>
      </c>
      <c r="L386" s="22" t="n">
        <v>339700</v>
      </c>
      <c r="M386" s="6" t="s">
        <v>57</v>
      </c>
      <c r="N386" s="6" t="s">
        <v>58</v>
      </c>
      <c r="O386" s="6"/>
      <c r="P386" s="6" t="s">
        <v>69</v>
      </c>
      <c r="Q386" s="6" t="str">
        <f aca="false">IF(P386="pass","No","Yes")</f>
        <v>No</v>
      </c>
      <c r="R386" s="6" t="s">
        <v>60</v>
      </c>
      <c r="S386" s="6"/>
      <c r="T386" s="6"/>
      <c r="U386" s="23" t="n">
        <v>21.349</v>
      </c>
      <c r="V386" s="6" t="s">
        <v>5415</v>
      </c>
      <c r="W386" s="6" t="s">
        <v>5416</v>
      </c>
      <c r="X386" s="6" t="s">
        <v>5417</v>
      </c>
      <c r="Y386" s="6" t="s">
        <v>60</v>
      </c>
      <c r="Z386" s="6" t="n">
        <v>0</v>
      </c>
      <c r="AA386" s="6" t="n">
        <v>0</v>
      </c>
      <c r="AB386" s="6" t="n">
        <v>0</v>
      </c>
      <c r="AC386" s="6" t="n">
        <v>0</v>
      </c>
      <c r="AD386" s="6" t="n">
        <v>0</v>
      </c>
      <c r="AE386" s="6" t="n">
        <v>0</v>
      </c>
      <c r="AF386" s="6" t="n">
        <v>0</v>
      </c>
      <c r="AG386" s="6" t="n">
        <v>0</v>
      </c>
      <c r="AH386" s="6" t="n">
        <v>0</v>
      </c>
      <c r="AI386" s="6" t="s">
        <v>84</v>
      </c>
    </row>
    <row r="387" customFormat="false" ht="15" hidden="false" customHeight="false" outlineLevel="0" collapsed="false">
      <c r="A387" s="6" t="n">
        <v>386</v>
      </c>
      <c r="B387" s="6" t="s">
        <v>5418</v>
      </c>
      <c r="C387" s="6" t="n">
        <v>8</v>
      </c>
      <c r="D387" s="6" t="s">
        <v>237</v>
      </c>
      <c r="E387" s="6" t="s">
        <v>116</v>
      </c>
      <c r="F387" s="6" t="n">
        <v>1</v>
      </c>
      <c r="G387" s="6" t="n">
        <v>2</v>
      </c>
      <c r="H387" s="6" t="s">
        <v>959</v>
      </c>
      <c r="I387" s="22" t="n">
        <v>8200</v>
      </c>
      <c r="J387" s="22" t="n">
        <v>15000</v>
      </c>
      <c r="K387" s="22" t="n">
        <v>1740</v>
      </c>
      <c r="L387" s="22" t="n">
        <v>24940</v>
      </c>
      <c r="M387" s="6" t="s">
        <v>984</v>
      </c>
      <c r="N387" s="6" t="s">
        <v>84</v>
      </c>
      <c r="O387" s="6" t="s">
        <v>985</v>
      </c>
      <c r="P387" s="6" t="s">
        <v>85</v>
      </c>
      <c r="Q387" s="6" t="str">
        <f aca="false">IF(P387="pass","No","Yes")</f>
        <v>Yes</v>
      </c>
      <c r="R387" s="6" t="s">
        <v>86</v>
      </c>
      <c r="S387" s="6" t="s">
        <v>985</v>
      </c>
      <c r="T387" s="6" t="s">
        <v>3244</v>
      </c>
      <c r="U387" s="23" t="n">
        <v>22.121</v>
      </c>
      <c r="V387" s="6" t="s">
        <v>5419</v>
      </c>
      <c r="W387" s="6" t="s">
        <v>5420</v>
      </c>
      <c r="X387" s="6" t="s">
        <v>5421</v>
      </c>
      <c r="Y387" s="6" t="s">
        <v>86</v>
      </c>
      <c r="Z387" s="6" t="n">
        <v>0</v>
      </c>
      <c r="AA387" s="6" t="n">
        <v>0</v>
      </c>
      <c r="AB387" s="6" t="n">
        <v>0</v>
      </c>
      <c r="AC387" s="6" t="n">
        <v>0</v>
      </c>
      <c r="AD387" s="6" t="n">
        <v>0</v>
      </c>
      <c r="AE387" s="6" t="n">
        <v>1</v>
      </c>
      <c r="AF387" s="6" t="n">
        <v>0</v>
      </c>
      <c r="AG387" s="6" t="n">
        <v>0</v>
      </c>
      <c r="AH387" s="6" t="n">
        <v>0</v>
      </c>
      <c r="AI387" s="6" t="s">
        <v>84</v>
      </c>
    </row>
    <row r="388" customFormat="false" ht="15" hidden="false" customHeight="false" outlineLevel="0" collapsed="false">
      <c r="A388" s="6" t="n">
        <v>387</v>
      </c>
      <c r="B388" s="6" t="s">
        <v>5422</v>
      </c>
      <c r="C388" s="6" t="n">
        <v>8</v>
      </c>
      <c r="D388" s="6" t="s">
        <v>198</v>
      </c>
      <c r="E388" s="6" t="s">
        <v>81</v>
      </c>
      <c r="F388" s="6" t="n">
        <v>1</v>
      </c>
      <c r="G388" s="6" t="n">
        <v>6</v>
      </c>
      <c r="H388" s="6" t="s">
        <v>2063</v>
      </c>
      <c r="I388" s="22" t="n">
        <v>312000</v>
      </c>
      <c r="J388" s="22" t="n">
        <v>4000</v>
      </c>
      <c r="K388" s="22" t="n">
        <v>23700</v>
      </c>
      <c r="L388" s="22" t="n">
        <v>339700</v>
      </c>
      <c r="M388" s="6" t="s">
        <v>97</v>
      </c>
      <c r="N388" s="6" t="s">
        <v>84</v>
      </c>
      <c r="O388" s="6" t="s">
        <v>1185</v>
      </c>
      <c r="P388" s="6" t="s">
        <v>59</v>
      </c>
      <c r="Q388" s="6" t="str">
        <f aca="false">IF(P388="pass","No","Yes")</f>
        <v>Yes</v>
      </c>
      <c r="R388" s="6" t="s">
        <v>98</v>
      </c>
      <c r="S388" s="6" t="s">
        <v>1185</v>
      </c>
      <c r="T388" s="6" t="s">
        <v>5423</v>
      </c>
      <c r="U388" s="23" t="n">
        <v>19.008</v>
      </c>
      <c r="V388" s="6" t="s">
        <v>5424</v>
      </c>
      <c r="W388" s="6"/>
      <c r="X388" s="6" t="s">
        <v>5424</v>
      </c>
      <c r="Y388" s="6" t="s">
        <v>98</v>
      </c>
      <c r="Z388" s="6" t="n">
        <v>0</v>
      </c>
      <c r="AA388" s="6" t="n">
        <v>0</v>
      </c>
      <c r="AB388" s="6" t="n">
        <v>0</v>
      </c>
      <c r="AC388" s="6" t="n">
        <v>0</v>
      </c>
      <c r="AD388" s="6" t="n">
        <v>0</v>
      </c>
      <c r="AE388" s="6" t="n">
        <v>0</v>
      </c>
      <c r="AF388" s="6" t="n">
        <v>0</v>
      </c>
      <c r="AG388" s="6" t="n">
        <v>1</v>
      </c>
      <c r="AH388" s="6" t="n">
        <v>0</v>
      </c>
      <c r="AI388" s="6" t="s">
        <v>84</v>
      </c>
    </row>
    <row r="389" customFormat="false" ht="15" hidden="false" customHeight="false" outlineLevel="0" collapsed="false">
      <c r="A389" s="6" t="n">
        <v>388</v>
      </c>
      <c r="B389" s="6" t="s">
        <v>5425</v>
      </c>
      <c r="C389" s="6" t="n">
        <v>8</v>
      </c>
      <c r="D389" s="6" t="s">
        <v>100</v>
      </c>
      <c r="E389" s="6" t="s">
        <v>67</v>
      </c>
      <c r="F389" s="6" t="n">
        <v>1</v>
      </c>
      <c r="G389" s="6" t="n">
        <v>90</v>
      </c>
      <c r="H389" s="6" t="s">
        <v>5426</v>
      </c>
      <c r="I389" s="22" t="n">
        <v>1305000</v>
      </c>
      <c r="J389" s="22" t="n">
        <v>4500</v>
      </c>
      <c r="K389" s="22" t="n">
        <v>98212.5</v>
      </c>
      <c r="L389" s="22" t="n">
        <v>1407712.5</v>
      </c>
      <c r="M389" s="6" t="s">
        <v>57</v>
      </c>
      <c r="N389" s="6" t="s">
        <v>58</v>
      </c>
      <c r="O389" s="6"/>
      <c r="P389" s="6" t="s">
        <v>69</v>
      </c>
      <c r="Q389" s="6" t="str">
        <f aca="false">IF(P389="pass","No","Yes")</f>
        <v>No</v>
      </c>
      <c r="R389" s="6" t="s">
        <v>60</v>
      </c>
      <c r="S389" s="6"/>
      <c r="T389" s="6"/>
      <c r="U389" s="23" t="n">
        <v>24.007</v>
      </c>
      <c r="V389" s="6" t="s">
        <v>5427</v>
      </c>
      <c r="W389" s="6" t="s">
        <v>5428</v>
      </c>
      <c r="X389" s="6" t="s">
        <v>5429</v>
      </c>
      <c r="Y389" s="6" t="s">
        <v>60</v>
      </c>
      <c r="Z389" s="6" t="n">
        <v>0</v>
      </c>
      <c r="AA389" s="6" t="n">
        <v>0</v>
      </c>
      <c r="AB389" s="6" t="n">
        <v>0</v>
      </c>
      <c r="AC389" s="6" t="n">
        <v>0</v>
      </c>
      <c r="AD389" s="6" t="n">
        <v>0</v>
      </c>
      <c r="AE389" s="6" t="n">
        <v>0</v>
      </c>
      <c r="AF389" s="6" t="n">
        <v>0</v>
      </c>
      <c r="AG389" s="6" t="n">
        <v>0</v>
      </c>
      <c r="AH389" s="6" t="n">
        <v>0</v>
      </c>
      <c r="AI389" s="6" t="s">
        <v>84</v>
      </c>
    </row>
    <row r="390" customFormat="false" ht="15" hidden="false" customHeight="false" outlineLevel="0" collapsed="false">
      <c r="A390" s="6" t="n">
        <v>389</v>
      </c>
      <c r="B390" s="6" t="s">
        <v>5430</v>
      </c>
      <c r="C390" s="6" t="n">
        <v>8</v>
      </c>
      <c r="D390" s="6" t="s">
        <v>198</v>
      </c>
      <c r="E390" s="6" t="s">
        <v>81</v>
      </c>
      <c r="F390" s="6" t="n">
        <v>2</v>
      </c>
      <c r="G390" s="6" t="n">
        <v>7</v>
      </c>
      <c r="H390" s="6" t="s">
        <v>5431</v>
      </c>
      <c r="I390" s="22" t="n">
        <v>259000</v>
      </c>
      <c r="J390" s="22" t="n">
        <v>4000</v>
      </c>
      <c r="K390" s="22" t="n">
        <v>19725</v>
      </c>
      <c r="L390" s="22" t="n">
        <v>282725</v>
      </c>
      <c r="M390" s="6" t="s">
        <v>57</v>
      </c>
      <c r="N390" s="6" t="s">
        <v>58</v>
      </c>
      <c r="O390" s="6"/>
      <c r="P390" s="6" t="s">
        <v>69</v>
      </c>
      <c r="Q390" s="6" t="str">
        <f aca="false">IF(P390="pass","No","Yes")</f>
        <v>No</v>
      </c>
      <c r="R390" s="6" t="s">
        <v>60</v>
      </c>
      <c r="S390" s="6"/>
      <c r="T390" s="6"/>
      <c r="U390" s="23" t="n">
        <v>42.011</v>
      </c>
      <c r="V390" s="6" t="s">
        <v>5432</v>
      </c>
      <c r="W390" s="6" t="s">
        <v>5433</v>
      </c>
      <c r="X390" s="6" t="s">
        <v>5434</v>
      </c>
      <c r="Y390" s="6" t="s">
        <v>60</v>
      </c>
      <c r="Z390" s="6" t="n">
        <v>0</v>
      </c>
      <c r="AA390" s="6" t="n">
        <v>0</v>
      </c>
      <c r="AB390" s="6" t="n">
        <v>0</v>
      </c>
      <c r="AC390" s="6" t="n">
        <v>0</v>
      </c>
      <c r="AD390" s="6" t="n">
        <v>0</v>
      </c>
      <c r="AE390" s="6" t="n">
        <v>0</v>
      </c>
      <c r="AF390" s="6" t="n">
        <v>0</v>
      </c>
      <c r="AG390" s="6" t="n">
        <v>0</v>
      </c>
      <c r="AH390" s="6" t="n">
        <v>0</v>
      </c>
      <c r="AI390" s="6" t="s">
        <v>84</v>
      </c>
    </row>
    <row r="391" customFormat="false" ht="15" hidden="false" customHeight="false" outlineLevel="0" collapsed="false">
      <c r="A391" s="6" t="n">
        <v>390</v>
      </c>
      <c r="B391" s="6" t="s">
        <v>5435</v>
      </c>
      <c r="C391" s="6" t="n">
        <v>8</v>
      </c>
      <c r="D391" s="6" t="s">
        <v>177</v>
      </c>
      <c r="E391" s="6" t="s">
        <v>81</v>
      </c>
      <c r="F391" s="6" t="n">
        <v>1</v>
      </c>
      <c r="G391" s="6" t="n">
        <v>2</v>
      </c>
      <c r="H391" s="6" t="s">
        <v>959</v>
      </c>
      <c r="I391" s="22" t="n">
        <v>8200</v>
      </c>
      <c r="J391" s="22" t="n">
        <v>4000</v>
      </c>
      <c r="K391" s="22" t="n">
        <v>915</v>
      </c>
      <c r="L391" s="22" t="n">
        <v>13115</v>
      </c>
      <c r="M391" s="6" t="s">
        <v>224</v>
      </c>
      <c r="N391" s="6" t="s">
        <v>84</v>
      </c>
      <c r="O391" s="6" t="s">
        <v>866</v>
      </c>
      <c r="P391" s="6" t="s">
        <v>85</v>
      </c>
      <c r="Q391" s="6" t="str">
        <f aca="false">IF(P391="pass","No","Yes")</f>
        <v>Yes</v>
      </c>
      <c r="R391" s="6" t="s">
        <v>86</v>
      </c>
      <c r="S391" s="6" t="s">
        <v>5436</v>
      </c>
      <c r="T391" s="6" t="s">
        <v>5437</v>
      </c>
      <c r="U391" s="23" t="n">
        <v>23.485</v>
      </c>
      <c r="V391" s="6" t="s">
        <v>5438</v>
      </c>
      <c r="W391" s="6" t="s">
        <v>5439</v>
      </c>
      <c r="X391" s="6" t="s">
        <v>5440</v>
      </c>
      <c r="Y391" s="6" t="s">
        <v>86</v>
      </c>
      <c r="Z391" s="6" t="n">
        <v>1</v>
      </c>
      <c r="AA391" s="6" t="n">
        <v>0</v>
      </c>
      <c r="AB391" s="6" t="n">
        <v>0</v>
      </c>
      <c r="AC391" s="6" t="n">
        <v>0</v>
      </c>
      <c r="AD391" s="6" t="n">
        <v>0</v>
      </c>
      <c r="AE391" s="6" t="n">
        <v>0</v>
      </c>
      <c r="AF391" s="6" t="n">
        <v>0</v>
      </c>
      <c r="AG391" s="6" t="n">
        <v>1</v>
      </c>
      <c r="AH391" s="6" t="n">
        <v>0</v>
      </c>
      <c r="AI391" s="6" t="s">
        <v>58</v>
      </c>
    </row>
    <row r="392" customFormat="false" ht="15" hidden="false" customHeight="false" outlineLevel="0" collapsed="false">
      <c r="A392" s="6" t="n">
        <v>391</v>
      </c>
      <c r="B392" s="6" t="s">
        <v>5441</v>
      </c>
      <c r="C392" s="6" t="n">
        <v>8</v>
      </c>
      <c r="D392" s="6" t="s">
        <v>198</v>
      </c>
      <c r="E392" s="6" t="s">
        <v>81</v>
      </c>
      <c r="F392" s="6" t="n">
        <v>2</v>
      </c>
      <c r="G392" s="6" t="n">
        <v>7</v>
      </c>
      <c r="H392" s="6" t="s">
        <v>5431</v>
      </c>
      <c r="I392" s="22" t="n">
        <v>259000</v>
      </c>
      <c r="J392" s="22" t="n">
        <v>4000</v>
      </c>
      <c r="K392" s="22" t="n">
        <v>19725</v>
      </c>
      <c r="L392" s="22" t="n">
        <v>282725</v>
      </c>
      <c r="M392" s="6" t="s">
        <v>97</v>
      </c>
      <c r="N392" s="6" t="s">
        <v>84</v>
      </c>
      <c r="O392" s="6" t="s">
        <v>1185</v>
      </c>
      <c r="P392" s="6" t="s">
        <v>59</v>
      </c>
      <c r="Q392" s="6" t="str">
        <f aca="false">IF(P392="pass","No","Yes")</f>
        <v>Yes</v>
      </c>
      <c r="R392" s="6" t="s">
        <v>98</v>
      </c>
      <c r="S392" s="6" t="s">
        <v>1185</v>
      </c>
      <c r="T392" s="6" t="s">
        <v>5442</v>
      </c>
      <c r="U392" s="23" t="n">
        <v>40.162</v>
      </c>
      <c r="V392" s="6" t="s">
        <v>5443</v>
      </c>
      <c r="W392" s="6"/>
      <c r="X392" s="6" t="s">
        <v>5443</v>
      </c>
      <c r="Y392" s="6" t="s">
        <v>98</v>
      </c>
      <c r="Z392" s="6" t="n">
        <v>0</v>
      </c>
      <c r="AA392" s="6" t="n">
        <v>0</v>
      </c>
      <c r="AB392" s="6" t="n">
        <v>0</v>
      </c>
      <c r="AC392" s="6" t="n">
        <v>0</v>
      </c>
      <c r="AD392" s="6" t="n">
        <v>0</v>
      </c>
      <c r="AE392" s="6" t="n">
        <v>0</v>
      </c>
      <c r="AF392" s="6" t="n">
        <v>0</v>
      </c>
      <c r="AG392" s="6" t="n">
        <v>1</v>
      </c>
      <c r="AH392" s="6" t="n">
        <v>0</v>
      </c>
      <c r="AI392" s="6" t="s">
        <v>84</v>
      </c>
    </row>
    <row r="393" customFormat="false" ht="15" hidden="false" customHeight="false" outlineLevel="0" collapsed="false">
      <c r="A393" s="6" t="n">
        <v>392</v>
      </c>
      <c r="B393" s="6" t="s">
        <v>5444</v>
      </c>
      <c r="C393" s="6" t="n">
        <v>8</v>
      </c>
      <c r="D393" s="6" t="s">
        <v>237</v>
      </c>
      <c r="E393" s="6" t="s">
        <v>116</v>
      </c>
      <c r="F393" s="6" t="n">
        <v>3</v>
      </c>
      <c r="G393" s="6" t="n">
        <v>135</v>
      </c>
      <c r="H393" s="6" t="s">
        <v>5445</v>
      </c>
      <c r="I393" s="22" t="n">
        <v>1382400</v>
      </c>
      <c r="J393" s="22" t="n">
        <v>15000</v>
      </c>
      <c r="K393" s="22" t="n">
        <v>104805</v>
      </c>
      <c r="L393" s="22" t="n">
        <v>1502205</v>
      </c>
      <c r="M393" s="6" t="s">
        <v>57</v>
      </c>
      <c r="N393" s="6" t="s">
        <v>58</v>
      </c>
      <c r="O393" s="6"/>
      <c r="P393" s="6" t="s">
        <v>69</v>
      </c>
      <c r="Q393" s="6" t="str">
        <f aca="false">IF(P393="pass","No","Yes")</f>
        <v>No</v>
      </c>
      <c r="R393" s="6" t="s">
        <v>60</v>
      </c>
      <c r="S393" s="6"/>
      <c r="T393" s="6"/>
      <c r="U393" s="23" t="n">
        <v>57.579</v>
      </c>
      <c r="V393" s="6" t="s">
        <v>5446</v>
      </c>
      <c r="W393" s="6" t="s">
        <v>5447</v>
      </c>
      <c r="X393" s="6" t="s">
        <v>5448</v>
      </c>
      <c r="Y393" s="6" t="s">
        <v>60</v>
      </c>
      <c r="Z393" s="6" t="n">
        <v>0</v>
      </c>
      <c r="AA393" s="6" t="n">
        <v>0</v>
      </c>
      <c r="AB393" s="6" t="n">
        <v>0</v>
      </c>
      <c r="AC393" s="6" t="n">
        <v>0</v>
      </c>
      <c r="AD393" s="6" t="n">
        <v>0</v>
      </c>
      <c r="AE393" s="6" t="n">
        <v>0</v>
      </c>
      <c r="AF393" s="6" t="n">
        <v>0</v>
      </c>
      <c r="AG393" s="6" t="n">
        <v>0</v>
      </c>
      <c r="AH393" s="6" t="n">
        <v>0</v>
      </c>
      <c r="AI393" s="6" t="s">
        <v>84</v>
      </c>
    </row>
    <row r="394" customFormat="false" ht="15" hidden="false" customHeight="false" outlineLevel="0" collapsed="false">
      <c r="A394" s="6" t="n">
        <v>393</v>
      </c>
      <c r="B394" s="6" t="s">
        <v>5449</v>
      </c>
      <c r="C394" s="6" t="n">
        <v>8</v>
      </c>
      <c r="D394" s="6" t="s">
        <v>112</v>
      </c>
      <c r="E394" s="6" t="s">
        <v>116</v>
      </c>
      <c r="F394" s="6" t="n">
        <v>3</v>
      </c>
      <c r="G394" s="6" t="n">
        <v>55</v>
      </c>
      <c r="H394" s="6" t="s">
        <v>5450</v>
      </c>
      <c r="I394" s="22" t="n">
        <v>783800</v>
      </c>
      <c r="J394" s="22" t="n">
        <v>15000</v>
      </c>
      <c r="K394" s="22" t="n">
        <v>59910</v>
      </c>
      <c r="L394" s="22" t="n">
        <v>858710</v>
      </c>
      <c r="M394" s="6" t="s">
        <v>57</v>
      </c>
      <c r="N394" s="6" t="s">
        <v>58</v>
      </c>
      <c r="O394" s="6"/>
      <c r="P394" s="6" t="s">
        <v>69</v>
      </c>
      <c r="Q394" s="6" t="str">
        <f aca="false">IF(P394="pass","No","Yes")</f>
        <v>No</v>
      </c>
      <c r="R394" s="6" t="s">
        <v>60</v>
      </c>
      <c r="S394" s="6"/>
      <c r="T394" s="6"/>
      <c r="U394" s="23" t="n">
        <v>69.569</v>
      </c>
      <c r="V394" s="6" t="s">
        <v>5451</v>
      </c>
      <c r="W394" s="6" t="s">
        <v>5452</v>
      </c>
      <c r="X394" s="6" t="s">
        <v>5453</v>
      </c>
      <c r="Y394" s="6" t="s">
        <v>60</v>
      </c>
      <c r="Z394" s="6" t="n">
        <v>0</v>
      </c>
      <c r="AA394" s="6" t="n">
        <v>0</v>
      </c>
      <c r="AB394" s="6" t="n">
        <v>0</v>
      </c>
      <c r="AC394" s="6" t="n">
        <v>0</v>
      </c>
      <c r="AD394" s="6" t="n">
        <v>0</v>
      </c>
      <c r="AE394" s="6" t="n">
        <v>0</v>
      </c>
      <c r="AF394" s="6" t="n">
        <v>0</v>
      </c>
      <c r="AG394" s="6" t="n">
        <v>0</v>
      </c>
      <c r="AH394" s="6" t="n">
        <v>0</v>
      </c>
      <c r="AI394" s="6" t="s">
        <v>84</v>
      </c>
    </row>
    <row r="395" customFormat="false" ht="15" hidden="false" customHeight="false" outlineLevel="0" collapsed="false">
      <c r="A395" s="6" t="n">
        <v>394</v>
      </c>
      <c r="B395" s="6" t="s">
        <v>5454</v>
      </c>
      <c r="C395" s="6" t="n">
        <v>8</v>
      </c>
      <c r="D395" s="6" t="s">
        <v>166</v>
      </c>
      <c r="E395" s="6" t="s">
        <v>74</v>
      </c>
      <c r="F395" s="6" t="n">
        <v>3</v>
      </c>
      <c r="G395" s="6" t="n">
        <v>63</v>
      </c>
      <c r="H395" s="6" t="s">
        <v>5455</v>
      </c>
      <c r="I395" s="22" t="n">
        <v>1073600</v>
      </c>
      <c r="J395" s="22" t="n">
        <v>9000</v>
      </c>
      <c r="K395" s="22" t="n">
        <v>81195</v>
      </c>
      <c r="L395" s="22" t="n">
        <v>1163795</v>
      </c>
      <c r="M395" s="6" t="s">
        <v>57</v>
      </c>
      <c r="N395" s="6" t="s">
        <v>58</v>
      </c>
      <c r="O395" s="6"/>
      <c r="P395" s="6" t="s">
        <v>69</v>
      </c>
      <c r="Q395" s="6" t="str">
        <f aca="false">IF(P395="pass","No","Yes")</f>
        <v>No</v>
      </c>
      <c r="R395" s="6" t="s">
        <v>60</v>
      </c>
      <c r="S395" s="6"/>
      <c r="T395" s="6"/>
      <c r="U395" s="23" t="n">
        <v>52.223</v>
      </c>
      <c r="V395" s="6" t="s">
        <v>5456</v>
      </c>
      <c r="W395" s="6" t="s">
        <v>5457</v>
      </c>
      <c r="X395" s="6" t="s">
        <v>5458</v>
      </c>
      <c r="Y395" s="6" t="s">
        <v>60</v>
      </c>
      <c r="Z395" s="6" t="n">
        <v>0</v>
      </c>
      <c r="AA395" s="6" t="n">
        <v>0</v>
      </c>
      <c r="AB395" s="6" t="n">
        <v>0</v>
      </c>
      <c r="AC395" s="6" t="n">
        <v>0</v>
      </c>
      <c r="AD395" s="6" t="n">
        <v>0</v>
      </c>
      <c r="AE395" s="6" t="n">
        <v>0</v>
      </c>
      <c r="AF395" s="6" t="n">
        <v>0</v>
      </c>
      <c r="AG395" s="6" t="n">
        <v>0</v>
      </c>
      <c r="AH395" s="6" t="n">
        <v>0</v>
      </c>
      <c r="AI395" s="6" t="s">
        <v>84</v>
      </c>
    </row>
    <row r="396" customFormat="false" ht="15" hidden="false" customHeight="false" outlineLevel="0" collapsed="false">
      <c r="A396" s="6" t="n">
        <v>395</v>
      </c>
      <c r="B396" s="6" t="s">
        <v>5459</v>
      </c>
      <c r="C396" s="6" t="n">
        <v>8</v>
      </c>
      <c r="D396" s="6" t="s">
        <v>177</v>
      </c>
      <c r="E396" s="6" t="s">
        <v>81</v>
      </c>
      <c r="F396" s="6" t="n">
        <v>4</v>
      </c>
      <c r="G396" s="6" t="n">
        <v>107</v>
      </c>
      <c r="H396" s="6" t="s">
        <v>5460</v>
      </c>
      <c r="I396" s="22" t="n">
        <v>1603600</v>
      </c>
      <c r="J396" s="22" t="n">
        <v>4000</v>
      </c>
      <c r="K396" s="22" t="n">
        <v>120570</v>
      </c>
      <c r="L396" s="22" t="n">
        <v>1728170</v>
      </c>
      <c r="M396" s="6" t="s">
        <v>132</v>
      </c>
      <c r="N396" s="6" t="s">
        <v>84</v>
      </c>
      <c r="O396" s="6" t="s">
        <v>879</v>
      </c>
      <c r="P396" s="6" t="s">
        <v>85</v>
      </c>
      <c r="Q396" s="6" t="str">
        <f aca="false">IF(P396="pass","No","Yes")</f>
        <v>Yes</v>
      </c>
      <c r="R396" s="6" t="s">
        <v>86</v>
      </c>
      <c r="S396" s="6" t="s">
        <v>880</v>
      </c>
      <c r="T396" s="6" t="s">
        <v>134</v>
      </c>
      <c r="U396" s="23" t="n">
        <v>61.85</v>
      </c>
      <c r="V396" s="6" t="s">
        <v>5461</v>
      </c>
      <c r="W396" s="6" t="s">
        <v>5462</v>
      </c>
      <c r="X396" s="6" t="s">
        <v>5463</v>
      </c>
      <c r="Y396" s="6" t="s">
        <v>86</v>
      </c>
      <c r="Z396" s="6" t="n">
        <v>0</v>
      </c>
      <c r="AA396" s="6" t="n">
        <v>1</v>
      </c>
      <c r="AB396" s="6" t="n">
        <v>0</v>
      </c>
      <c r="AC396" s="6" t="n">
        <v>1</v>
      </c>
      <c r="AD396" s="6" t="n">
        <v>0</v>
      </c>
      <c r="AE396" s="6" t="n">
        <v>0</v>
      </c>
      <c r="AF396" s="6" t="n">
        <v>0</v>
      </c>
      <c r="AG396" s="6" t="n">
        <v>0</v>
      </c>
      <c r="AH396" s="6" t="n">
        <v>0</v>
      </c>
      <c r="AI396" s="6" t="s">
        <v>84</v>
      </c>
    </row>
    <row r="397" customFormat="false" ht="15" hidden="false" customHeight="false" outlineLevel="0" collapsed="false">
      <c r="A397" s="6" t="n">
        <v>396</v>
      </c>
      <c r="B397" s="6" t="s">
        <v>5464</v>
      </c>
      <c r="C397" s="6" t="n">
        <v>8</v>
      </c>
      <c r="D397" s="6" t="s">
        <v>166</v>
      </c>
      <c r="E397" s="6" t="s">
        <v>74</v>
      </c>
      <c r="F397" s="6" t="n">
        <v>3</v>
      </c>
      <c r="G397" s="6" t="n">
        <v>63</v>
      </c>
      <c r="H397" s="6" t="s">
        <v>5455</v>
      </c>
      <c r="I397" s="22" t="n">
        <v>1073600</v>
      </c>
      <c r="J397" s="22" t="n">
        <v>9000</v>
      </c>
      <c r="K397" s="22" t="n">
        <v>81195</v>
      </c>
      <c r="L397" s="22" t="n">
        <v>1163795</v>
      </c>
      <c r="M397" s="6" t="s">
        <v>97</v>
      </c>
      <c r="N397" s="6" t="s">
        <v>84</v>
      </c>
      <c r="O397" s="6" t="s">
        <v>1185</v>
      </c>
      <c r="P397" s="6" t="s">
        <v>59</v>
      </c>
      <c r="Q397" s="6" t="str">
        <f aca="false">IF(P397="pass","No","Yes")</f>
        <v>Yes</v>
      </c>
      <c r="R397" s="6" t="s">
        <v>98</v>
      </c>
      <c r="S397" s="6" t="s">
        <v>1185</v>
      </c>
      <c r="T397" s="6" t="s">
        <v>5465</v>
      </c>
      <c r="U397" s="23" t="n">
        <v>50.202</v>
      </c>
      <c r="V397" s="6" t="s">
        <v>5466</v>
      </c>
      <c r="W397" s="6"/>
      <c r="X397" s="6" t="s">
        <v>5466</v>
      </c>
      <c r="Y397" s="6" t="s">
        <v>98</v>
      </c>
      <c r="Z397" s="6" t="n">
        <v>0</v>
      </c>
      <c r="AA397" s="6" t="n">
        <v>0</v>
      </c>
      <c r="AB397" s="6" t="n">
        <v>0</v>
      </c>
      <c r="AC397" s="6" t="n">
        <v>0</v>
      </c>
      <c r="AD397" s="6" t="n">
        <v>0</v>
      </c>
      <c r="AE397" s="6" t="n">
        <v>0</v>
      </c>
      <c r="AF397" s="6" t="n">
        <v>0</v>
      </c>
      <c r="AG397" s="6" t="n">
        <v>1</v>
      </c>
      <c r="AH397" s="6" t="n">
        <v>0</v>
      </c>
      <c r="AI397" s="6" t="s">
        <v>84</v>
      </c>
    </row>
    <row r="398" customFormat="false" ht="15" hidden="false" customHeight="false" outlineLevel="0" collapsed="false">
      <c r="A398" s="6" t="n">
        <v>397</v>
      </c>
      <c r="B398" s="6" t="s">
        <v>5467</v>
      </c>
      <c r="C398" s="6" t="n">
        <v>8</v>
      </c>
      <c r="D398" s="6" t="s">
        <v>127</v>
      </c>
      <c r="E398" s="6" t="s">
        <v>55</v>
      </c>
      <c r="F398" s="6" t="n">
        <v>1</v>
      </c>
      <c r="G398" s="6" t="n">
        <v>21</v>
      </c>
      <c r="H398" s="6" t="s">
        <v>5468</v>
      </c>
      <c r="I398" s="22" t="n">
        <v>180600</v>
      </c>
      <c r="J398" s="22" t="n">
        <v>6000</v>
      </c>
      <c r="K398" s="22" t="n">
        <v>13995</v>
      </c>
      <c r="L398" s="22" t="n">
        <v>200595</v>
      </c>
      <c r="M398" s="6" t="s">
        <v>57</v>
      </c>
      <c r="N398" s="6" t="s">
        <v>58</v>
      </c>
      <c r="O398" s="6"/>
      <c r="P398" s="6" t="s">
        <v>69</v>
      </c>
      <c r="Q398" s="6" t="str">
        <f aca="false">IF(P398="pass","No","Yes")</f>
        <v>No</v>
      </c>
      <c r="R398" s="6" t="s">
        <v>60</v>
      </c>
      <c r="S398" s="6"/>
      <c r="T398" s="6"/>
      <c r="U398" s="23" t="n">
        <v>24.91</v>
      </c>
      <c r="V398" s="6" t="s">
        <v>5469</v>
      </c>
      <c r="W398" s="6" t="s">
        <v>5470</v>
      </c>
      <c r="X398" s="6" t="s">
        <v>5471</v>
      </c>
      <c r="Y398" s="6" t="s">
        <v>60</v>
      </c>
      <c r="Z398" s="6" t="n">
        <v>0</v>
      </c>
      <c r="AA398" s="6" t="n">
        <v>0</v>
      </c>
      <c r="AB398" s="6" t="n">
        <v>0</v>
      </c>
      <c r="AC398" s="6" t="n">
        <v>0</v>
      </c>
      <c r="AD398" s="6" t="n">
        <v>0</v>
      </c>
      <c r="AE398" s="6" t="n">
        <v>0</v>
      </c>
      <c r="AF398" s="6" t="n">
        <v>0</v>
      </c>
      <c r="AG398" s="6" t="n">
        <v>0</v>
      </c>
      <c r="AH398" s="6" t="n">
        <v>0</v>
      </c>
      <c r="AI398" s="6" t="s">
        <v>84</v>
      </c>
    </row>
    <row r="399" customFormat="false" ht="15" hidden="false" customHeight="false" outlineLevel="0" collapsed="false">
      <c r="A399" s="6" t="n">
        <v>398</v>
      </c>
      <c r="B399" s="6" t="s">
        <v>5472</v>
      </c>
      <c r="C399" s="6" t="n">
        <v>8</v>
      </c>
      <c r="D399" s="6" t="s">
        <v>142</v>
      </c>
      <c r="E399" s="6" t="s">
        <v>74</v>
      </c>
      <c r="F399" s="6" t="n">
        <v>1</v>
      </c>
      <c r="G399" s="6" t="n">
        <v>35</v>
      </c>
      <c r="H399" s="6" t="s">
        <v>5005</v>
      </c>
      <c r="I399" s="22" t="n">
        <v>301000</v>
      </c>
      <c r="J399" s="22" t="n">
        <v>9000</v>
      </c>
      <c r="K399" s="22" t="n">
        <v>23250</v>
      </c>
      <c r="L399" s="22" t="n">
        <v>333250</v>
      </c>
      <c r="M399" s="6" t="s">
        <v>960</v>
      </c>
      <c r="N399" s="6" t="s">
        <v>84</v>
      </c>
      <c r="O399" s="6" t="s">
        <v>961</v>
      </c>
      <c r="P399" s="6" t="s">
        <v>85</v>
      </c>
      <c r="Q399" s="6" t="str">
        <f aca="false">IF(P399="pass","No","Yes")</f>
        <v>Yes</v>
      </c>
      <c r="R399" s="6" t="s">
        <v>86</v>
      </c>
      <c r="S399" s="6" t="s">
        <v>961</v>
      </c>
      <c r="T399" s="6" t="s">
        <v>962</v>
      </c>
      <c r="U399" s="23" t="n">
        <v>23.742</v>
      </c>
      <c r="V399" s="6" t="s">
        <v>5473</v>
      </c>
      <c r="W399" s="6" t="s">
        <v>5474</v>
      </c>
      <c r="X399" s="6" t="s">
        <v>5475</v>
      </c>
      <c r="Y399" s="6" t="s">
        <v>86</v>
      </c>
      <c r="Z399" s="6" t="n">
        <v>0</v>
      </c>
      <c r="AA399" s="6" t="n">
        <v>0</v>
      </c>
      <c r="AB399" s="6" t="n">
        <v>0</v>
      </c>
      <c r="AC399" s="6" t="n">
        <v>0</v>
      </c>
      <c r="AD399" s="6" t="n">
        <v>1</v>
      </c>
      <c r="AE399" s="6" t="n">
        <v>0</v>
      </c>
      <c r="AF399" s="6" t="n">
        <v>0</v>
      </c>
      <c r="AG399" s="6" t="n">
        <v>0</v>
      </c>
      <c r="AH399" s="6" t="n">
        <v>0</v>
      </c>
      <c r="AI399" s="6" t="s">
        <v>84</v>
      </c>
    </row>
    <row r="400" customFormat="false" ht="15" hidden="false" customHeight="false" outlineLevel="0" collapsed="false">
      <c r="A400" s="6" t="n">
        <v>399</v>
      </c>
      <c r="B400" s="6" t="s">
        <v>5476</v>
      </c>
      <c r="C400" s="6" t="n">
        <v>8</v>
      </c>
      <c r="D400" s="6" t="s">
        <v>100</v>
      </c>
      <c r="E400" s="6" t="s">
        <v>67</v>
      </c>
      <c r="F400" s="6" t="n">
        <v>2</v>
      </c>
      <c r="G400" s="6" t="n">
        <v>2</v>
      </c>
      <c r="H400" s="6" t="s">
        <v>5477</v>
      </c>
      <c r="I400" s="22" t="n">
        <v>8200</v>
      </c>
      <c r="J400" s="22" t="n">
        <v>4500</v>
      </c>
      <c r="K400" s="22" t="n">
        <v>952.5</v>
      </c>
      <c r="L400" s="22" t="n">
        <v>13652.5</v>
      </c>
      <c r="M400" s="6" t="s">
        <v>152</v>
      </c>
      <c r="N400" s="6" t="s">
        <v>84</v>
      </c>
      <c r="O400" s="6" t="s">
        <v>886</v>
      </c>
      <c r="P400" s="6" t="s">
        <v>85</v>
      </c>
      <c r="Q400" s="6" t="str">
        <f aca="false">IF(P400="pass","No","Yes")</f>
        <v>Yes</v>
      </c>
      <c r="R400" s="6" t="s">
        <v>86</v>
      </c>
      <c r="S400" s="6" t="s">
        <v>886</v>
      </c>
      <c r="T400" s="6" t="s">
        <v>262</v>
      </c>
      <c r="U400" s="23" t="n">
        <v>26.071</v>
      </c>
      <c r="V400" s="6" t="s">
        <v>5478</v>
      </c>
      <c r="W400" s="6" t="s">
        <v>5479</v>
      </c>
      <c r="X400" s="6" t="s">
        <v>5480</v>
      </c>
      <c r="Y400" s="6" t="s">
        <v>86</v>
      </c>
      <c r="Z400" s="6" t="n">
        <v>0</v>
      </c>
      <c r="AA400" s="6" t="n">
        <v>0</v>
      </c>
      <c r="AB400" s="6" t="n">
        <v>1</v>
      </c>
      <c r="AC400" s="6" t="n">
        <v>0</v>
      </c>
      <c r="AD400" s="6" t="n">
        <v>0</v>
      </c>
      <c r="AE400" s="6" t="n">
        <v>0</v>
      </c>
      <c r="AF400" s="6" t="n">
        <v>0</v>
      </c>
      <c r="AG400" s="6" t="n">
        <v>0</v>
      </c>
      <c r="AH400" s="6" t="n">
        <v>0</v>
      </c>
      <c r="AI400" s="6" t="s">
        <v>84</v>
      </c>
    </row>
    <row r="401" customFormat="false" ht="15" hidden="false" customHeight="false" outlineLevel="0" collapsed="false">
      <c r="A401" s="6" t="n">
        <v>400</v>
      </c>
      <c r="B401" s="6" t="s">
        <v>5481</v>
      </c>
      <c r="C401" s="6" t="n">
        <v>8</v>
      </c>
      <c r="D401" s="6" t="s">
        <v>127</v>
      </c>
      <c r="E401" s="6" t="s">
        <v>55</v>
      </c>
      <c r="F401" s="6" t="n">
        <v>1</v>
      </c>
      <c r="G401" s="6" t="n">
        <v>21</v>
      </c>
      <c r="H401" s="6" t="s">
        <v>5468</v>
      </c>
      <c r="I401" s="22" t="n">
        <v>180600</v>
      </c>
      <c r="J401" s="22" t="n">
        <v>6000</v>
      </c>
      <c r="K401" s="22" t="n">
        <v>13995</v>
      </c>
      <c r="L401" s="22" t="n">
        <v>200595</v>
      </c>
      <c r="M401" s="6" t="s">
        <v>97</v>
      </c>
      <c r="N401" s="6" t="s">
        <v>84</v>
      </c>
      <c r="O401" s="6" t="s">
        <v>1185</v>
      </c>
      <c r="P401" s="6" t="s">
        <v>59</v>
      </c>
      <c r="Q401" s="6" t="str">
        <f aca="false">IF(P401="pass","No","Yes")</f>
        <v>Yes</v>
      </c>
      <c r="R401" s="6" t="s">
        <v>98</v>
      </c>
      <c r="S401" s="6" t="s">
        <v>1185</v>
      </c>
      <c r="T401" s="6" t="s">
        <v>5482</v>
      </c>
      <c r="U401" s="23" t="n">
        <v>24.618</v>
      </c>
      <c r="V401" s="6" t="s">
        <v>5483</v>
      </c>
      <c r="W401" s="6"/>
      <c r="X401" s="6" t="s">
        <v>5483</v>
      </c>
      <c r="Y401" s="6" t="s">
        <v>98</v>
      </c>
      <c r="Z401" s="6" t="n">
        <v>0</v>
      </c>
      <c r="AA401" s="6" t="n">
        <v>0</v>
      </c>
      <c r="AB401" s="6" t="n">
        <v>0</v>
      </c>
      <c r="AC401" s="6" t="n">
        <v>0</v>
      </c>
      <c r="AD401" s="6" t="n">
        <v>0</v>
      </c>
      <c r="AE401" s="6" t="n">
        <v>0</v>
      </c>
      <c r="AF401" s="6" t="n">
        <v>0</v>
      </c>
      <c r="AG401" s="6" t="n">
        <v>1</v>
      </c>
      <c r="AH401" s="6" t="n">
        <v>0</v>
      </c>
      <c r="AI401" s="6" t="s">
        <v>84</v>
      </c>
    </row>
    <row r="402" customFormat="false" ht="15" hidden="false" customHeight="false" outlineLevel="0" collapsed="false">
      <c r="A402" s="6" t="n">
        <v>401</v>
      </c>
      <c r="B402" s="6" t="s">
        <v>5484</v>
      </c>
      <c r="C402" s="6" t="n">
        <v>9</v>
      </c>
      <c r="D402" s="6" t="s">
        <v>119</v>
      </c>
      <c r="E402" s="6" t="s">
        <v>123</v>
      </c>
      <c r="F402" s="6" t="n">
        <v>3</v>
      </c>
      <c r="G402" s="6" t="n">
        <v>160</v>
      </c>
      <c r="H402" s="6" t="s">
        <v>5485</v>
      </c>
      <c r="I402" s="22" t="n">
        <v>1656000</v>
      </c>
      <c r="J402" s="22" t="n">
        <v>5000</v>
      </c>
      <c r="K402" s="22" t="n">
        <v>124575</v>
      </c>
      <c r="L402" s="22" t="n">
        <v>1785575</v>
      </c>
      <c r="M402" s="6" t="s">
        <v>57</v>
      </c>
      <c r="N402" s="6" t="s">
        <v>58</v>
      </c>
      <c r="O402" s="6"/>
      <c r="P402" s="6" t="s">
        <v>59</v>
      </c>
      <c r="Q402" s="6" t="str">
        <f aca="false">IF(P402="pass","No","Yes")</f>
        <v>Yes</v>
      </c>
      <c r="R402" s="6" t="s">
        <v>60</v>
      </c>
      <c r="S402" s="6" t="s">
        <v>915</v>
      </c>
      <c r="T402" s="6" t="s">
        <v>5486</v>
      </c>
      <c r="U402" s="23" t="n">
        <v>72.083</v>
      </c>
      <c r="V402" s="6" t="s">
        <v>5487</v>
      </c>
      <c r="W402" s="6" t="s">
        <v>5488</v>
      </c>
      <c r="X402" s="6" t="s">
        <v>5489</v>
      </c>
      <c r="Y402" s="6" t="s">
        <v>60</v>
      </c>
      <c r="Z402" s="6" t="n">
        <v>0</v>
      </c>
      <c r="AA402" s="6" t="n">
        <v>0</v>
      </c>
      <c r="AB402" s="6" t="n">
        <v>0</v>
      </c>
      <c r="AC402" s="6" t="n">
        <v>0</v>
      </c>
      <c r="AD402" s="6" t="n">
        <v>0</v>
      </c>
      <c r="AE402" s="6" t="n">
        <v>0</v>
      </c>
      <c r="AF402" s="6" t="n">
        <v>0</v>
      </c>
      <c r="AG402" s="6" t="n">
        <v>0</v>
      </c>
      <c r="AH402" s="6" t="n">
        <v>1</v>
      </c>
      <c r="AI402" s="6" t="s">
        <v>84</v>
      </c>
    </row>
    <row r="403" customFormat="false" ht="15" hidden="false" customHeight="false" outlineLevel="0" collapsed="false">
      <c r="A403" s="6" t="n">
        <v>402</v>
      </c>
      <c r="B403" s="6" t="s">
        <v>5490</v>
      </c>
      <c r="C403" s="6" t="n">
        <v>9</v>
      </c>
      <c r="D403" s="6" t="s">
        <v>119</v>
      </c>
      <c r="E403" s="6" t="s">
        <v>123</v>
      </c>
      <c r="F403" s="6" t="n">
        <v>2</v>
      </c>
      <c r="G403" s="6" t="n">
        <v>1099</v>
      </c>
      <c r="H403" s="6" t="s">
        <v>5491</v>
      </c>
      <c r="I403" s="22" t="n">
        <v>13021400</v>
      </c>
      <c r="J403" s="22" t="n">
        <v>5000</v>
      </c>
      <c r="K403" s="22" t="n">
        <v>976980</v>
      </c>
      <c r="L403" s="22" t="n">
        <v>14003380</v>
      </c>
      <c r="M403" s="6" t="s">
        <v>159</v>
      </c>
      <c r="N403" s="6" t="s">
        <v>84</v>
      </c>
      <c r="O403" s="6" t="s">
        <v>886</v>
      </c>
      <c r="P403" s="6" t="s">
        <v>85</v>
      </c>
      <c r="Q403" s="6" t="str">
        <f aca="false">IF(P403="pass","No","Yes")</f>
        <v>Yes</v>
      </c>
      <c r="R403" s="6" t="s">
        <v>86</v>
      </c>
      <c r="S403" s="6" t="s">
        <v>992</v>
      </c>
      <c r="T403" s="6" t="s">
        <v>5492</v>
      </c>
      <c r="U403" s="23" t="n">
        <v>39.316</v>
      </c>
      <c r="V403" s="6" t="s">
        <v>5493</v>
      </c>
      <c r="W403" s="6" t="s">
        <v>5494</v>
      </c>
      <c r="X403" s="6" t="s">
        <v>5495</v>
      </c>
      <c r="Y403" s="6" t="s">
        <v>86</v>
      </c>
      <c r="Z403" s="6" t="n">
        <v>0</v>
      </c>
      <c r="AA403" s="6" t="n">
        <v>0</v>
      </c>
      <c r="AB403" s="6" t="n">
        <v>1</v>
      </c>
      <c r="AC403" s="6" t="n">
        <v>1</v>
      </c>
      <c r="AD403" s="6" t="n">
        <v>0</v>
      </c>
      <c r="AE403" s="6" t="n">
        <v>0</v>
      </c>
      <c r="AF403" s="6" t="n">
        <v>0</v>
      </c>
      <c r="AG403" s="6" t="n">
        <v>0</v>
      </c>
      <c r="AH403" s="6" t="n">
        <v>1</v>
      </c>
      <c r="AI403" s="6" t="s">
        <v>84</v>
      </c>
    </row>
    <row r="404" customFormat="false" ht="15" hidden="false" customHeight="false" outlineLevel="0" collapsed="false">
      <c r="A404" s="6" t="n">
        <v>403</v>
      </c>
      <c r="B404" s="6" t="s">
        <v>5496</v>
      </c>
      <c r="C404" s="6" t="n">
        <v>9</v>
      </c>
      <c r="D404" s="6" t="s">
        <v>119</v>
      </c>
      <c r="E404" s="6" t="s">
        <v>123</v>
      </c>
      <c r="F404" s="6" t="n">
        <v>3</v>
      </c>
      <c r="G404" s="6" t="n">
        <v>160</v>
      </c>
      <c r="H404" s="6" t="s">
        <v>5485</v>
      </c>
      <c r="I404" s="22" t="n">
        <v>1656000</v>
      </c>
      <c r="J404" s="22" t="n">
        <v>5000</v>
      </c>
      <c r="K404" s="22" t="n">
        <v>124575</v>
      </c>
      <c r="L404" s="22" t="n">
        <v>1785575</v>
      </c>
      <c r="M404" s="6" t="s">
        <v>97</v>
      </c>
      <c r="N404" s="6" t="s">
        <v>84</v>
      </c>
      <c r="O404" s="6" t="s">
        <v>1185</v>
      </c>
      <c r="P404" s="6" t="s">
        <v>59</v>
      </c>
      <c r="Q404" s="6" t="str">
        <f aca="false">IF(P404="pass","No","Yes")</f>
        <v>Yes</v>
      </c>
      <c r="R404" s="6" t="s">
        <v>98</v>
      </c>
      <c r="S404" s="6" t="s">
        <v>1185</v>
      </c>
      <c r="T404" s="6" t="s">
        <v>5497</v>
      </c>
      <c r="U404" s="23" t="n">
        <v>67.145</v>
      </c>
      <c r="V404" s="6" t="s">
        <v>5498</v>
      </c>
      <c r="W404" s="6"/>
      <c r="X404" s="6" t="s">
        <v>5498</v>
      </c>
      <c r="Y404" s="6" t="s">
        <v>98</v>
      </c>
      <c r="Z404" s="6" t="n">
        <v>0</v>
      </c>
      <c r="AA404" s="6" t="n">
        <v>0</v>
      </c>
      <c r="AB404" s="6" t="n">
        <v>0</v>
      </c>
      <c r="AC404" s="6" t="n">
        <v>0</v>
      </c>
      <c r="AD404" s="6" t="n">
        <v>0</v>
      </c>
      <c r="AE404" s="6" t="n">
        <v>0</v>
      </c>
      <c r="AF404" s="6" t="n">
        <v>0</v>
      </c>
      <c r="AG404" s="6" t="n">
        <v>1</v>
      </c>
      <c r="AH404" s="6" t="n">
        <v>0</v>
      </c>
      <c r="AI404" s="6" t="s">
        <v>84</v>
      </c>
    </row>
    <row r="405" customFormat="false" ht="15" hidden="false" customHeight="false" outlineLevel="0" collapsed="false">
      <c r="A405" s="6" t="n">
        <v>404</v>
      </c>
      <c r="B405" s="6" t="s">
        <v>5499</v>
      </c>
      <c r="C405" s="6" t="n">
        <v>9</v>
      </c>
      <c r="D405" s="6" t="s">
        <v>112</v>
      </c>
      <c r="E405" s="6" t="s">
        <v>116</v>
      </c>
      <c r="F405" s="6" t="n">
        <v>4</v>
      </c>
      <c r="G405" s="6" t="n">
        <v>370</v>
      </c>
      <c r="H405" s="6" t="s">
        <v>5500</v>
      </c>
      <c r="I405" s="22" t="n">
        <v>4044500</v>
      </c>
      <c r="J405" s="22" t="n">
        <v>15000</v>
      </c>
      <c r="K405" s="22" t="n">
        <v>304462.5</v>
      </c>
      <c r="L405" s="22" t="n">
        <v>4363962.5</v>
      </c>
      <c r="M405" s="6" t="s">
        <v>927</v>
      </c>
      <c r="N405" s="6" t="s">
        <v>58</v>
      </c>
      <c r="O405" s="6"/>
      <c r="P405" s="6" t="s">
        <v>59</v>
      </c>
      <c r="Q405" s="6" t="str">
        <f aca="false">IF(P405="pass","No","Yes")</f>
        <v>Yes</v>
      </c>
      <c r="R405" s="6" t="s">
        <v>60</v>
      </c>
      <c r="S405" s="6" t="s">
        <v>915</v>
      </c>
      <c r="T405" s="6" t="s">
        <v>5501</v>
      </c>
      <c r="U405" s="23" t="n">
        <v>84.675</v>
      </c>
      <c r="V405" s="6" t="s">
        <v>5502</v>
      </c>
      <c r="W405" s="6" t="s">
        <v>5503</v>
      </c>
      <c r="X405" s="6" t="s">
        <v>5504</v>
      </c>
      <c r="Y405" s="6" t="s">
        <v>60</v>
      </c>
      <c r="Z405" s="6" t="n">
        <v>0</v>
      </c>
      <c r="AA405" s="6" t="n">
        <v>0</v>
      </c>
      <c r="AB405" s="6" t="n">
        <v>0</v>
      </c>
      <c r="AC405" s="6" t="n">
        <v>0</v>
      </c>
      <c r="AD405" s="6" t="n">
        <v>0</v>
      </c>
      <c r="AE405" s="6" t="n">
        <v>0</v>
      </c>
      <c r="AF405" s="6" t="n">
        <v>0</v>
      </c>
      <c r="AG405" s="6" t="n">
        <v>0</v>
      </c>
      <c r="AH405" s="6" t="n">
        <v>1</v>
      </c>
      <c r="AI405" s="6" t="s">
        <v>84</v>
      </c>
    </row>
    <row r="406" customFormat="false" ht="15" hidden="false" customHeight="false" outlineLevel="0" collapsed="false">
      <c r="A406" s="6" t="n">
        <v>405</v>
      </c>
      <c r="B406" s="6" t="s">
        <v>5505</v>
      </c>
      <c r="C406" s="6" t="n">
        <v>9</v>
      </c>
      <c r="D406" s="6" t="s">
        <v>112</v>
      </c>
      <c r="E406" s="6" t="s">
        <v>116</v>
      </c>
      <c r="F406" s="6" t="n">
        <v>1</v>
      </c>
      <c r="G406" s="6" t="n">
        <v>21</v>
      </c>
      <c r="H406" s="6" t="s">
        <v>5468</v>
      </c>
      <c r="I406" s="22" t="n">
        <v>180600</v>
      </c>
      <c r="J406" s="22" t="n">
        <v>15000</v>
      </c>
      <c r="K406" s="22" t="n">
        <v>14670</v>
      </c>
      <c r="L406" s="22" t="n">
        <v>210270</v>
      </c>
      <c r="M406" s="6" t="s">
        <v>57</v>
      </c>
      <c r="N406" s="6" t="s">
        <v>58</v>
      </c>
      <c r="O406" s="6"/>
      <c r="P406" s="6" t="s">
        <v>69</v>
      </c>
      <c r="Q406" s="6" t="str">
        <f aca="false">IF(P406="pass","No","Yes")</f>
        <v>No</v>
      </c>
      <c r="R406" s="6" t="s">
        <v>60</v>
      </c>
      <c r="S406" s="6"/>
      <c r="T406" s="6"/>
      <c r="U406" s="23" t="n">
        <v>26.731</v>
      </c>
      <c r="V406" s="6" t="s">
        <v>5506</v>
      </c>
      <c r="W406" s="6" t="s">
        <v>5507</v>
      </c>
      <c r="X406" s="6" t="s">
        <v>5508</v>
      </c>
      <c r="Y406" s="6" t="s">
        <v>60</v>
      </c>
      <c r="Z406" s="6" t="n">
        <v>0</v>
      </c>
      <c r="AA406" s="6" t="n">
        <v>0</v>
      </c>
      <c r="AB406" s="6" t="n">
        <v>0</v>
      </c>
      <c r="AC406" s="6" t="n">
        <v>0</v>
      </c>
      <c r="AD406" s="6" t="n">
        <v>0</v>
      </c>
      <c r="AE406" s="6" t="n">
        <v>0</v>
      </c>
      <c r="AF406" s="6" t="n">
        <v>0</v>
      </c>
      <c r="AG406" s="6" t="n">
        <v>0</v>
      </c>
      <c r="AH406" s="6" t="n">
        <v>0</v>
      </c>
      <c r="AI406" s="6" t="s">
        <v>84</v>
      </c>
    </row>
    <row r="407" customFormat="false" ht="15" hidden="false" customHeight="false" outlineLevel="0" collapsed="false">
      <c r="A407" s="6" t="n">
        <v>406</v>
      </c>
      <c r="B407" s="6" t="s">
        <v>5509</v>
      </c>
      <c r="C407" s="6" t="n">
        <v>9</v>
      </c>
      <c r="D407" s="6" t="s">
        <v>63</v>
      </c>
      <c r="E407" s="6" t="s">
        <v>67</v>
      </c>
      <c r="F407" s="6" t="n">
        <v>1</v>
      </c>
      <c r="G407" s="6" t="n">
        <v>7</v>
      </c>
      <c r="H407" s="6" t="s">
        <v>2882</v>
      </c>
      <c r="I407" s="22" t="n">
        <v>217000</v>
      </c>
      <c r="J407" s="22" t="n">
        <v>4500</v>
      </c>
      <c r="K407" s="22" t="n">
        <v>16612.5</v>
      </c>
      <c r="L407" s="22" t="n">
        <v>238112.5</v>
      </c>
      <c r="M407" s="6" t="s">
        <v>57</v>
      </c>
      <c r="N407" s="6" t="s">
        <v>58</v>
      </c>
      <c r="O407" s="6"/>
      <c r="P407" s="6" t="s">
        <v>69</v>
      </c>
      <c r="Q407" s="6" t="str">
        <f aca="false">IF(P407="pass","No","Yes")</f>
        <v>No</v>
      </c>
      <c r="R407" s="6" t="s">
        <v>60</v>
      </c>
      <c r="S407" s="6"/>
      <c r="T407" s="6"/>
      <c r="U407" s="23" t="n">
        <v>25.4</v>
      </c>
      <c r="V407" s="6" t="s">
        <v>5510</v>
      </c>
      <c r="W407" s="6" t="s">
        <v>5511</v>
      </c>
      <c r="X407" s="6" t="s">
        <v>5512</v>
      </c>
      <c r="Y407" s="6" t="s">
        <v>60</v>
      </c>
      <c r="Z407" s="6" t="n">
        <v>0</v>
      </c>
      <c r="AA407" s="6" t="n">
        <v>0</v>
      </c>
      <c r="AB407" s="6" t="n">
        <v>0</v>
      </c>
      <c r="AC407" s="6" t="n">
        <v>0</v>
      </c>
      <c r="AD407" s="6" t="n">
        <v>0</v>
      </c>
      <c r="AE407" s="6" t="n">
        <v>0</v>
      </c>
      <c r="AF407" s="6" t="n">
        <v>0</v>
      </c>
      <c r="AG407" s="6" t="n">
        <v>0</v>
      </c>
      <c r="AH407" s="6" t="n">
        <v>0</v>
      </c>
      <c r="AI407" s="6" t="s">
        <v>84</v>
      </c>
    </row>
    <row r="408" customFormat="false" ht="15" hidden="false" customHeight="false" outlineLevel="0" collapsed="false">
      <c r="A408" s="6" t="n">
        <v>407</v>
      </c>
      <c r="B408" s="6" t="s">
        <v>5513</v>
      </c>
      <c r="C408" s="6" t="n">
        <v>9</v>
      </c>
      <c r="D408" s="6" t="s">
        <v>89</v>
      </c>
      <c r="E408" s="6" t="s">
        <v>67</v>
      </c>
      <c r="F408" s="6" t="n">
        <v>2</v>
      </c>
      <c r="G408" s="6" t="n">
        <v>98</v>
      </c>
      <c r="H408" s="6" t="s">
        <v>5514</v>
      </c>
      <c r="I408" s="22" t="n">
        <v>1256300</v>
      </c>
      <c r="J408" s="22" t="n">
        <v>4500</v>
      </c>
      <c r="K408" s="22" t="n">
        <v>94560</v>
      </c>
      <c r="L408" s="22" t="n">
        <v>1355360</v>
      </c>
      <c r="M408" s="6" t="s">
        <v>57</v>
      </c>
      <c r="N408" s="6" t="s">
        <v>58</v>
      </c>
      <c r="O408" s="6"/>
      <c r="P408" s="6" t="s">
        <v>69</v>
      </c>
      <c r="Q408" s="6" t="str">
        <f aca="false">IF(P408="pass","No","Yes")</f>
        <v>No</v>
      </c>
      <c r="R408" s="6" t="s">
        <v>60</v>
      </c>
      <c r="S408" s="6"/>
      <c r="T408" s="6"/>
      <c r="U408" s="23" t="n">
        <v>43.301</v>
      </c>
      <c r="V408" s="6" t="s">
        <v>5515</v>
      </c>
      <c r="W408" s="6" t="s">
        <v>5516</v>
      </c>
      <c r="X408" s="6" t="s">
        <v>5517</v>
      </c>
      <c r="Y408" s="6" t="s">
        <v>60</v>
      </c>
      <c r="Z408" s="6" t="n">
        <v>0</v>
      </c>
      <c r="AA408" s="6" t="n">
        <v>0</v>
      </c>
      <c r="AB408" s="6" t="n">
        <v>0</v>
      </c>
      <c r="AC408" s="6" t="n">
        <v>0</v>
      </c>
      <c r="AD408" s="6" t="n">
        <v>0</v>
      </c>
      <c r="AE408" s="6" t="n">
        <v>0</v>
      </c>
      <c r="AF408" s="6" t="n">
        <v>0</v>
      </c>
      <c r="AG408" s="6" t="n">
        <v>0</v>
      </c>
      <c r="AH408" s="6" t="n">
        <v>0</v>
      </c>
      <c r="AI408" s="6" t="s">
        <v>84</v>
      </c>
    </row>
    <row r="409" customFormat="false" ht="15" hidden="false" customHeight="false" outlineLevel="0" collapsed="false">
      <c r="A409" s="6" t="n">
        <v>408</v>
      </c>
      <c r="B409" s="6" t="s">
        <v>5518</v>
      </c>
      <c r="C409" s="6" t="n">
        <v>9</v>
      </c>
      <c r="D409" s="6" t="s">
        <v>63</v>
      </c>
      <c r="E409" s="6" t="s">
        <v>67</v>
      </c>
      <c r="F409" s="6" t="n">
        <v>1</v>
      </c>
      <c r="G409" s="6" t="n">
        <v>60</v>
      </c>
      <c r="H409" s="6" t="s">
        <v>5519</v>
      </c>
      <c r="I409" s="22" t="n">
        <v>516000</v>
      </c>
      <c r="J409" s="22" t="n">
        <v>4500</v>
      </c>
      <c r="K409" s="22" t="n">
        <v>39037.5</v>
      </c>
      <c r="L409" s="22" t="n">
        <v>559537.5</v>
      </c>
      <c r="M409" s="6" t="s">
        <v>57</v>
      </c>
      <c r="N409" s="6" t="s">
        <v>58</v>
      </c>
      <c r="O409" s="6"/>
      <c r="P409" s="6" t="s">
        <v>69</v>
      </c>
      <c r="Q409" s="6" t="str">
        <f aca="false">IF(P409="pass","No","Yes")</f>
        <v>No</v>
      </c>
      <c r="R409" s="6" t="s">
        <v>60</v>
      </c>
      <c r="S409" s="6"/>
      <c r="T409" s="6"/>
      <c r="U409" s="23" t="n">
        <v>27.034</v>
      </c>
      <c r="V409" s="6" t="s">
        <v>5520</v>
      </c>
      <c r="W409" s="6" t="s">
        <v>5521</v>
      </c>
      <c r="X409" s="6" t="s">
        <v>5522</v>
      </c>
      <c r="Y409" s="6" t="s">
        <v>60</v>
      </c>
      <c r="Z409" s="6" t="n">
        <v>0</v>
      </c>
      <c r="AA409" s="6" t="n">
        <v>0</v>
      </c>
      <c r="AB409" s="6" t="n">
        <v>0</v>
      </c>
      <c r="AC409" s="6" t="n">
        <v>0</v>
      </c>
      <c r="AD409" s="6" t="n">
        <v>0</v>
      </c>
      <c r="AE409" s="6" t="n">
        <v>0</v>
      </c>
      <c r="AF409" s="6" t="n">
        <v>0</v>
      </c>
      <c r="AG409" s="6" t="n">
        <v>0</v>
      </c>
      <c r="AH409" s="6" t="n">
        <v>0</v>
      </c>
      <c r="AI409" s="6" t="s">
        <v>84</v>
      </c>
    </row>
    <row r="410" customFormat="false" ht="15" hidden="false" customHeight="false" outlineLevel="0" collapsed="false">
      <c r="A410" s="6" t="n">
        <v>409</v>
      </c>
      <c r="B410" s="6" t="s">
        <v>5523</v>
      </c>
      <c r="C410" s="6" t="n">
        <v>9</v>
      </c>
      <c r="D410" s="6" t="s">
        <v>51</v>
      </c>
      <c r="E410" s="6" t="s">
        <v>55</v>
      </c>
      <c r="F410" s="6" t="n">
        <v>2</v>
      </c>
      <c r="G410" s="6" t="n">
        <v>31</v>
      </c>
      <c r="H410" s="6" t="s">
        <v>5524</v>
      </c>
      <c r="I410" s="22" t="n">
        <v>566000</v>
      </c>
      <c r="J410" s="22" t="n">
        <v>6000</v>
      </c>
      <c r="K410" s="22" t="n">
        <v>42900</v>
      </c>
      <c r="L410" s="22" t="n">
        <v>614900</v>
      </c>
      <c r="M410" s="6" t="s">
        <v>57</v>
      </c>
      <c r="N410" s="6" t="s">
        <v>58</v>
      </c>
      <c r="O410" s="6"/>
      <c r="P410" s="6" t="s">
        <v>69</v>
      </c>
      <c r="Q410" s="6" t="str">
        <f aca="false">IF(P410="pass","No","Yes")</f>
        <v>No</v>
      </c>
      <c r="R410" s="6" t="s">
        <v>60</v>
      </c>
      <c r="S410" s="6"/>
      <c r="T410" s="6"/>
      <c r="U410" s="23" t="n">
        <v>38.608</v>
      </c>
      <c r="V410" s="6" t="s">
        <v>5525</v>
      </c>
      <c r="W410" s="6" t="s">
        <v>5526</v>
      </c>
      <c r="X410" s="6" t="s">
        <v>5527</v>
      </c>
      <c r="Y410" s="6" t="s">
        <v>60</v>
      </c>
      <c r="Z410" s="6" t="n">
        <v>0</v>
      </c>
      <c r="AA410" s="6" t="n">
        <v>0</v>
      </c>
      <c r="AB410" s="6" t="n">
        <v>0</v>
      </c>
      <c r="AC410" s="6" t="n">
        <v>0</v>
      </c>
      <c r="AD410" s="6" t="n">
        <v>0</v>
      </c>
      <c r="AE410" s="6" t="n">
        <v>0</v>
      </c>
      <c r="AF410" s="6" t="n">
        <v>0</v>
      </c>
      <c r="AG410" s="6" t="n">
        <v>0</v>
      </c>
      <c r="AH410" s="6" t="n">
        <v>0</v>
      </c>
      <c r="AI410" s="6" t="s">
        <v>84</v>
      </c>
    </row>
    <row r="411" customFormat="false" ht="15" hidden="false" customHeight="false" outlineLevel="0" collapsed="false">
      <c r="A411" s="6" t="n">
        <v>410</v>
      </c>
      <c r="B411" s="6" t="s">
        <v>5528</v>
      </c>
      <c r="C411" s="6" t="n">
        <v>9</v>
      </c>
      <c r="D411" s="6" t="s">
        <v>186</v>
      </c>
      <c r="E411" s="6" t="s">
        <v>123</v>
      </c>
      <c r="F411" s="6" t="n">
        <v>1</v>
      </c>
      <c r="G411" s="6" t="n">
        <v>121</v>
      </c>
      <c r="H411" s="6" t="s">
        <v>5529</v>
      </c>
      <c r="I411" s="22" t="n">
        <v>1149500</v>
      </c>
      <c r="J411" s="22" t="n">
        <v>5000</v>
      </c>
      <c r="K411" s="22" t="n">
        <v>86587.5</v>
      </c>
      <c r="L411" s="22" t="n">
        <v>1241087.5</v>
      </c>
      <c r="M411" s="6" t="s">
        <v>224</v>
      </c>
      <c r="N411" s="6" t="s">
        <v>84</v>
      </c>
      <c r="O411" s="6" t="s">
        <v>866</v>
      </c>
      <c r="P411" s="6" t="s">
        <v>85</v>
      </c>
      <c r="Q411" s="6" t="str">
        <f aca="false">IF(P411="pass","No","Yes")</f>
        <v>Yes</v>
      </c>
      <c r="R411" s="6" t="s">
        <v>86</v>
      </c>
      <c r="S411" s="6" t="s">
        <v>866</v>
      </c>
      <c r="T411" s="6" t="s">
        <v>225</v>
      </c>
      <c r="U411" s="23" t="n">
        <v>38.478</v>
      </c>
      <c r="V411" s="6" t="s">
        <v>5530</v>
      </c>
      <c r="W411" s="6" t="s">
        <v>5531</v>
      </c>
      <c r="X411" s="6" t="s">
        <v>5532</v>
      </c>
      <c r="Y411" s="6" t="s">
        <v>86</v>
      </c>
      <c r="Z411" s="6" t="n">
        <v>1</v>
      </c>
      <c r="AA411" s="6" t="n">
        <v>0</v>
      </c>
      <c r="AB411" s="6" t="n">
        <v>0</v>
      </c>
      <c r="AC411" s="6" t="n">
        <v>0</v>
      </c>
      <c r="AD411" s="6" t="n">
        <v>0</v>
      </c>
      <c r="AE411" s="6" t="n">
        <v>0</v>
      </c>
      <c r="AF411" s="6" t="n">
        <v>0</v>
      </c>
      <c r="AG411" s="6" t="n">
        <v>0</v>
      </c>
      <c r="AH411" s="6" t="n">
        <v>0</v>
      </c>
      <c r="AI411" s="6" t="s">
        <v>58</v>
      </c>
    </row>
    <row r="412" customFormat="false" ht="15" hidden="false" customHeight="false" outlineLevel="0" collapsed="false">
      <c r="A412" s="6" t="n">
        <v>411</v>
      </c>
      <c r="B412" s="6" t="s">
        <v>5533</v>
      </c>
      <c r="C412" s="6" t="n">
        <v>9</v>
      </c>
      <c r="D412" s="6" t="s">
        <v>137</v>
      </c>
      <c r="E412" s="6" t="s">
        <v>55</v>
      </c>
      <c r="F412" s="6" t="n">
        <v>3</v>
      </c>
      <c r="G412" s="6" t="n">
        <v>148</v>
      </c>
      <c r="H412" s="6" t="s">
        <v>5534</v>
      </c>
      <c r="I412" s="22" t="n">
        <v>2237800</v>
      </c>
      <c r="J412" s="22" t="n">
        <v>6000</v>
      </c>
      <c r="K412" s="22" t="n">
        <v>168285</v>
      </c>
      <c r="L412" s="22" t="n">
        <v>2412085</v>
      </c>
      <c r="M412" s="6" t="s">
        <v>57</v>
      </c>
      <c r="N412" s="6" t="s">
        <v>58</v>
      </c>
      <c r="O412" s="6"/>
      <c r="P412" s="6" t="s">
        <v>69</v>
      </c>
      <c r="Q412" s="6" t="str">
        <f aca="false">IF(P412="pass","No","Yes")</f>
        <v>No</v>
      </c>
      <c r="R412" s="6" t="s">
        <v>60</v>
      </c>
      <c r="S412" s="6"/>
      <c r="T412" s="6"/>
      <c r="U412" s="23" t="n">
        <v>71.641</v>
      </c>
      <c r="V412" s="6" t="s">
        <v>5535</v>
      </c>
      <c r="W412" s="6" t="s">
        <v>5536</v>
      </c>
      <c r="X412" s="6" t="s">
        <v>5537</v>
      </c>
      <c r="Y412" s="6" t="s">
        <v>60</v>
      </c>
      <c r="Z412" s="6" t="n">
        <v>0</v>
      </c>
      <c r="AA412" s="6" t="n">
        <v>0</v>
      </c>
      <c r="AB412" s="6" t="n">
        <v>0</v>
      </c>
      <c r="AC412" s="6" t="n">
        <v>0</v>
      </c>
      <c r="AD412" s="6" t="n">
        <v>0</v>
      </c>
      <c r="AE412" s="6" t="n">
        <v>0</v>
      </c>
      <c r="AF412" s="6" t="n">
        <v>0</v>
      </c>
      <c r="AG412" s="6" t="n">
        <v>0</v>
      </c>
      <c r="AH412" s="6" t="n">
        <v>0</v>
      </c>
      <c r="AI412" s="6" t="s">
        <v>84</v>
      </c>
    </row>
    <row r="413" customFormat="false" ht="15" hidden="false" customHeight="false" outlineLevel="0" collapsed="false">
      <c r="A413" s="6" t="n">
        <v>412</v>
      </c>
      <c r="B413" s="6" t="s">
        <v>5538</v>
      </c>
      <c r="C413" s="6" t="n">
        <v>9</v>
      </c>
      <c r="D413" s="6" t="s">
        <v>137</v>
      </c>
      <c r="E413" s="6" t="s">
        <v>55</v>
      </c>
      <c r="F413" s="6" t="n">
        <v>3</v>
      </c>
      <c r="G413" s="6" t="n">
        <v>148</v>
      </c>
      <c r="H413" s="6" t="s">
        <v>5534</v>
      </c>
      <c r="I413" s="22" t="n">
        <v>2237800</v>
      </c>
      <c r="J413" s="22" t="n">
        <v>6000</v>
      </c>
      <c r="K413" s="22" t="n">
        <v>168285</v>
      </c>
      <c r="L413" s="22" t="n">
        <v>2412085</v>
      </c>
      <c r="M413" s="6" t="s">
        <v>97</v>
      </c>
      <c r="N413" s="6" t="s">
        <v>84</v>
      </c>
      <c r="O413" s="6" t="s">
        <v>1185</v>
      </c>
      <c r="P413" s="6" t="s">
        <v>59</v>
      </c>
      <c r="Q413" s="6" t="str">
        <f aca="false">IF(P413="pass","No","Yes")</f>
        <v>Yes</v>
      </c>
      <c r="R413" s="6" t="s">
        <v>98</v>
      </c>
      <c r="S413" s="6" t="s">
        <v>1185</v>
      </c>
      <c r="T413" s="6" t="s">
        <v>5539</v>
      </c>
      <c r="U413" s="23" t="n">
        <v>69.625</v>
      </c>
      <c r="V413" s="6" t="s">
        <v>5540</v>
      </c>
      <c r="W413" s="6"/>
      <c r="X413" s="6" t="s">
        <v>5540</v>
      </c>
      <c r="Y413" s="6" t="s">
        <v>98</v>
      </c>
      <c r="Z413" s="6" t="n">
        <v>0</v>
      </c>
      <c r="AA413" s="6" t="n">
        <v>0</v>
      </c>
      <c r="AB413" s="6" t="n">
        <v>0</v>
      </c>
      <c r="AC413" s="6" t="n">
        <v>0</v>
      </c>
      <c r="AD413" s="6" t="n">
        <v>0</v>
      </c>
      <c r="AE413" s="6" t="n">
        <v>0</v>
      </c>
      <c r="AF413" s="6" t="n">
        <v>0</v>
      </c>
      <c r="AG413" s="6" t="n">
        <v>1</v>
      </c>
      <c r="AH413" s="6" t="n">
        <v>0</v>
      </c>
      <c r="AI413" s="6" t="s">
        <v>84</v>
      </c>
    </row>
    <row r="414" customFormat="false" ht="15" hidden="false" customHeight="false" outlineLevel="0" collapsed="false">
      <c r="A414" s="6" t="n">
        <v>413</v>
      </c>
      <c r="B414" s="6" t="s">
        <v>5541</v>
      </c>
      <c r="C414" s="6" t="n">
        <v>9</v>
      </c>
      <c r="D414" s="6" t="s">
        <v>237</v>
      </c>
      <c r="E414" s="6" t="s">
        <v>116</v>
      </c>
      <c r="F414" s="6" t="n">
        <v>1</v>
      </c>
      <c r="G414" s="6" t="n">
        <v>4</v>
      </c>
      <c r="H414" s="6" t="s">
        <v>3654</v>
      </c>
      <c r="I414" s="22" t="n">
        <v>124000</v>
      </c>
      <c r="J414" s="22" t="n">
        <v>15000</v>
      </c>
      <c r="K414" s="22" t="n">
        <v>10425</v>
      </c>
      <c r="L414" s="22" t="n">
        <v>149425</v>
      </c>
      <c r="M414" s="6" t="s">
        <v>1042</v>
      </c>
      <c r="N414" s="6" t="s">
        <v>58</v>
      </c>
      <c r="O414" s="6"/>
      <c r="P414" s="6" t="s">
        <v>69</v>
      </c>
      <c r="Q414" s="6" t="str">
        <f aca="false">IF(P414="pass","No","Yes")</f>
        <v>No</v>
      </c>
      <c r="R414" s="6" t="s">
        <v>60</v>
      </c>
      <c r="S414" s="6"/>
      <c r="T414" s="6"/>
      <c r="U414" s="23" t="n">
        <v>26.582</v>
      </c>
      <c r="V414" s="6" t="s">
        <v>5542</v>
      </c>
      <c r="W414" s="6" t="s">
        <v>5543</v>
      </c>
      <c r="X414" s="6" t="s">
        <v>5544</v>
      </c>
      <c r="Y414" s="6" t="s">
        <v>60</v>
      </c>
      <c r="Z414" s="6" t="n">
        <v>0</v>
      </c>
      <c r="AA414" s="6" t="n">
        <v>0</v>
      </c>
      <c r="AB414" s="6" t="n">
        <v>0</v>
      </c>
      <c r="AC414" s="6" t="n">
        <v>0</v>
      </c>
      <c r="AD414" s="6" t="n">
        <v>0</v>
      </c>
      <c r="AE414" s="6" t="n">
        <v>0</v>
      </c>
      <c r="AF414" s="6" t="n">
        <v>0</v>
      </c>
      <c r="AG414" s="6" t="n">
        <v>0</v>
      </c>
      <c r="AH414" s="6" t="n">
        <v>0</v>
      </c>
      <c r="AI414" s="6" t="s">
        <v>84</v>
      </c>
    </row>
    <row r="415" customFormat="false" ht="15" hidden="false" customHeight="false" outlineLevel="0" collapsed="false">
      <c r="A415" s="6" t="n">
        <v>414</v>
      </c>
      <c r="B415" s="6" t="s">
        <v>5545</v>
      </c>
      <c r="C415" s="6" t="n">
        <v>9</v>
      </c>
      <c r="D415" s="6" t="s">
        <v>177</v>
      </c>
      <c r="E415" s="6" t="s">
        <v>81</v>
      </c>
      <c r="F415" s="6" t="n">
        <v>2</v>
      </c>
      <c r="G415" s="6" t="n">
        <v>15</v>
      </c>
      <c r="H415" s="6" t="s">
        <v>5546</v>
      </c>
      <c r="I415" s="22" t="n">
        <v>161600</v>
      </c>
      <c r="J415" s="22" t="n">
        <v>4000</v>
      </c>
      <c r="K415" s="22" t="n">
        <v>12420</v>
      </c>
      <c r="L415" s="22" t="n">
        <v>178020</v>
      </c>
      <c r="M415" s="6" t="s">
        <v>960</v>
      </c>
      <c r="N415" s="6" t="s">
        <v>84</v>
      </c>
      <c r="O415" s="6" t="s">
        <v>961</v>
      </c>
      <c r="P415" s="6" t="s">
        <v>85</v>
      </c>
      <c r="Q415" s="6" t="str">
        <f aca="false">IF(P415="pass","No","Yes")</f>
        <v>Yes</v>
      </c>
      <c r="R415" s="6" t="s">
        <v>86</v>
      </c>
      <c r="S415" s="6" t="s">
        <v>961</v>
      </c>
      <c r="T415" s="6" t="s">
        <v>962</v>
      </c>
      <c r="U415" s="23" t="n">
        <v>43.195</v>
      </c>
      <c r="V415" s="6" t="s">
        <v>5547</v>
      </c>
      <c r="W415" s="6" t="s">
        <v>5548</v>
      </c>
      <c r="X415" s="6" t="s">
        <v>5549</v>
      </c>
      <c r="Y415" s="6" t="s">
        <v>86</v>
      </c>
      <c r="Z415" s="6" t="n">
        <v>0</v>
      </c>
      <c r="AA415" s="6" t="n">
        <v>0</v>
      </c>
      <c r="AB415" s="6" t="n">
        <v>0</v>
      </c>
      <c r="AC415" s="6" t="n">
        <v>0</v>
      </c>
      <c r="AD415" s="6" t="n">
        <v>1</v>
      </c>
      <c r="AE415" s="6" t="n">
        <v>0</v>
      </c>
      <c r="AF415" s="6" t="n">
        <v>0</v>
      </c>
      <c r="AG415" s="6" t="n">
        <v>0</v>
      </c>
      <c r="AH415" s="6" t="n">
        <v>0</v>
      </c>
      <c r="AI415" s="6" t="s">
        <v>84</v>
      </c>
    </row>
    <row r="416" customFormat="false" ht="15" hidden="false" customHeight="false" outlineLevel="0" collapsed="false">
      <c r="A416" s="6" t="n">
        <v>415</v>
      </c>
      <c r="B416" s="6" t="s">
        <v>5550</v>
      </c>
      <c r="C416" s="6" t="n">
        <v>9</v>
      </c>
      <c r="D416" s="6" t="s">
        <v>63</v>
      </c>
      <c r="E416" s="6" t="s">
        <v>67</v>
      </c>
      <c r="F416" s="6" t="n">
        <v>3</v>
      </c>
      <c r="G416" s="6" t="n">
        <v>118</v>
      </c>
      <c r="H416" s="6" t="s">
        <v>5551</v>
      </c>
      <c r="I416" s="22" t="n">
        <v>1406700</v>
      </c>
      <c r="J416" s="22" t="n">
        <v>4500</v>
      </c>
      <c r="K416" s="22" t="n">
        <v>105840</v>
      </c>
      <c r="L416" s="22" t="n">
        <v>1517040</v>
      </c>
      <c r="M416" s="6" t="s">
        <v>57</v>
      </c>
      <c r="N416" s="6" t="s">
        <v>58</v>
      </c>
      <c r="O416" s="6"/>
      <c r="P416" s="6" t="s">
        <v>69</v>
      </c>
      <c r="Q416" s="6" t="str">
        <f aca="false">IF(P416="pass","No","Yes")</f>
        <v>No</v>
      </c>
      <c r="R416" s="6" t="s">
        <v>60</v>
      </c>
      <c r="S416" s="6"/>
      <c r="T416" s="6"/>
      <c r="U416" s="23" t="n">
        <v>63.851</v>
      </c>
      <c r="V416" s="6" t="s">
        <v>5552</v>
      </c>
      <c r="W416" s="6" t="s">
        <v>5553</v>
      </c>
      <c r="X416" s="6" t="s">
        <v>5554</v>
      </c>
      <c r="Y416" s="6" t="s">
        <v>60</v>
      </c>
      <c r="Z416" s="6" t="n">
        <v>0</v>
      </c>
      <c r="AA416" s="6" t="n">
        <v>0</v>
      </c>
      <c r="AB416" s="6" t="n">
        <v>0</v>
      </c>
      <c r="AC416" s="6" t="n">
        <v>0</v>
      </c>
      <c r="AD416" s="6" t="n">
        <v>0</v>
      </c>
      <c r="AE416" s="6" t="n">
        <v>0</v>
      </c>
      <c r="AF416" s="6" t="n">
        <v>0</v>
      </c>
      <c r="AG416" s="6" t="n">
        <v>0</v>
      </c>
      <c r="AH416" s="6" t="n">
        <v>0</v>
      </c>
      <c r="AI416" s="6" t="s">
        <v>84</v>
      </c>
    </row>
    <row r="417" customFormat="false" ht="15" hidden="false" customHeight="false" outlineLevel="0" collapsed="false">
      <c r="A417" s="6" t="n">
        <v>416</v>
      </c>
      <c r="B417" s="6" t="s">
        <v>5555</v>
      </c>
      <c r="C417" s="6" t="n">
        <v>9</v>
      </c>
      <c r="D417" s="6" t="s">
        <v>70</v>
      </c>
      <c r="E417" s="6" t="s">
        <v>74</v>
      </c>
      <c r="F417" s="6" t="n">
        <v>4</v>
      </c>
      <c r="G417" s="6" t="n">
        <v>85</v>
      </c>
      <c r="H417" s="6" t="s">
        <v>5556</v>
      </c>
      <c r="I417" s="22" t="n">
        <v>1636800</v>
      </c>
      <c r="J417" s="22" t="n">
        <v>9000</v>
      </c>
      <c r="K417" s="22" t="n">
        <v>123435</v>
      </c>
      <c r="L417" s="22" t="n">
        <v>1769235</v>
      </c>
      <c r="M417" s="6" t="s">
        <v>152</v>
      </c>
      <c r="N417" s="6" t="s">
        <v>84</v>
      </c>
      <c r="O417" s="6" t="s">
        <v>886</v>
      </c>
      <c r="P417" s="6" t="s">
        <v>85</v>
      </c>
      <c r="Q417" s="6" t="str">
        <f aca="false">IF(P417="pass","No","Yes")</f>
        <v>Yes</v>
      </c>
      <c r="R417" s="6" t="s">
        <v>86</v>
      </c>
      <c r="S417" s="6" t="s">
        <v>1479</v>
      </c>
      <c r="T417" s="6" t="s">
        <v>5557</v>
      </c>
      <c r="U417" s="23" t="n">
        <v>70.629</v>
      </c>
      <c r="V417" s="6" t="s">
        <v>5558</v>
      </c>
      <c r="W417" s="6" t="s">
        <v>5559</v>
      </c>
      <c r="X417" s="6" t="s">
        <v>5560</v>
      </c>
      <c r="Y417" s="6" t="s">
        <v>86</v>
      </c>
      <c r="Z417" s="6" t="n">
        <v>0</v>
      </c>
      <c r="AA417" s="6" t="n">
        <v>0</v>
      </c>
      <c r="AB417" s="6" t="n">
        <v>1</v>
      </c>
      <c r="AC417" s="6" t="n">
        <v>0</v>
      </c>
      <c r="AD417" s="6" t="n">
        <v>0</v>
      </c>
      <c r="AE417" s="6" t="n">
        <v>0</v>
      </c>
      <c r="AF417" s="6" t="n">
        <v>0</v>
      </c>
      <c r="AG417" s="6" t="n">
        <v>0</v>
      </c>
      <c r="AH417" s="6" t="n">
        <v>1</v>
      </c>
      <c r="AI417" s="6" t="s">
        <v>84</v>
      </c>
    </row>
    <row r="418" customFormat="false" ht="15" hidden="false" customHeight="false" outlineLevel="0" collapsed="false">
      <c r="A418" s="6" t="n">
        <v>417</v>
      </c>
      <c r="B418" s="6" t="s">
        <v>5561</v>
      </c>
      <c r="C418" s="6" t="n">
        <v>9</v>
      </c>
      <c r="D418" s="6" t="s">
        <v>119</v>
      </c>
      <c r="E418" s="6" t="s">
        <v>146</v>
      </c>
      <c r="F418" s="6" t="n">
        <v>2</v>
      </c>
      <c r="G418" s="6" t="n">
        <v>41</v>
      </c>
      <c r="H418" s="6" t="s">
        <v>5562</v>
      </c>
      <c r="I418" s="22" t="n">
        <v>382000</v>
      </c>
      <c r="J418" s="22" t="n">
        <v>0</v>
      </c>
      <c r="K418" s="22" t="n">
        <v>28650</v>
      </c>
      <c r="L418" s="22" t="n">
        <v>410650</v>
      </c>
      <c r="M418" s="6" t="s">
        <v>148</v>
      </c>
      <c r="N418" s="6" t="s">
        <v>84</v>
      </c>
      <c r="O418" s="6" t="s">
        <v>866</v>
      </c>
      <c r="P418" s="6" t="s">
        <v>85</v>
      </c>
      <c r="Q418" s="6" t="str">
        <f aca="false">IF(P418="pass","No","Yes")</f>
        <v>Yes</v>
      </c>
      <c r="R418" s="6" t="s">
        <v>86</v>
      </c>
      <c r="S418" s="6" t="s">
        <v>866</v>
      </c>
      <c r="T418" s="6" t="s">
        <v>150</v>
      </c>
      <c r="U418" s="23" t="n">
        <v>46.823</v>
      </c>
      <c r="V418" s="6" t="s">
        <v>5563</v>
      </c>
      <c r="W418" s="6" t="s">
        <v>5564</v>
      </c>
      <c r="X418" s="6" t="s">
        <v>5565</v>
      </c>
      <c r="Y418" s="6" t="s">
        <v>86</v>
      </c>
      <c r="Z418" s="6" t="n">
        <v>1</v>
      </c>
      <c r="AA418" s="6" t="n">
        <v>0</v>
      </c>
      <c r="AB418" s="6" t="n">
        <v>0</v>
      </c>
      <c r="AC418" s="6" t="n">
        <v>0</v>
      </c>
      <c r="AD418" s="6" t="n">
        <v>0</v>
      </c>
      <c r="AE418" s="6" t="n">
        <v>0</v>
      </c>
      <c r="AF418" s="6" t="n">
        <v>0</v>
      </c>
      <c r="AG418" s="6" t="n">
        <v>0</v>
      </c>
      <c r="AH418" s="6" t="n">
        <v>0</v>
      </c>
      <c r="AI418" s="6" t="s">
        <v>84</v>
      </c>
    </row>
    <row r="419" customFormat="false" ht="15" hidden="false" customHeight="false" outlineLevel="0" collapsed="false">
      <c r="A419" s="6" t="n">
        <v>418</v>
      </c>
      <c r="B419" s="6" t="s">
        <v>5566</v>
      </c>
      <c r="C419" s="6" t="n">
        <v>9</v>
      </c>
      <c r="D419" s="6" t="s">
        <v>105</v>
      </c>
      <c r="E419" s="6" t="s">
        <v>146</v>
      </c>
      <c r="F419" s="6" t="n">
        <v>1</v>
      </c>
      <c r="G419" s="6" t="n">
        <v>8</v>
      </c>
      <c r="H419" s="6" t="s">
        <v>5567</v>
      </c>
      <c r="I419" s="22" t="n">
        <v>248000</v>
      </c>
      <c r="J419" s="22" t="n">
        <v>0</v>
      </c>
      <c r="K419" s="22" t="n">
        <v>18600</v>
      </c>
      <c r="L419" s="22" t="n">
        <v>266600</v>
      </c>
      <c r="M419" s="6" t="s">
        <v>148</v>
      </c>
      <c r="N419" s="6" t="s">
        <v>84</v>
      </c>
      <c r="O419" s="6" t="s">
        <v>866</v>
      </c>
      <c r="P419" s="6" t="s">
        <v>85</v>
      </c>
      <c r="Q419" s="6" t="str">
        <f aca="false">IF(P419="pass","No","Yes")</f>
        <v>Yes</v>
      </c>
      <c r="R419" s="6" t="s">
        <v>86</v>
      </c>
      <c r="S419" s="6" t="s">
        <v>866</v>
      </c>
      <c r="T419" s="6" t="s">
        <v>150</v>
      </c>
      <c r="U419" s="23" t="n">
        <v>25.322</v>
      </c>
      <c r="V419" s="6" t="s">
        <v>5568</v>
      </c>
      <c r="W419" s="6" t="s">
        <v>5569</v>
      </c>
      <c r="X419" s="6" t="s">
        <v>5570</v>
      </c>
      <c r="Y419" s="6" t="s">
        <v>86</v>
      </c>
      <c r="Z419" s="6" t="n">
        <v>1</v>
      </c>
      <c r="AA419" s="6" t="n">
        <v>0</v>
      </c>
      <c r="AB419" s="6" t="n">
        <v>0</v>
      </c>
      <c r="AC419" s="6" t="n">
        <v>0</v>
      </c>
      <c r="AD419" s="6" t="n">
        <v>0</v>
      </c>
      <c r="AE419" s="6" t="n">
        <v>0</v>
      </c>
      <c r="AF419" s="6" t="n">
        <v>0</v>
      </c>
      <c r="AG419" s="6" t="n">
        <v>0</v>
      </c>
      <c r="AH419" s="6" t="n">
        <v>0</v>
      </c>
      <c r="AI419" s="6" t="s">
        <v>84</v>
      </c>
    </row>
    <row r="420" customFormat="false" ht="15" hidden="false" customHeight="false" outlineLevel="0" collapsed="false">
      <c r="A420" s="6" t="n">
        <v>419</v>
      </c>
      <c r="B420" s="6" t="s">
        <v>5571</v>
      </c>
      <c r="C420" s="6" t="n">
        <v>9</v>
      </c>
      <c r="D420" s="6" t="s">
        <v>89</v>
      </c>
      <c r="E420" s="6" t="s">
        <v>146</v>
      </c>
      <c r="F420" s="6" t="n">
        <v>2</v>
      </c>
      <c r="G420" s="6" t="n">
        <v>52</v>
      </c>
      <c r="H420" s="6" t="s">
        <v>5572</v>
      </c>
      <c r="I420" s="22" t="n">
        <v>888200</v>
      </c>
      <c r="J420" s="22" t="n">
        <v>0</v>
      </c>
      <c r="K420" s="22" t="n">
        <v>66615</v>
      </c>
      <c r="L420" s="22" t="n">
        <v>954815</v>
      </c>
      <c r="M420" s="6" t="s">
        <v>148</v>
      </c>
      <c r="N420" s="6" t="s">
        <v>84</v>
      </c>
      <c r="O420" s="6" t="s">
        <v>866</v>
      </c>
      <c r="P420" s="6" t="s">
        <v>85</v>
      </c>
      <c r="Q420" s="6" t="str">
        <f aca="false">IF(P420="pass","No","Yes")</f>
        <v>Yes</v>
      </c>
      <c r="R420" s="6" t="s">
        <v>86</v>
      </c>
      <c r="S420" s="6" t="s">
        <v>866</v>
      </c>
      <c r="T420" s="6" t="s">
        <v>150</v>
      </c>
      <c r="U420" s="23" t="n">
        <v>47.543</v>
      </c>
      <c r="V420" s="6" t="s">
        <v>5573</v>
      </c>
      <c r="W420" s="6" t="s">
        <v>5574</v>
      </c>
      <c r="X420" s="6" t="s">
        <v>5575</v>
      </c>
      <c r="Y420" s="6" t="s">
        <v>86</v>
      </c>
      <c r="Z420" s="6" t="n">
        <v>1</v>
      </c>
      <c r="AA420" s="6" t="n">
        <v>0</v>
      </c>
      <c r="AB420" s="6" t="n">
        <v>0</v>
      </c>
      <c r="AC420" s="6" t="n">
        <v>0</v>
      </c>
      <c r="AD420" s="6" t="n">
        <v>0</v>
      </c>
      <c r="AE420" s="6" t="n">
        <v>0</v>
      </c>
      <c r="AF420" s="6" t="n">
        <v>0</v>
      </c>
      <c r="AG420" s="6" t="n">
        <v>0</v>
      </c>
      <c r="AH420" s="6" t="n">
        <v>0</v>
      </c>
      <c r="AI420" s="6" t="s">
        <v>84</v>
      </c>
    </row>
    <row r="421" customFormat="false" ht="15" hidden="false" customHeight="false" outlineLevel="0" collapsed="false">
      <c r="A421" s="6" t="n">
        <v>420</v>
      </c>
      <c r="B421" s="6" t="s">
        <v>5576</v>
      </c>
      <c r="C421" s="6" t="n">
        <v>9</v>
      </c>
      <c r="D421" s="6" t="s">
        <v>166</v>
      </c>
      <c r="E421" s="6" t="s">
        <v>146</v>
      </c>
      <c r="F421" s="6" t="n">
        <v>3</v>
      </c>
      <c r="G421" s="6" t="n">
        <v>33</v>
      </c>
      <c r="H421" s="6" t="s">
        <v>5577</v>
      </c>
      <c r="I421" s="22" t="n">
        <v>936200</v>
      </c>
      <c r="J421" s="22" t="n">
        <v>0</v>
      </c>
      <c r="K421" s="22" t="n">
        <v>70215</v>
      </c>
      <c r="L421" s="22" t="n">
        <v>1006415</v>
      </c>
      <c r="M421" s="6" t="s">
        <v>148</v>
      </c>
      <c r="N421" s="6" t="s">
        <v>84</v>
      </c>
      <c r="O421" s="6" t="s">
        <v>866</v>
      </c>
      <c r="P421" s="6" t="s">
        <v>85</v>
      </c>
      <c r="Q421" s="6" t="str">
        <f aca="false">IF(P421="pass","No","Yes")</f>
        <v>Yes</v>
      </c>
      <c r="R421" s="6" t="s">
        <v>86</v>
      </c>
      <c r="S421" s="6" t="s">
        <v>866</v>
      </c>
      <c r="T421" s="6" t="s">
        <v>150</v>
      </c>
      <c r="U421" s="23" t="n">
        <v>62.211</v>
      </c>
      <c r="V421" s="6" t="s">
        <v>5578</v>
      </c>
      <c r="W421" s="6" t="s">
        <v>5579</v>
      </c>
      <c r="X421" s="6" t="s">
        <v>5580</v>
      </c>
      <c r="Y421" s="6" t="s">
        <v>86</v>
      </c>
      <c r="Z421" s="6" t="n">
        <v>1</v>
      </c>
      <c r="AA421" s="6" t="n">
        <v>0</v>
      </c>
      <c r="AB421" s="6" t="n">
        <v>0</v>
      </c>
      <c r="AC421" s="6" t="n">
        <v>0</v>
      </c>
      <c r="AD421" s="6" t="n">
        <v>0</v>
      </c>
      <c r="AE421" s="6" t="n">
        <v>0</v>
      </c>
      <c r="AF421" s="6" t="n">
        <v>0</v>
      </c>
      <c r="AG421" s="6" t="n">
        <v>0</v>
      </c>
      <c r="AH421" s="6" t="n">
        <v>0</v>
      </c>
      <c r="AI421" s="6" t="s">
        <v>84</v>
      </c>
    </row>
    <row r="422" customFormat="false" ht="15" hidden="false" customHeight="false" outlineLevel="0" collapsed="false">
      <c r="A422" s="6" t="n">
        <v>421</v>
      </c>
      <c r="B422" s="6" t="s">
        <v>5581</v>
      </c>
      <c r="C422" s="6" t="n">
        <v>9</v>
      </c>
      <c r="D422" s="6" t="s">
        <v>177</v>
      </c>
      <c r="E422" s="6" t="s">
        <v>81</v>
      </c>
      <c r="F422" s="6" t="n">
        <v>4</v>
      </c>
      <c r="G422" s="6" t="n">
        <v>18</v>
      </c>
      <c r="H422" s="6" t="s">
        <v>5582</v>
      </c>
      <c r="I422" s="22" t="n">
        <v>630200</v>
      </c>
      <c r="J422" s="22" t="n">
        <v>4000</v>
      </c>
      <c r="K422" s="22" t="n">
        <v>47565</v>
      </c>
      <c r="L422" s="22" t="n">
        <v>681765</v>
      </c>
      <c r="M422" s="6" t="s">
        <v>272</v>
      </c>
      <c r="N422" s="6" t="s">
        <v>84</v>
      </c>
      <c r="O422" s="6" t="s">
        <v>879</v>
      </c>
      <c r="P422" s="6" t="s">
        <v>85</v>
      </c>
      <c r="Q422" s="6" t="str">
        <f aca="false">IF(P422="pass","No","Yes")</f>
        <v>Yes</v>
      </c>
      <c r="R422" s="6" t="s">
        <v>86</v>
      </c>
      <c r="S422" s="6" t="s">
        <v>879</v>
      </c>
      <c r="T422" s="6" t="s">
        <v>5583</v>
      </c>
      <c r="U422" s="23" t="n">
        <v>60.665</v>
      </c>
      <c r="V422" s="6" t="s">
        <v>5584</v>
      </c>
      <c r="W422" s="6" t="s">
        <v>5585</v>
      </c>
      <c r="X422" s="6" t="s">
        <v>5586</v>
      </c>
      <c r="Y422" s="6" t="s">
        <v>86</v>
      </c>
      <c r="Z422" s="6" t="n">
        <v>0</v>
      </c>
      <c r="AA422" s="6" t="n">
        <v>1</v>
      </c>
      <c r="AB422" s="6" t="n">
        <v>0</v>
      </c>
      <c r="AC422" s="6" t="n">
        <v>0</v>
      </c>
      <c r="AD422" s="6" t="n">
        <v>0</v>
      </c>
      <c r="AE422" s="6" t="n">
        <v>0</v>
      </c>
      <c r="AF422" s="6" t="n">
        <v>0</v>
      </c>
      <c r="AG422" s="6" t="n">
        <v>0</v>
      </c>
      <c r="AH422" s="6" t="n">
        <v>0</v>
      </c>
      <c r="AI422" s="6" t="s">
        <v>84</v>
      </c>
    </row>
    <row r="423" customFormat="false" ht="15" hidden="false" customHeight="false" outlineLevel="0" collapsed="false">
      <c r="A423" s="6" t="n">
        <v>422</v>
      </c>
      <c r="B423" s="6" t="s">
        <v>5587</v>
      </c>
      <c r="C423" s="6" t="n">
        <v>9</v>
      </c>
      <c r="D423" s="6" t="s">
        <v>177</v>
      </c>
      <c r="E423" s="6" t="s">
        <v>81</v>
      </c>
      <c r="F423" s="6" t="n">
        <v>3</v>
      </c>
      <c r="G423" s="6" t="n">
        <v>42</v>
      </c>
      <c r="H423" s="6" t="s">
        <v>5588</v>
      </c>
      <c r="I423" s="22" t="n">
        <v>971600</v>
      </c>
      <c r="J423" s="22" t="n">
        <v>4000</v>
      </c>
      <c r="K423" s="22" t="n">
        <v>73170</v>
      </c>
      <c r="L423" s="22" t="n">
        <v>1048770</v>
      </c>
      <c r="M423" s="6" t="s">
        <v>132</v>
      </c>
      <c r="N423" s="6" t="s">
        <v>84</v>
      </c>
      <c r="O423" s="6" t="s">
        <v>879</v>
      </c>
      <c r="P423" s="6" t="s">
        <v>85</v>
      </c>
      <c r="Q423" s="6" t="str">
        <f aca="false">IF(P423="pass","No","Yes")</f>
        <v>Yes</v>
      </c>
      <c r="R423" s="6" t="s">
        <v>86</v>
      </c>
      <c r="S423" s="6" t="s">
        <v>880</v>
      </c>
      <c r="T423" s="6" t="s">
        <v>134</v>
      </c>
      <c r="U423" s="23" t="n">
        <v>48.512</v>
      </c>
      <c r="V423" s="6" t="s">
        <v>5589</v>
      </c>
      <c r="W423" s="6" t="s">
        <v>5590</v>
      </c>
      <c r="X423" s="6" t="s">
        <v>5591</v>
      </c>
      <c r="Y423" s="6" t="s">
        <v>86</v>
      </c>
      <c r="Z423" s="6" t="n">
        <v>0</v>
      </c>
      <c r="AA423" s="6" t="n">
        <v>1</v>
      </c>
      <c r="AB423" s="6" t="n">
        <v>0</v>
      </c>
      <c r="AC423" s="6" t="n">
        <v>1</v>
      </c>
      <c r="AD423" s="6" t="n">
        <v>0</v>
      </c>
      <c r="AE423" s="6" t="n">
        <v>0</v>
      </c>
      <c r="AF423" s="6" t="n">
        <v>0</v>
      </c>
      <c r="AG423" s="6" t="n">
        <v>0</v>
      </c>
      <c r="AH423" s="6" t="n">
        <v>0</v>
      </c>
      <c r="AI423" s="6" t="s">
        <v>84</v>
      </c>
    </row>
    <row r="424" customFormat="false" ht="15" hidden="false" customHeight="false" outlineLevel="0" collapsed="false">
      <c r="A424" s="6" t="n">
        <v>423</v>
      </c>
      <c r="B424" s="6" t="s">
        <v>5592</v>
      </c>
      <c r="C424" s="6" t="n">
        <v>9</v>
      </c>
      <c r="D424" s="6" t="s">
        <v>51</v>
      </c>
      <c r="E424" s="6" t="s">
        <v>55</v>
      </c>
      <c r="F424" s="6" t="n">
        <v>2</v>
      </c>
      <c r="G424" s="6" t="n">
        <v>7</v>
      </c>
      <c r="H424" s="6" t="s">
        <v>5593</v>
      </c>
      <c r="I424" s="22" t="n">
        <v>163200</v>
      </c>
      <c r="J424" s="22" t="n">
        <v>6000</v>
      </c>
      <c r="K424" s="22" t="n">
        <v>12690</v>
      </c>
      <c r="L424" s="22" t="n">
        <v>181890</v>
      </c>
      <c r="M424" s="6" t="s">
        <v>57</v>
      </c>
      <c r="N424" s="6" t="s">
        <v>58</v>
      </c>
      <c r="O424" s="6"/>
      <c r="P424" s="6" t="s">
        <v>69</v>
      </c>
      <c r="Q424" s="6" t="str">
        <f aca="false">IF(P424="pass","No","Yes")</f>
        <v>No</v>
      </c>
      <c r="R424" s="6" t="s">
        <v>60</v>
      </c>
      <c r="S424" s="6"/>
      <c r="T424" s="6"/>
      <c r="U424" s="23" t="n">
        <v>46.011</v>
      </c>
      <c r="V424" s="6" t="s">
        <v>5594</v>
      </c>
      <c r="W424" s="6" t="s">
        <v>5595</v>
      </c>
      <c r="X424" s="6" t="s">
        <v>5596</v>
      </c>
      <c r="Y424" s="6" t="s">
        <v>60</v>
      </c>
      <c r="Z424" s="6" t="n">
        <v>0</v>
      </c>
      <c r="AA424" s="6" t="n">
        <v>0</v>
      </c>
      <c r="AB424" s="6" t="n">
        <v>0</v>
      </c>
      <c r="AC424" s="6" t="n">
        <v>0</v>
      </c>
      <c r="AD424" s="6" t="n">
        <v>0</v>
      </c>
      <c r="AE424" s="6" t="n">
        <v>0</v>
      </c>
      <c r="AF424" s="6" t="n">
        <v>0</v>
      </c>
      <c r="AG424" s="6" t="n">
        <v>0</v>
      </c>
      <c r="AH424" s="6" t="n">
        <v>0</v>
      </c>
      <c r="AI424" s="6" t="s">
        <v>84</v>
      </c>
    </row>
    <row r="425" customFormat="false" ht="15" hidden="false" customHeight="false" outlineLevel="0" collapsed="false">
      <c r="A425" s="6" t="n">
        <v>424</v>
      </c>
      <c r="B425" s="6" t="s">
        <v>5597</v>
      </c>
      <c r="C425" s="6" t="n">
        <v>9</v>
      </c>
      <c r="D425" s="6" t="s">
        <v>154</v>
      </c>
      <c r="E425" s="6" t="s">
        <v>123</v>
      </c>
      <c r="F425" s="6" t="n">
        <v>3</v>
      </c>
      <c r="G425" s="6" t="n">
        <v>274</v>
      </c>
      <c r="H425" s="6" t="s">
        <v>5598</v>
      </c>
      <c r="I425" s="22" t="n">
        <v>3077000</v>
      </c>
      <c r="J425" s="22" t="n">
        <v>5000</v>
      </c>
      <c r="K425" s="22" t="n">
        <v>231150</v>
      </c>
      <c r="L425" s="22" t="n">
        <v>3313150</v>
      </c>
      <c r="M425" s="6" t="s">
        <v>1042</v>
      </c>
      <c r="N425" s="6" t="s">
        <v>58</v>
      </c>
      <c r="O425" s="6"/>
      <c r="P425" s="6" t="s">
        <v>59</v>
      </c>
      <c r="Q425" s="6" t="str">
        <f aca="false">IF(P425="pass","No","Yes")</f>
        <v>Yes</v>
      </c>
      <c r="R425" s="6" t="s">
        <v>60</v>
      </c>
      <c r="S425" s="6" t="s">
        <v>915</v>
      </c>
      <c r="T425" s="6" t="s">
        <v>928</v>
      </c>
      <c r="U425" s="23" t="n">
        <v>75.164</v>
      </c>
      <c r="V425" s="6" t="s">
        <v>5599</v>
      </c>
      <c r="W425" s="6" t="s">
        <v>5600</v>
      </c>
      <c r="X425" s="6" t="s">
        <v>5601</v>
      </c>
      <c r="Y425" s="6" t="s">
        <v>60</v>
      </c>
      <c r="Z425" s="6" t="n">
        <v>0</v>
      </c>
      <c r="AA425" s="6" t="n">
        <v>0</v>
      </c>
      <c r="AB425" s="6" t="n">
        <v>0</v>
      </c>
      <c r="AC425" s="6" t="n">
        <v>0</v>
      </c>
      <c r="AD425" s="6" t="n">
        <v>0</v>
      </c>
      <c r="AE425" s="6" t="n">
        <v>0</v>
      </c>
      <c r="AF425" s="6" t="n">
        <v>0</v>
      </c>
      <c r="AG425" s="6" t="n">
        <v>0</v>
      </c>
      <c r="AH425" s="6" t="n">
        <v>1</v>
      </c>
      <c r="AI425" s="6" t="s">
        <v>84</v>
      </c>
    </row>
    <row r="426" customFormat="false" ht="15" hidden="false" customHeight="false" outlineLevel="0" collapsed="false">
      <c r="A426" s="6" t="n">
        <v>425</v>
      </c>
      <c r="B426" s="6" t="s">
        <v>5602</v>
      </c>
      <c r="C426" s="6" t="n">
        <v>9</v>
      </c>
      <c r="D426" s="6" t="s">
        <v>51</v>
      </c>
      <c r="E426" s="6" t="s">
        <v>55</v>
      </c>
      <c r="F426" s="6" t="n">
        <v>1</v>
      </c>
      <c r="G426" s="6" t="n">
        <v>33</v>
      </c>
      <c r="H426" s="6" t="s">
        <v>5603</v>
      </c>
      <c r="I426" s="22" t="n">
        <v>283800</v>
      </c>
      <c r="J426" s="22" t="n">
        <v>6000</v>
      </c>
      <c r="K426" s="22" t="n">
        <v>21735</v>
      </c>
      <c r="L426" s="22" t="n">
        <v>311535</v>
      </c>
      <c r="M426" s="6" t="s">
        <v>57</v>
      </c>
      <c r="N426" s="6" t="s">
        <v>58</v>
      </c>
      <c r="O426" s="6"/>
      <c r="P426" s="6" t="s">
        <v>69</v>
      </c>
      <c r="Q426" s="6" t="str">
        <f aca="false">IF(P426="pass","No","Yes")</f>
        <v>No</v>
      </c>
      <c r="R426" s="6" t="s">
        <v>60</v>
      </c>
      <c r="S426" s="6"/>
      <c r="T426" s="6"/>
      <c r="U426" s="23" t="n">
        <v>29.144</v>
      </c>
      <c r="V426" s="6" t="s">
        <v>5604</v>
      </c>
      <c r="W426" s="6" t="s">
        <v>5605</v>
      </c>
      <c r="X426" s="6" t="s">
        <v>5606</v>
      </c>
      <c r="Y426" s="6" t="s">
        <v>60</v>
      </c>
      <c r="Z426" s="6" t="n">
        <v>0</v>
      </c>
      <c r="AA426" s="6" t="n">
        <v>0</v>
      </c>
      <c r="AB426" s="6" t="n">
        <v>0</v>
      </c>
      <c r="AC426" s="6" t="n">
        <v>0</v>
      </c>
      <c r="AD426" s="6" t="n">
        <v>0</v>
      </c>
      <c r="AE426" s="6" t="n">
        <v>0</v>
      </c>
      <c r="AF426" s="6" t="n">
        <v>0</v>
      </c>
      <c r="AG426" s="6" t="n">
        <v>0</v>
      </c>
      <c r="AH426" s="6" t="n">
        <v>0</v>
      </c>
      <c r="AI426" s="6" t="s">
        <v>84</v>
      </c>
    </row>
    <row r="427" customFormat="false" ht="15" hidden="false" customHeight="false" outlineLevel="0" collapsed="false">
      <c r="A427" s="6" t="n">
        <v>426</v>
      </c>
      <c r="B427" s="6" t="s">
        <v>5607</v>
      </c>
      <c r="C427" s="6" t="n">
        <v>9</v>
      </c>
      <c r="D427" s="6" t="s">
        <v>154</v>
      </c>
      <c r="E427" s="6" t="s">
        <v>123</v>
      </c>
      <c r="F427" s="6" t="n">
        <v>3</v>
      </c>
      <c r="G427" s="6" t="n">
        <v>177</v>
      </c>
      <c r="H427" s="6" t="s">
        <v>5608</v>
      </c>
      <c r="I427" s="22" t="n">
        <v>1891100</v>
      </c>
      <c r="J427" s="22" t="n">
        <v>5000</v>
      </c>
      <c r="K427" s="22" t="n">
        <v>142207.5</v>
      </c>
      <c r="L427" s="22" t="n">
        <v>2038307.5</v>
      </c>
      <c r="M427" s="6" t="s">
        <v>83</v>
      </c>
      <c r="N427" s="6" t="s">
        <v>84</v>
      </c>
      <c r="O427" s="6" t="s">
        <v>886</v>
      </c>
      <c r="P427" s="6" t="s">
        <v>85</v>
      </c>
      <c r="Q427" s="6" t="str">
        <f aca="false">IF(P427="pass","No","Yes")</f>
        <v>Yes</v>
      </c>
      <c r="R427" s="6" t="s">
        <v>86</v>
      </c>
      <c r="S427" s="6" t="s">
        <v>886</v>
      </c>
      <c r="T427" s="6" t="s">
        <v>438</v>
      </c>
      <c r="U427" s="23" t="n">
        <v>78.915</v>
      </c>
      <c r="V427" s="6" t="s">
        <v>5609</v>
      </c>
      <c r="W427" s="6" t="s">
        <v>5610</v>
      </c>
      <c r="X427" s="6" t="s">
        <v>5611</v>
      </c>
      <c r="Y427" s="6" t="s">
        <v>86</v>
      </c>
      <c r="Z427" s="6" t="n">
        <v>0</v>
      </c>
      <c r="AA427" s="6" t="n">
        <v>0</v>
      </c>
      <c r="AB427" s="6" t="n">
        <v>1</v>
      </c>
      <c r="AC427" s="6" t="n">
        <v>0</v>
      </c>
      <c r="AD427" s="6" t="n">
        <v>0</v>
      </c>
      <c r="AE427" s="6" t="n">
        <v>0</v>
      </c>
      <c r="AF427" s="6" t="n">
        <v>0</v>
      </c>
      <c r="AG427" s="6" t="n">
        <v>0</v>
      </c>
      <c r="AH427" s="6" t="n">
        <v>0</v>
      </c>
      <c r="AI427" s="6" t="s">
        <v>84</v>
      </c>
    </row>
    <row r="428" customFormat="false" ht="15" hidden="false" customHeight="false" outlineLevel="0" collapsed="false">
      <c r="A428" s="6" t="n">
        <v>427</v>
      </c>
      <c r="B428" s="6" t="s">
        <v>5612</v>
      </c>
      <c r="C428" s="6" t="n">
        <v>9</v>
      </c>
      <c r="D428" s="6" t="s">
        <v>63</v>
      </c>
      <c r="E428" s="6" t="s">
        <v>67</v>
      </c>
      <c r="F428" s="6" t="n">
        <v>2</v>
      </c>
      <c r="G428" s="6" t="n">
        <v>806</v>
      </c>
      <c r="H428" s="6" t="s">
        <v>5613</v>
      </c>
      <c r="I428" s="22" t="n">
        <v>7737500</v>
      </c>
      <c r="J428" s="22" t="n">
        <v>4500</v>
      </c>
      <c r="K428" s="22" t="n">
        <v>580650</v>
      </c>
      <c r="L428" s="22" t="n">
        <v>8322650</v>
      </c>
      <c r="M428" s="6" t="s">
        <v>171</v>
      </c>
      <c r="N428" s="6" t="s">
        <v>84</v>
      </c>
      <c r="O428" s="6" t="s">
        <v>892</v>
      </c>
      <c r="P428" s="6" t="s">
        <v>85</v>
      </c>
      <c r="Q428" s="6" t="str">
        <f aca="false">IF(P428="pass","No","Yes")</f>
        <v>Yes</v>
      </c>
      <c r="R428" s="6" t="s">
        <v>86</v>
      </c>
      <c r="S428" s="6" t="s">
        <v>893</v>
      </c>
      <c r="T428" s="6" t="s">
        <v>5614</v>
      </c>
      <c r="U428" s="23" t="n">
        <v>77.798</v>
      </c>
      <c r="V428" s="6" t="s">
        <v>5615</v>
      </c>
      <c r="W428" s="6" t="s">
        <v>5616</v>
      </c>
      <c r="X428" s="6" t="s">
        <v>5617</v>
      </c>
      <c r="Y428" s="6" t="s">
        <v>86</v>
      </c>
      <c r="Z428" s="6" t="n">
        <v>0</v>
      </c>
      <c r="AA428" s="6" t="n">
        <v>0</v>
      </c>
      <c r="AB428" s="6" t="n">
        <v>0</v>
      </c>
      <c r="AC428" s="6" t="n">
        <v>1</v>
      </c>
      <c r="AD428" s="6" t="n">
        <v>0</v>
      </c>
      <c r="AE428" s="6" t="n">
        <v>0</v>
      </c>
      <c r="AF428" s="6" t="n">
        <v>0</v>
      </c>
      <c r="AG428" s="6" t="n">
        <v>0</v>
      </c>
      <c r="AH428" s="6" t="n">
        <v>1</v>
      </c>
      <c r="AI428" s="6" t="s">
        <v>84</v>
      </c>
    </row>
    <row r="429" customFormat="false" ht="15" hidden="false" customHeight="false" outlineLevel="0" collapsed="false">
      <c r="A429" s="6" t="n">
        <v>428</v>
      </c>
      <c r="B429" s="6" t="s">
        <v>5618</v>
      </c>
      <c r="C429" s="6" t="n">
        <v>9</v>
      </c>
      <c r="D429" s="6" t="s">
        <v>142</v>
      </c>
      <c r="E429" s="6" t="s">
        <v>74</v>
      </c>
      <c r="F429" s="6" t="n">
        <v>3</v>
      </c>
      <c r="G429" s="6" t="n">
        <v>71</v>
      </c>
      <c r="H429" s="6" t="s">
        <v>5619</v>
      </c>
      <c r="I429" s="22" t="n">
        <v>1643800</v>
      </c>
      <c r="J429" s="22" t="n">
        <v>9000</v>
      </c>
      <c r="K429" s="22" t="n">
        <v>123960</v>
      </c>
      <c r="L429" s="22" t="n">
        <v>1776760</v>
      </c>
      <c r="M429" s="6" t="s">
        <v>57</v>
      </c>
      <c r="N429" s="6" t="s">
        <v>58</v>
      </c>
      <c r="O429" s="6"/>
      <c r="P429" s="6" t="s">
        <v>69</v>
      </c>
      <c r="Q429" s="6" t="str">
        <f aca="false">IF(P429="pass","No","Yes")</f>
        <v>No</v>
      </c>
      <c r="R429" s="6" t="s">
        <v>60</v>
      </c>
      <c r="S429" s="6"/>
      <c r="T429" s="6"/>
      <c r="U429" s="23" t="n">
        <v>68.946</v>
      </c>
      <c r="V429" s="6" t="s">
        <v>5620</v>
      </c>
      <c r="W429" s="6" t="s">
        <v>5621</v>
      </c>
      <c r="X429" s="6" t="s">
        <v>5622</v>
      </c>
      <c r="Y429" s="6" t="s">
        <v>60</v>
      </c>
      <c r="Z429" s="6" t="n">
        <v>0</v>
      </c>
      <c r="AA429" s="6" t="n">
        <v>0</v>
      </c>
      <c r="AB429" s="6" t="n">
        <v>0</v>
      </c>
      <c r="AC429" s="6" t="n">
        <v>0</v>
      </c>
      <c r="AD429" s="6" t="n">
        <v>0</v>
      </c>
      <c r="AE429" s="6" t="n">
        <v>0</v>
      </c>
      <c r="AF429" s="6" t="n">
        <v>0</v>
      </c>
      <c r="AG429" s="6" t="n">
        <v>0</v>
      </c>
      <c r="AH429" s="6" t="n">
        <v>0</v>
      </c>
      <c r="AI429" s="6" t="s">
        <v>84</v>
      </c>
    </row>
    <row r="430" customFormat="false" ht="15" hidden="false" customHeight="false" outlineLevel="0" collapsed="false">
      <c r="A430" s="6" t="n">
        <v>429</v>
      </c>
      <c r="B430" s="6" t="s">
        <v>5623</v>
      </c>
      <c r="C430" s="6" t="n">
        <v>9</v>
      </c>
      <c r="D430" s="6" t="s">
        <v>142</v>
      </c>
      <c r="E430" s="6" t="s">
        <v>74</v>
      </c>
      <c r="F430" s="6" t="n">
        <v>3</v>
      </c>
      <c r="G430" s="6" t="n">
        <v>71</v>
      </c>
      <c r="H430" s="6" t="s">
        <v>5619</v>
      </c>
      <c r="I430" s="22" t="n">
        <v>1643800</v>
      </c>
      <c r="J430" s="22" t="n">
        <v>9000</v>
      </c>
      <c r="K430" s="22" t="n">
        <v>123960</v>
      </c>
      <c r="L430" s="22" t="n">
        <v>1776760</v>
      </c>
      <c r="M430" s="6" t="s">
        <v>97</v>
      </c>
      <c r="N430" s="6" t="s">
        <v>84</v>
      </c>
      <c r="O430" s="6" t="s">
        <v>1185</v>
      </c>
      <c r="P430" s="6" t="s">
        <v>59</v>
      </c>
      <c r="Q430" s="6" t="str">
        <f aca="false">IF(P430="pass","No","Yes")</f>
        <v>Yes</v>
      </c>
      <c r="R430" s="6" t="s">
        <v>98</v>
      </c>
      <c r="S430" s="6" t="s">
        <v>1185</v>
      </c>
      <c r="T430" s="6" t="s">
        <v>5624</v>
      </c>
      <c r="U430" s="23" t="n">
        <v>66.499</v>
      </c>
      <c r="V430" s="6" t="s">
        <v>5625</v>
      </c>
      <c r="W430" s="6"/>
      <c r="X430" s="6" t="s">
        <v>5625</v>
      </c>
      <c r="Y430" s="6" t="s">
        <v>98</v>
      </c>
      <c r="Z430" s="6" t="n">
        <v>0</v>
      </c>
      <c r="AA430" s="6" t="n">
        <v>0</v>
      </c>
      <c r="AB430" s="6" t="n">
        <v>0</v>
      </c>
      <c r="AC430" s="6" t="n">
        <v>0</v>
      </c>
      <c r="AD430" s="6" t="n">
        <v>0</v>
      </c>
      <c r="AE430" s="6" t="n">
        <v>0</v>
      </c>
      <c r="AF430" s="6" t="n">
        <v>0</v>
      </c>
      <c r="AG430" s="6" t="n">
        <v>1</v>
      </c>
      <c r="AH430" s="6" t="n">
        <v>0</v>
      </c>
      <c r="AI430" s="6" t="s">
        <v>84</v>
      </c>
    </row>
    <row r="431" customFormat="false" ht="15" hidden="false" customHeight="false" outlineLevel="0" collapsed="false">
      <c r="A431" s="6" t="n">
        <v>430</v>
      </c>
      <c r="B431" s="6" t="s">
        <v>5626</v>
      </c>
      <c r="C431" s="6" t="n">
        <v>9</v>
      </c>
      <c r="D431" s="6" t="s">
        <v>237</v>
      </c>
      <c r="E431" s="6" t="s">
        <v>116</v>
      </c>
      <c r="F431" s="6" t="n">
        <v>4</v>
      </c>
      <c r="G431" s="6" t="n">
        <v>1058</v>
      </c>
      <c r="H431" s="6" t="s">
        <v>5627</v>
      </c>
      <c r="I431" s="22" t="n">
        <v>13503500</v>
      </c>
      <c r="J431" s="22" t="n">
        <v>15000</v>
      </c>
      <c r="K431" s="22" t="n">
        <v>1013887.5</v>
      </c>
      <c r="L431" s="22" t="n">
        <v>14532387.5</v>
      </c>
      <c r="M431" s="6" t="s">
        <v>159</v>
      </c>
      <c r="N431" s="6" t="s">
        <v>84</v>
      </c>
      <c r="O431" s="6" t="s">
        <v>886</v>
      </c>
      <c r="P431" s="6" t="s">
        <v>85</v>
      </c>
      <c r="Q431" s="6" t="str">
        <f aca="false">IF(P431="pass","No","Yes")</f>
        <v>Yes</v>
      </c>
      <c r="R431" s="6" t="s">
        <v>86</v>
      </c>
      <c r="S431" s="6" t="s">
        <v>992</v>
      </c>
      <c r="T431" s="6" t="s">
        <v>5628</v>
      </c>
      <c r="U431" s="23" t="n">
        <v>82.126</v>
      </c>
      <c r="V431" s="6" t="s">
        <v>5629</v>
      </c>
      <c r="W431" s="6" t="s">
        <v>5630</v>
      </c>
      <c r="X431" s="6" t="s">
        <v>5631</v>
      </c>
      <c r="Y431" s="6" t="s">
        <v>86</v>
      </c>
      <c r="Z431" s="6" t="n">
        <v>0</v>
      </c>
      <c r="AA431" s="6" t="n">
        <v>0</v>
      </c>
      <c r="AB431" s="6" t="n">
        <v>1</v>
      </c>
      <c r="AC431" s="6" t="n">
        <v>1</v>
      </c>
      <c r="AD431" s="6" t="n">
        <v>0</v>
      </c>
      <c r="AE431" s="6" t="n">
        <v>0</v>
      </c>
      <c r="AF431" s="6" t="n">
        <v>0</v>
      </c>
      <c r="AG431" s="6" t="n">
        <v>0</v>
      </c>
      <c r="AH431" s="6" t="n">
        <v>1</v>
      </c>
      <c r="AI431" s="6" t="s">
        <v>84</v>
      </c>
    </row>
    <row r="432" customFormat="false" ht="15" hidden="false" customHeight="false" outlineLevel="0" collapsed="false">
      <c r="A432" s="6" t="n">
        <v>431</v>
      </c>
      <c r="B432" s="6" t="s">
        <v>5632</v>
      </c>
      <c r="C432" s="6" t="n">
        <v>9</v>
      </c>
      <c r="D432" s="6" t="s">
        <v>198</v>
      </c>
      <c r="E432" s="6" t="s">
        <v>81</v>
      </c>
      <c r="F432" s="6" t="n">
        <v>2</v>
      </c>
      <c r="G432" s="6" t="n">
        <v>65</v>
      </c>
      <c r="H432" s="6" t="s">
        <v>5633</v>
      </c>
      <c r="I432" s="22" t="n">
        <v>812500</v>
      </c>
      <c r="J432" s="22" t="n">
        <v>4000</v>
      </c>
      <c r="K432" s="22" t="n">
        <v>61237.5</v>
      </c>
      <c r="L432" s="22" t="n">
        <v>877737.5</v>
      </c>
      <c r="M432" s="6" t="s">
        <v>152</v>
      </c>
      <c r="N432" s="6" t="s">
        <v>84</v>
      </c>
      <c r="O432" s="6" t="s">
        <v>886</v>
      </c>
      <c r="P432" s="6" t="s">
        <v>85</v>
      </c>
      <c r="Q432" s="6" t="str">
        <f aca="false">IF(P432="pass","No","Yes")</f>
        <v>Yes</v>
      </c>
      <c r="R432" s="6" t="s">
        <v>86</v>
      </c>
      <c r="S432" s="6" t="s">
        <v>886</v>
      </c>
      <c r="T432" s="6" t="s">
        <v>262</v>
      </c>
      <c r="U432" s="23" t="n">
        <v>24.09</v>
      </c>
      <c r="V432" s="6" t="s">
        <v>5634</v>
      </c>
      <c r="W432" s="6" t="s">
        <v>5635</v>
      </c>
      <c r="X432" s="6" t="s">
        <v>5636</v>
      </c>
      <c r="Y432" s="6" t="s">
        <v>86</v>
      </c>
      <c r="Z432" s="6" t="n">
        <v>0</v>
      </c>
      <c r="AA432" s="6" t="n">
        <v>0</v>
      </c>
      <c r="AB432" s="6" t="n">
        <v>1</v>
      </c>
      <c r="AC432" s="6" t="n">
        <v>0</v>
      </c>
      <c r="AD432" s="6" t="n">
        <v>0</v>
      </c>
      <c r="AE432" s="6" t="n">
        <v>0</v>
      </c>
      <c r="AF432" s="6" t="n">
        <v>0</v>
      </c>
      <c r="AG432" s="6" t="n">
        <v>0</v>
      </c>
      <c r="AH432" s="6" t="n">
        <v>0</v>
      </c>
      <c r="AI432" s="6" t="s">
        <v>84</v>
      </c>
    </row>
    <row r="433" customFormat="false" ht="15" hidden="false" customHeight="false" outlineLevel="0" collapsed="false">
      <c r="A433" s="6" t="n">
        <v>432</v>
      </c>
      <c r="B433" s="6" t="s">
        <v>5637</v>
      </c>
      <c r="C433" s="6" t="n">
        <v>9</v>
      </c>
      <c r="D433" s="6" t="s">
        <v>198</v>
      </c>
      <c r="E433" s="6" t="s">
        <v>81</v>
      </c>
      <c r="F433" s="6" t="n">
        <v>2</v>
      </c>
      <c r="G433" s="6" t="n">
        <v>139</v>
      </c>
      <c r="H433" s="6" t="s">
        <v>5638</v>
      </c>
      <c r="I433" s="22" t="n">
        <v>1405600</v>
      </c>
      <c r="J433" s="22" t="n">
        <v>4000</v>
      </c>
      <c r="K433" s="22" t="n">
        <v>105720</v>
      </c>
      <c r="L433" s="22" t="n">
        <v>1515320</v>
      </c>
      <c r="M433" s="6" t="s">
        <v>57</v>
      </c>
      <c r="N433" s="6" t="s">
        <v>58</v>
      </c>
      <c r="O433" s="6"/>
      <c r="P433" s="6" t="s">
        <v>69</v>
      </c>
      <c r="Q433" s="6" t="str">
        <f aca="false">IF(P433="pass","No","Yes")</f>
        <v>No</v>
      </c>
      <c r="R433" s="6" t="s">
        <v>60</v>
      </c>
      <c r="S433" s="6"/>
      <c r="T433" s="6"/>
      <c r="U433" s="23" t="n">
        <v>62.096</v>
      </c>
      <c r="V433" s="6" t="s">
        <v>5639</v>
      </c>
      <c r="W433" s="6" t="s">
        <v>5640</v>
      </c>
      <c r="X433" s="6" t="s">
        <v>5641</v>
      </c>
      <c r="Y433" s="6" t="s">
        <v>60</v>
      </c>
      <c r="Z433" s="6" t="n">
        <v>0</v>
      </c>
      <c r="AA433" s="6" t="n">
        <v>0</v>
      </c>
      <c r="AB433" s="6" t="n">
        <v>0</v>
      </c>
      <c r="AC433" s="6" t="n">
        <v>0</v>
      </c>
      <c r="AD433" s="6" t="n">
        <v>0</v>
      </c>
      <c r="AE433" s="6" t="n">
        <v>0</v>
      </c>
      <c r="AF433" s="6" t="n">
        <v>0</v>
      </c>
      <c r="AG433" s="6" t="n">
        <v>0</v>
      </c>
      <c r="AH433" s="6" t="n">
        <v>0</v>
      </c>
      <c r="AI433" s="6" t="s">
        <v>84</v>
      </c>
    </row>
    <row r="434" customFormat="false" ht="15" hidden="false" customHeight="false" outlineLevel="0" collapsed="false">
      <c r="A434" s="6" t="n">
        <v>433</v>
      </c>
      <c r="B434" s="6" t="s">
        <v>5642</v>
      </c>
      <c r="C434" s="6" t="n">
        <v>9</v>
      </c>
      <c r="D434" s="6" t="s">
        <v>186</v>
      </c>
      <c r="E434" s="6" t="s">
        <v>123</v>
      </c>
      <c r="F434" s="6" t="n">
        <v>3</v>
      </c>
      <c r="G434" s="6" t="n">
        <v>28</v>
      </c>
      <c r="H434" s="6" t="s">
        <v>5643</v>
      </c>
      <c r="I434" s="22" t="n">
        <v>426500</v>
      </c>
      <c r="J434" s="22" t="n">
        <v>5000</v>
      </c>
      <c r="K434" s="22" t="n">
        <v>32362.5</v>
      </c>
      <c r="L434" s="22" t="n">
        <v>463862.5</v>
      </c>
      <c r="M434" s="6" t="s">
        <v>1009</v>
      </c>
      <c r="N434" s="6" t="s">
        <v>58</v>
      </c>
      <c r="O434" s="6"/>
      <c r="P434" s="6" t="s">
        <v>69</v>
      </c>
      <c r="Q434" s="6" t="str">
        <f aca="false">IF(P434="pass","No","Yes")</f>
        <v>No</v>
      </c>
      <c r="R434" s="6" t="s">
        <v>60</v>
      </c>
      <c r="S434" s="6"/>
      <c r="T434" s="6"/>
      <c r="U434" s="23" t="n">
        <v>61.115</v>
      </c>
      <c r="V434" s="6" t="s">
        <v>5644</v>
      </c>
      <c r="W434" s="6" t="s">
        <v>5645</v>
      </c>
      <c r="X434" s="6" t="s">
        <v>5646</v>
      </c>
      <c r="Y434" s="6" t="s">
        <v>60</v>
      </c>
      <c r="Z434" s="6" t="n">
        <v>0</v>
      </c>
      <c r="AA434" s="6" t="n">
        <v>0</v>
      </c>
      <c r="AB434" s="6" t="n">
        <v>0</v>
      </c>
      <c r="AC434" s="6" t="n">
        <v>0</v>
      </c>
      <c r="AD434" s="6" t="n">
        <v>0</v>
      </c>
      <c r="AE434" s="6" t="n">
        <v>0</v>
      </c>
      <c r="AF434" s="6" t="n">
        <v>0</v>
      </c>
      <c r="AG434" s="6" t="n">
        <v>0</v>
      </c>
      <c r="AH434" s="6" t="n">
        <v>0</v>
      </c>
      <c r="AI434" s="6" t="s">
        <v>84</v>
      </c>
    </row>
    <row r="435" customFormat="false" ht="15" hidden="false" customHeight="false" outlineLevel="0" collapsed="false">
      <c r="A435" s="6" t="n">
        <v>434</v>
      </c>
      <c r="B435" s="6" t="s">
        <v>5647</v>
      </c>
      <c r="C435" s="6" t="n">
        <v>9</v>
      </c>
      <c r="D435" s="6" t="s">
        <v>100</v>
      </c>
      <c r="E435" s="6" t="s">
        <v>146</v>
      </c>
      <c r="F435" s="6" t="n">
        <v>1</v>
      </c>
      <c r="G435" s="6" t="n">
        <v>67</v>
      </c>
      <c r="H435" s="6" t="s">
        <v>5648</v>
      </c>
      <c r="I435" s="22" t="n">
        <v>790600</v>
      </c>
      <c r="J435" s="22" t="n">
        <v>0</v>
      </c>
      <c r="K435" s="22" t="n">
        <v>59295</v>
      </c>
      <c r="L435" s="22" t="n">
        <v>849895</v>
      </c>
      <c r="M435" s="6" t="s">
        <v>148</v>
      </c>
      <c r="N435" s="6" t="s">
        <v>84</v>
      </c>
      <c r="O435" s="6" t="s">
        <v>866</v>
      </c>
      <c r="P435" s="6" t="s">
        <v>85</v>
      </c>
      <c r="Q435" s="6" t="str">
        <f aca="false">IF(P435="pass","No","Yes")</f>
        <v>Yes</v>
      </c>
      <c r="R435" s="6" t="s">
        <v>86</v>
      </c>
      <c r="S435" s="6" t="s">
        <v>866</v>
      </c>
      <c r="T435" s="6" t="s">
        <v>150</v>
      </c>
      <c r="U435" s="23" t="n">
        <v>27.296</v>
      </c>
      <c r="V435" s="6" t="s">
        <v>5649</v>
      </c>
      <c r="W435" s="6" t="s">
        <v>5650</v>
      </c>
      <c r="X435" s="6" t="s">
        <v>5651</v>
      </c>
      <c r="Y435" s="6" t="s">
        <v>86</v>
      </c>
      <c r="Z435" s="6" t="n">
        <v>1</v>
      </c>
      <c r="AA435" s="6" t="n">
        <v>0</v>
      </c>
      <c r="AB435" s="6" t="n">
        <v>0</v>
      </c>
      <c r="AC435" s="6" t="n">
        <v>0</v>
      </c>
      <c r="AD435" s="6" t="n">
        <v>0</v>
      </c>
      <c r="AE435" s="6" t="n">
        <v>0</v>
      </c>
      <c r="AF435" s="6" t="n">
        <v>0</v>
      </c>
      <c r="AG435" s="6" t="n">
        <v>0</v>
      </c>
      <c r="AH435" s="6" t="n">
        <v>0</v>
      </c>
      <c r="AI435" s="6" t="s">
        <v>84</v>
      </c>
    </row>
    <row r="436" customFormat="false" ht="15" hidden="false" customHeight="false" outlineLevel="0" collapsed="false">
      <c r="A436" s="6" t="n">
        <v>435</v>
      </c>
      <c r="B436" s="6" t="s">
        <v>5652</v>
      </c>
      <c r="C436" s="6" t="n">
        <v>9</v>
      </c>
      <c r="D436" s="6" t="s">
        <v>237</v>
      </c>
      <c r="E436" s="6" t="s">
        <v>116</v>
      </c>
      <c r="F436" s="6" t="n">
        <v>2</v>
      </c>
      <c r="G436" s="6" t="n">
        <v>5</v>
      </c>
      <c r="H436" s="6" t="s">
        <v>5653</v>
      </c>
      <c r="I436" s="22" t="n">
        <v>43000</v>
      </c>
      <c r="J436" s="22" t="n">
        <v>15000</v>
      </c>
      <c r="K436" s="22" t="n">
        <v>4350</v>
      </c>
      <c r="L436" s="22" t="n">
        <v>62350</v>
      </c>
      <c r="M436" s="6" t="s">
        <v>272</v>
      </c>
      <c r="N436" s="6" t="s">
        <v>84</v>
      </c>
      <c r="O436" s="6" t="s">
        <v>879</v>
      </c>
      <c r="P436" s="6" t="s">
        <v>85</v>
      </c>
      <c r="Q436" s="6" t="str">
        <f aca="false">IF(P436="pass","No","Yes")</f>
        <v>Yes</v>
      </c>
      <c r="R436" s="6" t="s">
        <v>86</v>
      </c>
      <c r="S436" s="6" t="s">
        <v>879</v>
      </c>
      <c r="T436" s="6" t="s">
        <v>5654</v>
      </c>
      <c r="U436" s="23" t="n">
        <v>28.801</v>
      </c>
      <c r="V436" s="6" t="s">
        <v>5655</v>
      </c>
      <c r="W436" s="6" t="s">
        <v>5656</v>
      </c>
      <c r="X436" s="6" t="s">
        <v>5657</v>
      </c>
      <c r="Y436" s="6" t="s">
        <v>86</v>
      </c>
      <c r="Z436" s="6" t="n">
        <v>0</v>
      </c>
      <c r="AA436" s="6" t="n">
        <v>1</v>
      </c>
      <c r="AB436" s="6" t="n">
        <v>0</v>
      </c>
      <c r="AC436" s="6" t="n">
        <v>0</v>
      </c>
      <c r="AD436" s="6" t="n">
        <v>0</v>
      </c>
      <c r="AE436" s="6" t="n">
        <v>0</v>
      </c>
      <c r="AF436" s="6" t="n">
        <v>0</v>
      </c>
      <c r="AG436" s="6" t="n">
        <v>0</v>
      </c>
      <c r="AH436" s="6" t="n">
        <v>0</v>
      </c>
      <c r="AI436" s="6" t="s">
        <v>84</v>
      </c>
    </row>
    <row r="437" customFormat="false" ht="15" hidden="false" customHeight="false" outlineLevel="0" collapsed="false">
      <c r="A437" s="6" t="n">
        <v>436</v>
      </c>
      <c r="B437" s="6" t="s">
        <v>5658</v>
      </c>
      <c r="C437" s="6" t="n">
        <v>9</v>
      </c>
      <c r="D437" s="6" t="s">
        <v>70</v>
      </c>
      <c r="E437" s="6" t="s">
        <v>74</v>
      </c>
      <c r="F437" s="6" t="n">
        <v>2</v>
      </c>
      <c r="G437" s="6" t="n">
        <v>119</v>
      </c>
      <c r="H437" s="6" t="s">
        <v>5659</v>
      </c>
      <c r="I437" s="22" t="n">
        <v>1119700</v>
      </c>
      <c r="J437" s="22" t="n">
        <v>9000</v>
      </c>
      <c r="K437" s="22" t="n">
        <v>84652.5</v>
      </c>
      <c r="L437" s="22" t="n">
        <v>1213352.5</v>
      </c>
      <c r="M437" s="6" t="s">
        <v>94</v>
      </c>
      <c r="N437" s="6" t="s">
        <v>84</v>
      </c>
      <c r="O437" s="6" t="s">
        <v>909</v>
      </c>
      <c r="P437" s="6" t="s">
        <v>85</v>
      </c>
      <c r="Q437" s="6" t="str">
        <f aca="false">IF(P437="pass","No","Yes")</f>
        <v>Yes</v>
      </c>
      <c r="R437" s="6" t="s">
        <v>86</v>
      </c>
      <c r="S437" s="6" t="s">
        <v>909</v>
      </c>
      <c r="T437" s="6" t="s">
        <v>254</v>
      </c>
      <c r="U437" s="23" t="n">
        <v>61.232</v>
      </c>
      <c r="V437" s="6" t="s">
        <v>5660</v>
      </c>
      <c r="W437" s="6" t="s">
        <v>5661</v>
      </c>
      <c r="X437" s="6" t="s">
        <v>5662</v>
      </c>
      <c r="Y437" s="6" t="s">
        <v>86</v>
      </c>
      <c r="Z437" s="6" t="n">
        <v>0</v>
      </c>
      <c r="AA437" s="6" t="n">
        <v>0</v>
      </c>
      <c r="AB437" s="6" t="n">
        <v>0</v>
      </c>
      <c r="AC437" s="6" t="n">
        <v>0</v>
      </c>
      <c r="AD437" s="6" t="n">
        <v>0</v>
      </c>
      <c r="AE437" s="6" t="n">
        <v>0</v>
      </c>
      <c r="AF437" s="6" t="n">
        <v>1</v>
      </c>
      <c r="AG437" s="6" t="n">
        <v>0</v>
      </c>
      <c r="AH437" s="6" t="n">
        <v>0</v>
      </c>
      <c r="AI437" s="6" t="s">
        <v>84</v>
      </c>
    </row>
    <row r="438" customFormat="false" ht="15" hidden="false" customHeight="false" outlineLevel="0" collapsed="false">
      <c r="A438" s="6" t="n">
        <v>437</v>
      </c>
      <c r="B438" s="6" t="s">
        <v>5663</v>
      </c>
      <c r="C438" s="6" t="n">
        <v>9</v>
      </c>
      <c r="D438" s="6" t="s">
        <v>186</v>
      </c>
      <c r="E438" s="6" t="s">
        <v>123</v>
      </c>
      <c r="F438" s="6" t="n">
        <v>3</v>
      </c>
      <c r="G438" s="6" t="n">
        <v>226</v>
      </c>
      <c r="H438" s="6" t="s">
        <v>5664</v>
      </c>
      <c r="I438" s="22" t="n">
        <v>2972200</v>
      </c>
      <c r="J438" s="22" t="n">
        <v>5000</v>
      </c>
      <c r="K438" s="22" t="n">
        <v>223290</v>
      </c>
      <c r="L438" s="22" t="n">
        <v>3200490</v>
      </c>
      <c r="M438" s="6" t="s">
        <v>57</v>
      </c>
      <c r="N438" s="6" t="s">
        <v>58</v>
      </c>
      <c r="O438" s="6"/>
      <c r="P438" s="6" t="s">
        <v>69</v>
      </c>
      <c r="Q438" s="6" t="str">
        <f aca="false">IF(P438="pass","No","Yes")</f>
        <v>No</v>
      </c>
      <c r="R438" s="6" t="s">
        <v>60</v>
      </c>
      <c r="S438" s="6"/>
      <c r="T438" s="6"/>
      <c r="U438" s="23" t="n">
        <v>85.159</v>
      </c>
      <c r="V438" s="6" t="s">
        <v>5665</v>
      </c>
      <c r="W438" s="6" t="s">
        <v>5666</v>
      </c>
      <c r="X438" s="6" t="s">
        <v>5667</v>
      </c>
      <c r="Y438" s="6" t="s">
        <v>60</v>
      </c>
      <c r="Z438" s="6" t="n">
        <v>0</v>
      </c>
      <c r="AA438" s="6" t="n">
        <v>0</v>
      </c>
      <c r="AB438" s="6" t="n">
        <v>0</v>
      </c>
      <c r="AC438" s="6" t="n">
        <v>0</v>
      </c>
      <c r="AD438" s="6" t="n">
        <v>0</v>
      </c>
      <c r="AE438" s="6" t="n">
        <v>0</v>
      </c>
      <c r="AF438" s="6" t="n">
        <v>0</v>
      </c>
      <c r="AG438" s="6" t="n">
        <v>0</v>
      </c>
      <c r="AH438" s="6" t="n">
        <v>0</v>
      </c>
      <c r="AI438" s="6" t="s">
        <v>84</v>
      </c>
    </row>
    <row r="439" customFormat="false" ht="15" hidden="false" customHeight="false" outlineLevel="0" collapsed="false">
      <c r="A439" s="6" t="n">
        <v>438</v>
      </c>
      <c r="B439" s="6" t="s">
        <v>5668</v>
      </c>
      <c r="C439" s="6" t="n">
        <v>9</v>
      </c>
      <c r="D439" s="6" t="s">
        <v>77</v>
      </c>
      <c r="E439" s="6" t="s">
        <v>81</v>
      </c>
      <c r="F439" s="6" t="n">
        <v>4</v>
      </c>
      <c r="G439" s="6" t="n">
        <v>370</v>
      </c>
      <c r="H439" s="6" t="s">
        <v>5669</v>
      </c>
      <c r="I439" s="22" t="n">
        <v>4955600</v>
      </c>
      <c r="J439" s="22" t="n">
        <v>4000</v>
      </c>
      <c r="K439" s="22" t="n">
        <v>371970</v>
      </c>
      <c r="L439" s="22" t="n">
        <v>5331570</v>
      </c>
      <c r="M439" s="6" t="s">
        <v>927</v>
      </c>
      <c r="N439" s="6" t="s">
        <v>58</v>
      </c>
      <c r="O439" s="6"/>
      <c r="P439" s="6" t="s">
        <v>59</v>
      </c>
      <c r="Q439" s="6" t="str">
        <f aca="false">IF(P439="pass","No","Yes")</f>
        <v>Yes</v>
      </c>
      <c r="R439" s="6" t="s">
        <v>60</v>
      </c>
      <c r="S439" s="6" t="s">
        <v>915</v>
      </c>
      <c r="T439" s="6" t="s">
        <v>5670</v>
      </c>
      <c r="U439" s="23" t="n">
        <v>105.79</v>
      </c>
      <c r="V439" s="6" t="s">
        <v>5671</v>
      </c>
      <c r="W439" s="6" t="s">
        <v>5672</v>
      </c>
      <c r="X439" s="6" t="s">
        <v>5673</v>
      </c>
      <c r="Y439" s="6" t="s">
        <v>60</v>
      </c>
      <c r="Z439" s="6" t="n">
        <v>0</v>
      </c>
      <c r="AA439" s="6" t="n">
        <v>0</v>
      </c>
      <c r="AB439" s="6" t="n">
        <v>0</v>
      </c>
      <c r="AC439" s="6" t="n">
        <v>0</v>
      </c>
      <c r="AD439" s="6" t="n">
        <v>0</v>
      </c>
      <c r="AE439" s="6" t="n">
        <v>0</v>
      </c>
      <c r="AF439" s="6" t="n">
        <v>0</v>
      </c>
      <c r="AG439" s="6" t="n">
        <v>0</v>
      </c>
      <c r="AH439" s="6" t="n">
        <v>1</v>
      </c>
      <c r="AI439" s="6" t="s">
        <v>84</v>
      </c>
    </row>
    <row r="440" customFormat="false" ht="15" hidden="false" customHeight="false" outlineLevel="0" collapsed="false">
      <c r="A440" s="6" t="n">
        <v>439</v>
      </c>
      <c r="B440" s="6" t="s">
        <v>5674</v>
      </c>
      <c r="C440" s="6" t="n">
        <v>9</v>
      </c>
      <c r="D440" s="6" t="s">
        <v>51</v>
      </c>
      <c r="E440" s="6" t="s">
        <v>55</v>
      </c>
      <c r="F440" s="6" t="n">
        <v>2</v>
      </c>
      <c r="G440" s="6" t="n">
        <v>160</v>
      </c>
      <c r="H440" s="6" t="s">
        <v>5675</v>
      </c>
      <c r="I440" s="22" t="n">
        <v>1947500</v>
      </c>
      <c r="J440" s="22" t="n">
        <v>6000</v>
      </c>
      <c r="K440" s="22" t="n">
        <v>146512.5</v>
      </c>
      <c r="L440" s="22" t="n">
        <v>2100012.5</v>
      </c>
      <c r="M440" s="6" t="s">
        <v>57</v>
      </c>
      <c r="N440" s="6" t="s">
        <v>58</v>
      </c>
      <c r="O440" s="6"/>
      <c r="P440" s="6" t="s">
        <v>59</v>
      </c>
      <c r="Q440" s="6" t="str">
        <f aca="false">IF(P440="pass","No","Yes")</f>
        <v>Yes</v>
      </c>
      <c r="R440" s="6" t="s">
        <v>60</v>
      </c>
      <c r="S440" s="6" t="s">
        <v>915</v>
      </c>
      <c r="T440" s="6" t="s">
        <v>5676</v>
      </c>
      <c r="U440" s="23" t="n">
        <v>66.172</v>
      </c>
      <c r="V440" s="6" t="s">
        <v>5677</v>
      </c>
      <c r="W440" s="6" t="s">
        <v>5678</v>
      </c>
      <c r="X440" s="6" t="s">
        <v>5679</v>
      </c>
      <c r="Y440" s="6" t="s">
        <v>60</v>
      </c>
      <c r="Z440" s="6" t="n">
        <v>0</v>
      </c>
      <c r="AA440" s="6" t="n">
        <v>0</v>
      </c>
      <c r="AB440" s="6" t="n">
        <v>0</v>
      </c>
      <c r="AC440" s="6" t="n">
        <v>0</v>
      </c>
      <c r="AD440" s="6" t="n">
        <v>0</v>
      </c>
      <c r="AE440" s="6" t="n">
        <v>0</v>
      </c>
      <c r="AF440" s="6" t="n">
        <v>0</v>
      </c>
      <c r="AG440" s="6" t="n">
        <v>0</v>
      </c>
      <c r="AH440" s="6" t="n">
        <v>1</v>
      </c>
      <c r="AI440" s="6" t="s">
        <v>84</v>
      </c>
    </row>
    <row r="441" customFormat="false" ht="15" hidden="false" customHeight="false" outlineLevel="0" collapsed="false">
      <c r="A441" s="6" t="n">
        <v>440</v>
      </c>
      <c r="B441" s="6" t="s">
        <v>5680</v>
      </c>
      <c r="C441" s="6" t="n">
        <v>9</v>
      </c>
      <c r="D441" s="6" t="s">
        <v>186</v>
      </c>
      <c r="E441" s="6" t="s">
        <v>123</v>
      </c>
      <c r="F441" s="6" t="n">
        <v>2</v>
      </c>
      <c r="G441" s="6" t="n">
        <v>259</v>
      </c>
      <c r="H441" s="6" t="s">
        <v>5681</v>
      </c>
      <c r="I441" s="22" t="n">
        <v>2905500</v>
      </c>
      <c r="J441" s="22" t="n">
        <v>5000</v>
      </c>
      <c r="K441" s="22" t="n">
        <v>218287.5</v>
      </c>
      <c r="L441" s="22" t="n">
        <v>3128787.5</v>
      </c>
      <c r="M441" s="6" t="s">
        <v>927</v>
      </c>
      <c r="N441" s="6" t="s">
        <v>58</v>
      </c>
      <c r="O441" s="6"/>
      <c r="P441" s="6" t="s">
        <v>69</v>
      </c>
      <c r="Q441" s="6" t="str">
        <f aca="false">IF(P441="pass","No","Yes")</f>
        <v>No</v>
      </c>
      <c r="R441" s="6" t="s">
        <v>60</v>
      </c>
      <c r="S441" s="6"/>
      <c r="T441" s="6"/>
      <c r="U441" s="23" t="n">
        <v>63.069</v>
      </c>
      <c r="V441" s="6" t="s">
        <v>5682</v>
      </c>
      <c r="W441" s="6" t="s">
        <v>5683</v>
      </c>
      <c r="X441" s="6" t="s">
        <v>5684</v>
      </c>
      <c r="Y441" s="6" t="s">
        <v>60</v>
      </c>
      <c r="Z441" s="6" t="n">
        <v>0</v>
      </c>
      <c r="AA441" s="6" t="n">
        <v>0</v>
      </c>
      <c r="AB441" s="6" t="n">
        <v>0</v>
      </c>
      <c r="AC441" s="6" t="n">
        <v>0</v>
      </c>
      <c r="AD441" s="6" t="n">
        <v>0</v>
      </c>
      <c r="AE441" s="6" t="n">
        <v>0</v>
      </c>
      <c r="AF441" s="6" t="n">
        <v>0</v>
      </c>
      <c r="AG441" s="6" t="n">
        <v>0</v>
      </c>
      <c r="AH441" s="6" t="n">
        <v>0</v>
      </c>
      <c r="AI441" s="6" t="s">
        <v>84</v>
      </c>
    </row>
    <row r="442" customFormat="false" ht="15" hidden="false" customHeight="false" outlineLevel="0" collapsed="false">
      <c r="A442" s="6" t="n">
        <v>441</v>
      </c>
      <c r="B442" s="6" t="s">
        <v>5685</v>
      </c>
      <c r="C442" s="6" t="n">
        <v>9</v>
      </c>
      <c r="D442" s="6" t="s">
        <v>119</v>
      </c>
      <c r="E442" s="6" t="s">
        <v>123</v>
      </c>
      <c r="F442" s="6" t="n">
        <v>4</v>
      </c>
      <c r="G442" s="6" t="n">
        <v>153</v>
      </c>
      <c r="H442" s="6" t="s">
        <v>5686</v>
      </c>
      <c r="I442" s="22" t="n">
        <v>2218500</v>
      </c>
      <c r="J442" s="22" t="n">
        <v>5000</v>
      </c>
      <c r="K442" s="22" t="n">
        <v>166762.5</v>
      </c>
      <c r="L442" s="22" t="n">
        <v>2390262.5</v>
      </c>
      <c r="M442" s="6" t="s">
        <v>1009</v>
      </c>
      <c r="N442" s="6" t="s">
        <v>58</v>
      </c>
      <c r="O442" s="6"/>
      <c r="P442" s="6" t="s">
        <v>69</v>
      </c>
      <c r="Q442" s="6" t="str">
        <f aca="false">IF(P442="pass","No","Yes")</f>
        <v>No</v>
      </c>
      <c r="R442" s="6" t="s">
        <v>60</v>
      </c>
      <c r="S442" s="6"/>
      <c r="T442" s="6"/>
      <c r="U442" s="23" t="n">
        <v>88.009</v>
      </c>
      <c r="V442" s="6" t="s">
        <v>5687</v>
      </c>
      <c r="W442" s="6" t="s">
        <v>5688</v>
      </c>
      <c r="X442" s="6" t="s">
        <v>5689</v>
      </c>
      <c r="Y442" s="6" t="s">
        <v>60</v>
      </c>
      <c r="Z442" s="6" t="n">
        <v>0</v>
      </c>
      <c r="AA442" s="6" t="n">
        <v>0</v>
      </c>
      <c r="AB442" s="6" t="n">
        <v>0</v>
      </c>
      <c r="AC442" s="6" t="n">
        <v>0</v>
      </c>
      <c r="AD442" s="6" t="n">
        <v>0</v>
      </c>
      <c r="AE442" s="6" t="n">
        <v>0</v>
      </c>
      <c r="AF442" s="6" t="n">
        <v>0</v>
      </c>
      <c r="AG442" s="6" t="n">
        <v>0</v>
      </c>
      <c r="AH442" s="6" t="n">
        <v>0</v>
      </c>
      <c r="AI442" s="6" t="s">
        <v>84</v>
      </c>
    </row>
    <row r="443" customFormat="false" ht="15" hidden="false" customHeight="false" outlineLevel="0" collapsed="false">
      <c r="A443" s="6" t="n">
        <v>442</v>
      </c>
      <c r="B443" s="6" t="s">
        <v>5690</v>
      </c>
      <c r="C443" s="6" t="n">
        <v>9</v>
      </c>
      <c r="D443" s="6" t="s">
        <v>89</v>
      </c>
      <c r="E443" s="6" t="s">
        <v>67</v>
      </c>
      <c r="F443" s="6" t="n">
        <v>2</v>
      </c>
      <c r="G443" s="6" t="n">
        <v>1535</v>
      </c>
      <c r="H443" s="6" t="s">
        <v>5691</v>
      </c>
      <c r="I443" s="22" t="n">
        <v>11679200</v>
      </c>
      <c r="J443" s="22" t="n">
        <v>4500</v>
      </c>
      <c r="K443" s="22" t="n">
        <v>876277.5</v>
      </c>
      <c r="L443" s="22" t="n">
        <v>12559977.5</v>
      </c>
      <c r="M443" s="6" t="s">
        <v>159</v>
      </c>
      <c r="N443" s="6" t="s">
        <v>84</v>
      </c>
      <c r="O443" s="6" t="s">
        <v>886</v>
      </c>
      <c r="P443" s="6" t="s">
        <v>85</v>
      </c>
      <c r="Q443" s="6" t="str">
        <f aca="false">IF(P443="pass","No","Yes")</f>
        <v>Yes</v>
      </c>
      <c r="R443" s="6" t="s">
        <v>86</v>
      </c>
      <c r="S443" s="6" t="s">
        <v>992</v>
      </c>
      <c r="T443" s="6" t="s">
        <v>5692</v>
      </c>
      <c r="U443" s="23" t="n">
        <v>59.907</v>
      </c>
      <c r="V443" s="6" t="s">
        <v>5693</v>
      </c>
      <c r="W443" s="6" t="s">
        <v>5694</v>
      </c>
      <c r="X443" s="6" t="s">
        <v>5695</v>
      </c>
      <c r="Y443" s="6" t="s">
        <v>86</v>
      </c>
      <c r="Z443" s="6" t="n">
        <v>0</v>
      </c>
      <c r="AA443" s="6" t="n">
        <v>0</v>
      </c>
      <c r="AB443" s="6" t="n">
        <v>1</v>
      </c>
      <c r="AC443" s="6" t="n">
        <v>1</v>
      </c>
      <c r="AD443" s="6" t="n">
        <v>0</v>
      </c>
      <c r="AE443" s="6" t="n">
        <v>0</v>
      </c>
      <c r="AF443" s="6" t="n">
        <v>0</v>
      </c>
      <c r="AG443" s="6" t="n">
        <v>0</v>
      </c>
      <c r="AH443" s="6" t="n">
        <v>1</v>
      </c>
      <c r="AI443" s="6" t="s">
        <v>84</v>
      </c>
    </row>
    <row r="444" customFormat="false" ht="15" hidden="false" customHeight="false" outlineLevel="0" collapsed="false">
      <c r="A444" s="6" t="n">
        <v>443</v>
      </c>
      <c r="B444" s="6" t="s">
        <v>5696</v>
      </c>
      <c r="C444" s="6" t="n">
        <v>9</v>
      </c>
      <c r="D444" s="6" t="s">
        <v>198</v>
      </c>
      <c r="E444" s="6" t="s">
        <v>81</v>
      </c>
      <c r="F444" s="6" t="n">
        <v>2</v>
      </c>
      <c r="G444" s="6" t="n">
        <v>4</v>
      </c>
      <c r="H444" s="6" t="s">
        <v>5697</v>
      </c>
      <c r="I444" s="22" t="n">
        <v>152000</v>
      </c>
      <c r="J444" s="22" t="n">
        <v>4000</v>
      </c>
      <c r="K444" s="22" t="n">
        <v>11700</v>
      </c>
      <c r="L444" s="22" t="n">
        <v>167700</v>
      </c>
      <c r="M444" s="6" t="s">
        <v>272</v>
      </c>
      <c r="N444" s="6" t="s">
        <v>84</v>
      </c>
      <c r="O444" s="6" t="s">
        <v>879</v>
      </c>
      <c r="P444" s="6" t="s">
        <v>85</v>
      </c>
      <c r="Q444" s="6" t="str">
        <f aca="false">IF(P444="pass","No","Yes")</f>
        <v>Yes</v>
      </c>
      <c r="R444" s="6" t="s">
        <v>86</v>
      </c>
      <c r="S444" s="6" t="s">
        <v>879</v>
      </c>
      <c r="T444" s="6" t="s">
        <v>5698</v>
      </c>
      <c r="U444" s="23" t="n">
        <v>29.827</v>
      </c>
      <c r="V444" s="6" t="s">
        <v>5699</v>
      </c>
      <c r="W444" s="6" t="s">
        <v>5700</v>
      </c>
      <c r="X444" s="6" t="s">
        <v>5701</v>
      </c>
      <c r="Y444" s="6" t="s">
        <v>86</v>
      </c>
      <c r="Z444" s="6" t="n">
        <v>0</v>
      </c>
      <c r="AA444" s="6" t="n">
        <v>1</v>
      </c>
      <c r="AB444" s="6" t="n">
        <v>0</v>
      </c>
      <c r="AC444" s="6" t="n">
        <v>0</v>
      </c>
      <c r="AD444" s="6" t="n">
        <v>0</v>
      </c>
      <c r="AE444" s="6" t="n">
        <v>0</v>
      </c>
      <c r="AF444" s="6" t="n">
        <v>0</v>
      </c>
      <c r="AG444" s="6" t="n">
        <v>0</v>
      </c>
      <c r="AH444" s="6" t="n">
        <v>0</v>
      </c>
      <c r="AI444" s="6" t="s">
        <v>84</v>
      </c>
    </row>
    <row r="445" customFormat="false" ht="15" hidden="false" customHeight="false" outlineLevel="0" collapsed="false">
      <c r="A445" s="6" t="n">
        <v>444</v>
      </c>
      <c r="B445" s="6" t="s">
        <v>5702</v>
      </c>
      <c r="C445" s="6" t="n">
        <v>9</v>
      </c>
      <c r="D445" s="6" t="s">
        <v>127</v>
      </c>
      <c r="E445" s="6" t="s">
        <v>55</v>
      </c>
      <c r="F445" s="6" t="n">
        <v>1</v>
      </c>
      <c r="G445" s="6" t="n">
        <v>110</v>
      </c>
      <c r="H445" s="6" t="s">
        <v>5703</v>
      </c>
      <c r="I445" s="22" t="n">
        <v>1045000</v>
      </c>
      <c r="J445" s="22" t="n">
        <v>6000</v>
      </c>
      <c r="K445" s="22" t="n">
        <v>78825</v>
      </c>
      <c r="L445" s="22" t="n">
        <v>1129825</v>
      </c>
      <c r="M445" s="6" t="s">
        <v>57</v>
      </c>
      <c r="N445" s="6" t="s">
        <v>58</v>
      </c>
      <c r="O445" s="6"/>
      <c r="P445" s="6" t="s">
        <v>69</v>
      </c>
      <c r="Q445" s="6" t="str">
        <f aca="false">IF(P445="pass","No","Yes")</f>
        <v>No</v>
      </c>
      <c r="R445" s="6" t="s">
        <v>60</v>
      </c>
      <c r="S445" s="6"/>
      <c r="T445" s="6"/>
      <c r="U445" s="23" t="n">
        <v>43.217</v>
      </c>
      <c r="V445" s="6" t="s">
        <v>5704</v>
      </c>
      <c r="W445" s="6" t="s">
        <v>5705</v>
      </c>
      <c r="X445" s="6" t="s">
        <v>5706</v>
      </c>
      <c r="Y445" s="6" t="s">
        <v>60</v>
      </c>
      <c r="Z445" s="6" t="n">
        <v>0</v>
      </c>
      <c r="AA445" s="6" t="n">
        <v>0</v>
      </c>
      <c r="AB445" s="6" t="n">
        <v>0</v>
      </c>
      <c r="AC445" s="6" t="n">
        <v>0</v>
      </c>
      <c r="AD445" s="6" t="n">
        <v>0</v>
      </c>
      <c r="AE445" s="6" t="n">
        <v>0</v>
      </c>
      <c r="AF445" s="6" t="n">
        <v>0</v>
      </c>
      <c r="AG445" s="6" t="n">
        <v>0</v>
      </c>
      <c r="AH445" s="6" t="n">
        <v>0</v>
      </c>
      <c r="AI445" s="6" t="s">
        <v>84</v>
      </c>
    </row>
    <row r="446" customFormat="false" ht="15" hidden="false" customHeight="false" outlineLevel="0" collapsed="false">
      <c r="A446" s="6" t="n">
        <v>445</v>
      </c>
      <c r="B446" s="6" t="s">
        <v>5707</v>
      </c>
      <c r="C446" s="6" t="n">
        <v>9</v>
      </c>
      <c r="D446" s="6" t="s">
        <v>213</v>
      </c>
      <c r="E446" s="6" t="s">
        <v>67</v>
      </c>
      <c r="F446" s="6" t="n">
        <v>3</v>
      </c>
      <c r="G446" s="6" t="n">
        <v>146</v>
      </c>
      <c r="H446" s="6" t="s">
        <v>5708</v>
      </c>
      <c r="I446" s="22" t="n">
        <v>1990400</v>
      </c>
      <c r="J446" s="22" t="n">
        <v>4500</v>
      </c>
      <c r="K446" s="22" t="n">
        <v>149617.5</v>
      </c>
      <c r="L446" s="22" t="n">
        <v>2144517.5</v>
      </c>
      <c r="M446" s="6" t="s">
        <v>57</v>
      </c>
      <c r="N446" s="6" t="s">
        <v>58</v>
      </c>
      <c r="O446" s="6"/>
      <c r="P446" s="6" t="s">
        <v>69</v>
      </c>
      <c r="Q446" s="6" t="str">
        <f aca="false">IF(P446="pass","No","Yes")</f>
        <v>No</v>
      </c>
      <c r="R446" s="6" t="s">
        <v>60</v>
      </c>
      <c r="S446" s="6"/>
      <c r="T446" s="6"/>
      <c r="U446" s="23" t="n">
        <v>70.019</v>
      </c>
      <c r="V446" s="6" t="s">
        <v>5709</v>
      </c>
      <c r="W446" s="6" t="s">
        <v>5710</v>
      </c>
      <c r="X446" s="6" t="s">
        <v>5711</v>
      </c>
      <c r="Y446" s="6" t="s">
        <v>60</v>
      </c>
      <c r="Z446" s="6" t="n">
        <v>0</v>
      </c>
      <c r="AA446" s="6" t="n">
        <v>0</v>
      </c>
      <c r="AB446" s="6" t="n">
        <v>0</v>
      </c>
      <c r="AC446" s="6" t="n">
        <v>0</v>
      </c>
      <c r="AD446" s="6" t="n">
        <v>0</v>
      </c>
      <c r="AE446" s="6" t="n">
        <v>0</v>
      </c>
      <c r="AF446" s="6" t="n">
        <v>0</v>
      </c>
      <c r="AG446" s="6" t="n">
        <v>0</v>
      </c>
      <c r="AH446" s="6" t="n">
        <v>0</v>
      </c>
      <c r="AI446" s="6" t="s">
        <v>84</v>
      </c>
    </row>
    <row r="447" customFormat="false" ht="15" hidden="false" customHeight="false" outlineLevel="0" collapsed="false">
      <c r="A447" s="6" t="n">
        <v>446</v>
      </c>
      <c r="B447" s="6" t="s">
        <v>5712</v>
      </c>
      <c r="C447" s="6" t="n">
        <v>9</v>
      </c>
      <c r="D447" s="6" t="s">
        <v>186</v>
      </c>
      <c r="E447" s="6" t="s">
        <v>123</v>
      </c>
      <c r="F447" s="6" t="n">
        <v>2</v>
      </c>
      <c r="G447" s="6" t="n">
        <v>109</v>
      </c>
      <c r="H447" s="6" t="s">
        <v>5713</v>
      </c>
      <c r="I447" s="22" t="n">
        <v>1486000</v>
      </c>
      <c r="J447" s="22" t="n">
        <v>5000</v>
      </c>
      <c r="K447" s="22" t="n">
        <v>111825</v>
      </c>
      <c r="L447" s="22" t="n">
        <v>1602825</v>
      </c>
      <c r="M447" s="6" t="s">
        <v>94</v>
      </c>
      <c r="N447" s="6" t="s">
        <v>84</v>
      </c>
      <c r="O447" s="6" t="s">
        <v>909</v>
      </c>
      <c r="P447" s="6" t="s">
        <v>85</v>
      </c>
      <c r="Q447" s="6" t="str">
        <f aca="false">IF(P447="pass","No","Yes")</f>
        <v>Yes</v>
      </c>
      <c r="R447" s="6" t="s">
        <v>86</v>
      </c>
      <c r="S447" s="6" t="s">
        <v>909</v>
      </c>
      <c r="T447" s="6" t="s">
        <v>254</v>
      </c>
      <c r="U447" s="23" t="n">
        <v>48.648</v>
      </c>
      <c r="V447" s="6" t="s">
        <v>5714</v>
      </c>
      <c r="W447" s="6" t="s">
        <v>5715</v>
      </c>
      <c r="X447" s="6" t="s">
        <v>5716</v>
      </c>
      <c r="Y447" s="6" t="s">
        <v>86</v>
      </c>
      <c r="Z447" s="6" t="n">
        <v>0</v>
      </c>
      <c r="AA447" s="6" t="n">
        <v>0</v>
      </c>
      <c r="AB447" s="6" t="n">
        <v>0</v>
      </c>
      <c r="AC447" s="6" t="n">
        <v>0</v>
      </c>
      <c r="AD447" s="6" t="n">
        <v>0</v>
      </c>
      <c r="AE447" s="6" t="n">
        <v>0</v>
      </c>
      <c r="AF447" s="6" t="n">
        <v>1</v>
      </c>
      <c r="AG447" s="6" t="n">
        <v>0</v>
      </c>
      <c r="AH447" s="6" t="n">
        <v>0</v>
      </c>
      <c r="AI447" s="6" t="s">
        <v>84</v>
      </c>
    </row>
    <row r="448" customFormat="false" ht="15" hidden="false" customHeight="false" outlineLevel="0" collapsed="false">
      <c r="A448" s="6" t="n">
        <v>447</v>
      </c>
      <c r="B448" s="6" t="s">
        <v>5717</v>
      </c>
      <c r="C448" s="6" t="n">
        <v>9</v>
      </c>
      <c r="D448" s="6" t="s">
        <v>191</v>
      </c>
      <c r="E448" s="6" t="s">
        <v>116</v>
      </c>
      <c r="F448" s="6" t="n">
        <v>2</v>
      </c>
      <c r="G448" s="6" t="n">
        <v>309</v>
      </c>
      <c r="H448" s="6" t="s">
        <v>5718</v>
      </c>
      <c r="I448" s="22" t="n">
        <v>3855800</v>
      </c>
      <c r="J448" s="22" t="n">
        <v>15000</v>
      </c>
      <c r="K448" s="22" t="n">
        <v>290310</v>
      </c>
      <c r="L448" s="22" t="n">
        <v>4161110</v>
      </c>
      <c r="M448" s="6" t="s">
        <v>171</v>
      </c>
      <c r="N448" s="6" t="s">
        <v>84</v>
      </c>
      <c r="O448" s="6" t="s">
        <v>892</v>
      </c>
      <c r="P448" s="6" t="s">
        <v>85</v>
      </c>
      <c r="Q448" s="6" t="str">
        <f aca="false">IF(P448="pass","No","Yes")</f>
        <v>Yes</v>
      </c>
      <c r="R448" s="6" t="s">
        <v>86</v>
      </c>
      <c r="S448" s="6" t="s">
        <v>893</v>
      </c>
      <c r="T448" s="6" t="s">
        <v>5719</v>
      </c>
      <c r="U448" s="23" t="n">
        <v>45.814</v>
      </c>
      <c r="V448" s="6" t="s">
        <v>5720</v>
      </c>
      <c r="W448" s="6" t="s">
        <v>5721</v>
      </c>
      <c r="X448" s="6" t="s">
        <v>5722</v>
      </c>
      <c r="Y448" s="6" t="s">
        <v>86</v>
      </c>
      <c r="Z448" s="6" t="n">
        <v>0</v>
      </c>
      <c r="AA448" s="6" t="n">
        <v>0</v>
      </c>
      <c r="AB448" s="6" t="n">
        <v>0</v>
      </c>
      <c r="AC448" s="6" t="n">
        <v>1</v>
      </c>
      <c r="AD448" s="6" t="n">
        <v>0</v>
      </c>
      <c r="AE448" s="6" t="n">
        <v>0</v>
      </c>
      <c r="AF448" s="6" t="n">
        <v>0</v>
      </c>
      <c r="AG448" s="6" t="n">
        <v>0</v>
      </c>
      <c r="AH448" s="6" t="n">
        <v>1</v>
      </c>
      <c r="AI448" s="6" t="s">
        <v>84</v>
      </c>
    </row>
    <row r="449" customFormat="false" ht="15" hidden="false" customHeight="false" outlineLevel="0" collapsed="false">
      <c r="A449" s="6" t="n">
        <v>448</v>
      </c>
      <c r="B449" s="6" t="s">
        <v>5723</v>
      </c>
      <c r="C449" s="6" t="n">
        <v>9</v>
      </c>
      <c r="D449" s="6" t="s">
        <v>137</v>
      </c>
      <c r="E449" s="6" t="s">
        <v>55</v>
      </c>
      <c r="F449" s="6" t="n">
        <v>3</v>
      </c>
      <c r="G449" s="6" t="n">
        <v>143</v>
      </c>
      <c r="H449" s="6" t="s">
        <v>5724</v>
      </c>
      <c r="I449" s="22" t="n">
        <v>1448200</v>
      </c>
      <c r="J449" s="22" t="n">
        <v>6000</v>
      </c>
      <c r="K449" s="22" t="n">
        <v>109065</v>
      </c>
      <c r="L449" s="22" t="n">
        <v>1563265</v>
      </c>
      <c r="M449" s="6" t="s">
        <v>984</v>
      </c>
      <c r="N449" s="6" t="s">
        <v>84</v>
      </c>
      <c r="O449" s="6" t="s">
        <v>985</v>
      </c>
      <c r="P449" s="6" t="s">
        <v>85</v>
      </c>
      <c r="Q449" s="6" t="str">
        <f aca="false">IF(P449="pass","No","Yes")</f>
        <v>Yes</v>
      </c>
      <c r="R449" s="6" t="s">
        <v>86</v>
      </c>
      <c r="S449" s="6" t="s">
        <v>1885</v>
      </c>
      <c r="T449" s="6" t="s">
        <v>5725</v>
      </c>
      <c r="U449" s="23" t="n">
        <v>82.821</v>
      </c>
      <c r="V449" s="6" t="s">
        <v>5726</v>
      </c>
      <c r="W449" s="6" t="s">
        <v>5727</v>
      </c>
      <c r="X449" s="6" t="s">
        <v>5728</v>
      </c>
      <c r="Y449" s="6" t="s">
        <v>86</v>
      </c>
      <c r="Z449" s="6" t="n">
        <v>0</v>
      </c>
      <c r="AA449" s="6" t="n">
        <v>0</v>
      </c>
      <c r="AB449" s="6" t="n">
        <v>0</v>
      </c>
      <c r="AC449" s="6" t="n">
        <v>0</v>
      </c>
      <c r="AD449" s="6" t="n">
        <v>0</v>
      </c>
      <c r="AE449" s="6" t="n">
        <v>1</v>
      </c>
      <c r="AF449" s="6" t="n">
        <v>0</v>
      </c>
      <c r="AG449" s="6" t="n">
        <v>0</v>
      </c>
      <c r="AH449" s="6" t="n">
        <v>1</v>
      </c>
      <c r="AI449" s="6" t="s">
        <v>84</v>
      </c>
    </row>
    <row r="450" customFormat="false" ht="15" hidden="false" customHeight="false" outlineLevel="0" collapsed="false">
      <c r="A450" s="6" t="n">
        <v>449</v>
      </c>
      <c r="B450" s="6" t="s">
        <v>5729</v>
      </c>
      <c r="C450" s="6" t="n">
        <v>9</v>
      </c>
      <c r="D450" s="6" t="s">
        <v>100</v>
      </c>
      <c r="E450" s="6" t="s">
        <v>67</v>
      </c>
      <c r="F450" s="6" t="n">
        <v>2</v>
      </c>
      <c r="G450" s="6" t="n">
        <v>129</v>
      </c>
      <c r="H450" s="6" t="s">
        <v>5730</v>
      </c>
      <c r="I450" s="22" t="n">
        <v>1225500</v>
      </c>
      <c r="J450" s="22" t="n">
        <v>4500</v>
      </c>
      <c r="K450" s="22" t="n">
        <v>92250</v>
      </c>
      <c r="L450" s="22" t="n">
        <v>1322250</v>
      </c>
      <c r="M450" s="6" t="s">
        <v>272</v>
      </c>
      <c r="N450" s="6" t="s">
        <v>84</v>
      </c>
      <c r="O450" s="6" t="s">
        <v>879</v>
      </c>
      <c r="P450" s="6" t="s">
        <v>85</v>
      </c>
      <c r="Q450" s="6" t="str">
        <f aca="false">IF(P450="pass","No","Yes")</f>
        <v>Yes</v>
      </c>
      <c r="R450" s="6" t="s">
        <v>86</v>
      </c>
      <c r="S450" s="6" t="s">
        <v>879</v>
      </c>
      <c r="T450" s="6" t="s">
        <v>5731</v>
      </c>
      <c r="U450" s="23" t="n">
        <v>43.918</v>
      </c>
      <c r="V450" s="6" t="s">
        <v>5732</v>
      </c>
      <c r="W450" s="6" t="s">
        <v>5733</v>
      </c>
      <c r="X450" s="6" t="s">
        <v>5734</v>
      </c>
      <c r="Y450" s="6" t="s">
        <v>86</v>
      </c>
      <c r="Z450" s="6" t="n">
        <v>0</v>
      </c>
      <c r="AA450" s="6" t="n">
        <v>1</v>
      </c>
      <c r="AB450" s="6" t="n">
        <v>0</v>
      </c>
      <c r="AC450" s="6" t="n">
        <v>0</v>
      </c>
      <c r="AD450" s="6" t="n">
        <v>0</v>
      </c>
      <c r="AE450" s="6" t="n">
        <v>0</v>
      </c>
      <c r="AF450" s="6" t="n">
        <v>0</v>
      </c>
      <c r="AG450" s="6" t="n">
        <v>0</v>
      </c>
      <c r="AH450" s="6" t="n">
        <v>0</v>
      </c>
      <c r="AI450" s="6" t="s">
        <v>84</v>
      </c>
    </row>
    <row r="451" customFormat="false" ht="15" hidden="false" customHeight="false" outlineLevel="0" collapsed="false">
      <c r="A451" s="6" t="n">
        <v>450</v>
      </c>
      <c r="B451" s="6" t="s">
        <v>5735</v>
      </c>
      <c r="C451" s="6" t="n">
        <v>9</v>
      </c>
      <c r="D451" s="6" t="s">
        <v>77</v>
      </c>
      <c r="E451" s="6" t="s">
        <v>81</v>
      </c>
      <c r="F451" s="6" t="n">
        <v>1</v>
      </c>
      <c r="G451" s="6" t="n">
        <v>17</v>
      </c>
      <c r="H451" s="6" t="s">
        <v>1928</v>
      </c>
      <c r="I451" s="22" t="n">
        <v>646000</v>
      </c>
      <c r="J451" s="22" t="n">
        <v>4000</v>
      </c>
      <c r="K451" s="22" t="n">
        <v>48750</v>
      </c>
      <c r="L451" s="22" t="n">
        <v>698750</v>
      </c>
      <c r="M451" s="6" t="s">
        <v>57</v>
      </c>
      <c r="N451" s="6" t="s">
        <v>58</v>
      </c>
      <c r="O451" s="6"/>
      <c r="P451" s="6" t="s">
        <v>69</v>
      </c>
      <c r="Q451" s="6" t="str">
        <f aca="false">IF(P451="pass","No","Yes")</f>
        <v>No</v>
      </c>
      <c r="R451" s="6" t="s">
        <v>60</v>
      </c>
      <c r="S451" s="6"/>
      <c r="T451" s="6"/>
      <c r="U451" s="23" t="n">
        <v>31.198</v>
      </c>
      <c r="V451" s="6" t="s">
        <v>5736</v>
      </c>
      <c r="W451" s="6" t="s">
        <v>5737</v>
      </c>
      <c r="X451" s="6" t="s">
        <v>5738</v>
      </c>
      <c r="Y451" s="6" t="s">
        <v>60</v>
      </c>
      <c r="Z451" s="6" t="n">
        <v>0</v>
      </c>
      <c r="AA451" s="6" t="n">
        <v>0</v>
      </c>
      <c r="AB451" s="6" t="n">
        <v>0</v>
      </c>
      <c r="AC451" s="6" t="n">
        <v>0</v>
      </c>
      <c r="AD451" s="6" t="n">
        <v>0</v>
      </c>
      <c r="AE451" s="6" t="n">
        <v>0</v>
      </c>
      <c r="AF451" s="6" t="n">
        <v>0</v>
      </c>
      <c r="AG451" s="6" t="n">
        <v>0</v>
      </c>
      <c r="AH451" s="6" t="n">
        <v>0</v>
      </c>
      <c r="AI451" s="6" t="s">
        <v>84</v>
      </c>
    </row>
    <row r="452" customFormat="false" ht="15" hidden="false" customHeight="false" outlineLevel="0" collapsed="false">
      <c r="A452" s="6" t="n">
        <v>451</v>
      </c>
      <c r="B452" s="6" t="s">
        <v>5739</v>
      </c>
      <c r="C452" s="6" t="n">
        <v>10</v>
      </c>
      <c r="D452" s="6" t="s">
        <v>51</v>
      </c>
      <c r="E452" s="6" t="s">
        <v>55</v>
      </c>
      <c r="F452" s="6" t="n">
        <v>4</v>
      </c>
      <c r="G452" s="6" t="n">
        <v>152</v>
      </c>
      <c r="H452" s="6" t="s">
        <v>5740</v>
      </c>
      <c r="I452" s="22" t="n">
        <v>1751300</v>
      </c>
      <c r="J452" s="22" t="n">
        <v>6000</v>
      </c>
      <c r="K452" s="22" t="n">
        <v>131797.5</v>
      </c>
      <c r="L452" s="22" t="n">
        <v>1889097.5</v>
      </c>
      <c r="M452" s="6" t="s">
        <v>83</v>
      </c>
      <c r="N452" s="6" t="s">
        <v>84</v>
      </c>
      <c r="O452" s="6" t="s">
        <v>886</v>
      </c>
      <c r="P452" s="6" t="s">
        <v>85</v>
      </c>
      <c r="Q452" s="6" t="str">
        <f aca="false">IF(P452="pass","No","Yes")</f>
        <v>Yes</v>
      </c>
      <c r="R452" s="6" t="s">
        <v>86</v>
      </c>
      <c r="S452" s="6" t="s">
        <v>886</v>
      </c>
      <c r="T452" s="6" t="s">
        <v>517</v>
      </c>
      <c r="U452" s="23" t="n">
        <v>99.238</v>
      </c>
      <c r="V452" s="6" t="s">
        <v>5741</v>
      </c>
      <c r="W452" s="6" t="s">
        <v>5742</v>
      </c>
      <c r="X452" s="6" t="s">
        <v>5743</v>
      </c>
      <c r="Y452" s="6" t="s">
        <v>86</v>
      </c>
      <c r="Z452" s="6" t="n">
        <v>0</v>
      </c>
      <c r="AA452" s="6" t="n">
        <v>0</v>
      </c>
      <c r="AB452" s="6" t="n">
        <v>1</v>
      </c>
      <c r="AC452" s="6" t="n">
        <v>0</v>
      </c>
      <c r="AD452" s="6" t="n">
        <v>0</v>
      </c>
      <c r="AE452" s="6" t="n">
        <v>0</v>
      </c>
      <c r="AF452" s="6" t="n">
        <v>0</v>
      </c>
      <c r="AG452" s="6" t="n">
        <v>0</v>
      </c>
      <c r="AH452" s="6" t="n">
        <v>0</v>
      </c>
      <c r="AI452" s="6" t="s">
        <v>84</v>
      </c>
    </row>
    <row r="453" customFormat="false" ht="15" hidden="false" customHeight="false" outlineLevel="0" collapsed="false">
      <c r="A453" s="6" t="n">
        <v>452</v>
      </c>
      <c r="B453" s="6" t="s">
        <v>5744</v>
      </c>
      <c r="C453" s="6" t="n">
        <v>10</v>
      </c>
      <c r="D453" s="6" t="s">
        <v>77</v>
      </c>
      <c r="E453" s="6" t="s">
        <v>81</v>
      </c>
      <c r="F453" s="6" t="n">
        <v>1</v>
      </c>
      <c r="G453" s="6" t="n">
        <v>17</v>
      </c>
      <c r="H453" s="6" t="s">
        <v>1928</v>
      </c>
      <c r="I453" s="22" t="n">
        <v>646000</v>
      </c>
      <c r="J453" s="22" t="n">
        <v>4000</v>
      </c>
      <c r="K453" s="22" t="n">
        <v>48750</v>
      </c>
      <c r="L453" s="22" t="n">
        <v>698750</v>
      </c>
      <c r="M453" s="6" t="s">
        <v>97</v>
      </c>
      <c r="N453" s="6" t="s">
        <v>84</v>
      </c>
      <c r="O453" s="6" t="s">
        <v>1185</v>
      </c>
      <c r="P453" s="6" t="s">
        <v>59</v>
      </c>
      <c r="Q453" s="6" t="str">
        <f aca="false">IF(P453="pass","No","Yes")</f>
        <v>Yes</v>
      </c>
      <c r="R453" s="6" t="s">
        <v>98</v>
      </c>
      <c r="S453" s="6" t="s">
        <v>1185</v>
      </c>
      <c r="T453" s="6" t="s">
        <v>5745</v>
      </c>
      <c r="U453" s="23" t="n">
        <v>28.682</v>
      </c>
      <c r="V453" s="6" t="s">
        <v>5746</v>
      </c>
      <c r="W453" s="6"/>
      <c r="X453" s="6" t="s">
        <v>5746</v>
      </c>
      <c r="Y453" s="6" t="s">
        <v>98</v>
      </c>
      <c r="Z453" s="6" t="n">
        <v>0</v>
      </c>
      <c r="AA453" s="6" t="n">
        <v>0</v>
      </c>
      <c r="AB453" s="6" t="n">
        <v>0</v>
      </c>
      <c r="AC453" s="6" t="n">
        <v>0</v>
      </c>
      <c r="AD453" s="6" t="n">
        <v>0</v>
      </c>
      <c r="AE453" s="6" t="n">
        <v>0</v>
      </c>
      <c r="AF453" s="6" t="n">
        <v>0</v>
      </c>
      <c r="AG453" s="6" t="n">
        <v>1</v>
      </c>
      <c r="AH453" s="6" t="n">
        <v>0</v>
      </c>
      <c r="AI453" s="6" t="s">
        <v>84</v>
      </c>
    </row>
    <row r="454" customFormat="false" ht="15" hidden="false" customHeight="false" outlineLevel="0" collapsed="false">
      <c r="A454" s="6" t="n">
        <v>453</v>
      </c>
      <c r="B454" s="6" t="s">
        <v>5747</v>
      </c>
      <c r="C454" s="6" t="n">
        <v>10</v>
      </c>
      <c r="D454" s="6" t="s">
        <v>63</v>
      </c>
      <c r="E454" s="6" t="s">
        <v>67</v>
      </c>
      <c r="F454" s="6" t="n">
        <v>1</v>
      </c>
      <c r="G454" s="6" t="n">
        <v>2</v>
      </c>
      <c r="H454" s="6" t="s">
        <v>959</v>
      </c>
      <c r="I454" s="22" t="n">
        <v>8200</v>
      </c>
      <c r="J454" s="22" t="n">
        <v>4500</v>
      </c>
      <c r="K454" s="22" t="n">
        <v>952.5</v>
      </c>
      <c r="L454" s="22" t="n">
        <v>13652.5</v>
      </c>
      <c r="M454" s="6" t="s">
        <v>94</v>
      </c>
      <c r="N454" s="6" t="s">
        <v>84</v>
      </c>
      <c r="O454" s="6" t="s">
        <v>909</v>
      </c>
      <c r="P454" s="6" t="s">
        <v>85</v>
      </c>
      <c r="Q454" s="6" t="str">
        <f aca="false">IF(P454="pass","No","Yes")</f>
        <v>Yes</v>
      </c>
      <c r="R454" s="6" t="s">
        <v>86</v>
      </c>
      <c r="S454" s="6" t="s">
        <v>909</v>
      </c>
      <c r="T454" s="6" t="s">
        <v>254</v>
      </c>
      <c r="U454" s="23" t="n">
        <v>28.514</v>
      </c>
      <c r="V454" s="6" t="s">
        <v>5748</v>
      </c>
      <c r="W454" s="6" t="s">
        <v>5749</v>
      </c>
      <c r="X454" s="6" t="s">
        <v>5750</v>
      </c>
      <c r="Y454" s="6" t="s">
        <v>86</v>
      </c>
      <c r="Z454" s="6" t="n">
        <v>0</v>
      </c>
      <c r="AA454" s="6" t="n">
        <v>0</v>
      </c>
      <c r="AB454" s="6" t="n">
        <v>0</v>
      </c>
      <c r="AC454" s="6" t="n">
        <v>0</v>
      </c>
      <c r="AD454" s="6" t="n">
        <v>0</v>
      </c>
      <c r="AE454" s="6" t="n">
        <v>0</v>
      </c>
      <c r="AF454" s="6" t="n">
        <v>1</v>
      </c>
      <c r="AG454" s="6" t="n">
        <v>0</v>
      </c>
      <c r="AH454" s="6" t="n">
        <v>0</v>
      </c>
      <c r="AI454" s="6" t="s">
        <v>84</v>
      </c>
    </row>
    <row r="455" customFormat="false" ht="15" hidden="false" customHeight="false" outlineLevel="0" collapsed="false">
      <c r="A455" s="6" t="n">
        <v>454</v>
      </c>
      <c r="B455" s="6" t="s">
        <v>5751</v>
      </c>
      <c r="C455" s="6" t="n">
        <v>10</v>
      </c>
      <c r="D455" s="6" t="s">
        <v>191</v>
      </c>
      <c r="E455" s="6" t="s">
        <v>116</v>
      </c>
      <c r="F455" s="6" t="n">
        <v>3</v>
      </c>
      <c r="G455" s="6" t="n">
        <v>1727</v>
      </c>
      <c r="H455" s="6" t="s">
        <v>5752</v>
      </c>
      <c r="I455" s="22" t="n">
        <v>12978500</v>
      </c>
      <c r="J455" s="22" t="n">
        <v>15000</v>
      </c>
      <c r="K455" s="22" t="n">
        <v>974512.5</v>
      </c>
      <c r="L455" s="22" t="n">
        <v>13968012.5</v>
      </c>
      <c r="M455" s="6" t="s">
        <v>159</v>
      </c>
      <c r="N455" s="6" t="s">
        <v>84</v>
      </c>
      <c r="O455" s="6" t="s">
        <v>886</v>
      </c>
      <c r="P455" s="6" t="s">
        <v>85</v>
      </c>
      <c r="Q455" s="6" t="str">
        <f aca="false">IF(P455="pass","No","Yes")</f>
        <v>Yes</v>
      </c>
      <c r="R455" s="6" t="s">
        <v>86</v>
      </c>
      <c r="S455" s="6" t="s">
        <v>992</v>
      </c>
      <c r="T455" s="6" t="s">
        <v>5753</v>
      </c>
      <c r="U455" s="23" t="n">
        <v>98.345</v>
      </c>
      <c r="V455" s="6" t="s">
        <v>5754</v>
      </c>
      <c r="W455" s="6" t="s">
        <v>5755</v>
      </c>
      <c r="X455" s="6" t="s">
        <v>5756</v>
      </c>
      <c r="Y455" s="6" t="s">
        <v>86</v>
      </c>
      <c r="Z455" s="6" t="n">
        <v>0</v>
      </c>
      <c r="AA455" s="6" t="n">
        <v>0</v>
      </c>
      <c r="AB455" s="6" t="n">
        <v>1</v>
      </c>
      <c r="AC455" s="6" t="n">
        <v>1</v>
      </c>
      <c r="AD455" s="6" t="n">
        <v>0</v>
      </c>
      <c r="AE455" s="6" t="n">
        <v>0</v>
      </c>
      <c r="AF455" s="6" t="n">
        <v>0</v>
      </c>
      <c r="AG455" s="6" t="n">
        <v>0</v>
      </c>
      <c r="AH455" s="6" t="n">
        <v>1</v>
      </c>
      <c r="AI455" s="6" t="s">
        <v>84</v>
      </c>
    </row>
    <row r="456" customFormat="false" ht="15" hidden="false" customHeight="false" outlineLevel="0" collapsed="false">
      <c r="A456" s="6" t="n">
        <v>455</v>
      </c>
      <c r="B456" s="6" t="s">
        <v>5757</v>
      </c>
      <c r="C456" s="6" t="n">
        <v>10</v>
      </c>
      <c r="D456" s="6" t="s">
        <v>213</v>
      </c>
      <c r="E456" s="6" t="s">
        <v>67</v>
      </c>
      <c r="F456" s="6" t="n">
        <v>3</v>
      </c>
      <c r="G456" s="6" t="n">
        <v>100</v>
      </c>
      <c r="H456" s="6" t="s">
        <v>5758</v>
      </c>
      <c r="I456" s="22" t="n">
        <v>874000</v>
      </c>
      <c r="J456" s="22" t="n">
        <v>4500</v>
      </c>
      <c r="K456" s="22" t="n">
        <v>65887.5</v>
      </c>
      <c r="L456" s="22" t="n">
        <v>944387.5</v>
      </c>
      <c r="M456" s="6" t="s">
        <v>94</v>
      </c>
      <c r="N456" s="6" t="s">
        <v>84</v>
      </c>
      <c r="O456" s="6" t="s">
        <v>909</v>
      </c>
      <c r="P456" s="6" t="s">
        <v>85</v>
      </c>
      <c r="Q456" s="6" t="str">
        <f aca="false">IF(P456="pass","No","Yes")</f>
        <v>Yes</v>
      </c>
      <c r="R456" s="6" t="s">
        <v>86</v>
      </c>
      <c r="S456" s="6" t="s">
        <v>909</v>
      </c>
      <c r="T456" s="6" t="s">
        <v>254</v>
      </c>
      <c r="U456" s="23" t="n">
        <v>85.532</v>
      </c>
      <c r="V456" s="6" t="s">
        <v>5759</v>
      </c>
      <c r="W456" s="6" t="s">
        <v>5760</v>
      </c>
      <c r="X456" s="6" t="s">
        <v>5761</v>
      </c>
      <c r="Y456" s="6" t="s">
        <v>86</v>
      </c>
      <c r="Z456" s="6" t="n">
        <v>0</v>
      </c>
      <c r="AA456" s="6" t="n">
        <v>0</v>
      </c>
      <c r="AB456" s="6" t="n">
        <v>0</v>
      </c>
      <c r="AC456" s="6" t="n">
        <v>0</v>
      </c>
      <c r="AD456" s="6" t="n">
        <v>0</v>
      </c>
      <c r="AE456" s="6" t="n">
        <v>0</v>
      </c>
      <c r="AF456" s="6" t="n">
        <v>1</v>
      </c>
      <c r="AG456" s="6" t="n">
        <v>0</v>
      </c>
      <c r="AH456" s="6" t="n">
        <v>0</v>
      </c>
      <c r="AI456" s="6" t="s">
        <v>84</v>
      </c>
    </row>
    <row r="457" customFormat="false" ht="15" hidden="false" customHeight="false" outlineLevel="0" collapsed="false">
      <c r="A457" s="6" t="n">
        <v>456</v>
      </c>
      <c r="B457" s="6" t="s">
        <v>5762</v>
      </c>
      <c r="C457" s="6" t="n">
        <v>10</v>
      </c>
      <c r="D457" s="6" t="s">
        <v>112</v>
      </c>
      <c r="E457" s="6" t="s">
        <v>116</v>
      </c>
      <c r="F457" s="6" t="n">
        <v>3</v>
      </c>
      <c r="G457" s="6" t="n">
        <v>101</v>
      </c>
      <c r="H457" s="6" t="s">
        <v>5763</v>
      </c>
      <c r="I457" s="22" t="n">
        <v>987600</v>
      </c>
      <c r="J457" s="22" t="n">
        <v>15000</v>
      </c>
      <c r="K457" s="22" t="n">
        <v>75195</v>
      </c>
      <c r="L457" s="22" t="n">
        <v>1077795</v>
      </c>
      <c r="M457" s="6" t="s">
        <v>960</v>
      </c>
      <c r="N457" s="6" t="s">
        <v>84</v>
      </c>
      <c r="O457" s="6" t="s">
        <v>961</v>
      </c>
      <c r="P457" s="6" t="s">
        <v>85</v>
      </c>
      <c r="Q457" s="6" t="str">
        <f aca="false">IF(P457="pass","No","Yes")</f>
        <v>Yes</v>
      </c>
      <c r="R457" s="6" t="s">
        <v>86</v>
      </c>
      <c r="S457" s="6" t="s">
        <v>961</v>
      </c>
      <c r="T457" s="6" t="s">
        <v>962</v>
      </c>
      <c r="U457" s="23" t="n">
        <v>90.695</v>
      </c>
      <c r="V457" s="6" t="s">
        <v>5764</v>
      </c>
      <c r="W457" s="6" t="s">
        <v>5765</v>
      </c>
      <c r="X457" s="6" t="s">
        <v>5766</v>
      </c>
      <c r="Y457" s="6" t="s">
        <v>86</v>
      </c>
      <c r="Z457" s="6" t="n">
        <v>0</v>
      </c>
      <c r="AA457" s="6" t="n">
        <v>0</v>
      </c>
      <c r="AB457" s="6" t="n">
        <v>0</v>
      </c>
      <c r="AC457" s="6" t="n">
        <v>0</v>
      </c>
      <c r="AD457" s="6" t="n">
        <v>1</v>
      </c>
      <c r="AE457" s="6" t="n">
        <v>0</v>
      </c>
      <c r="AF457" s="6" t="n">
        <v>0</v>
      </c>
      <c r="AG457" s="6" t="n">
        <v>0</v>
      </c>
      <c r="AH457" s="6" t="n">
        <v>0</v>
      </c>
      <c r="AI457" s="6" t="s">
        <v>84</v>
      </c>
    </row>
    <row r="458" customFormat="false" ht="15" hidden="false" customHeight="false" outlineLevel="0" collapsed="false">
      <c r="A458" s="6" t="n">
        <v>457</v>
      </c>
      <c r="B458" s="6" t="s">
        <v>5767</v>
      </c>
      <c r="C458" s="6" t="n">
        <v>10</v>
      </c>
      <c r="D458" s="6" t="s">
        <v>77</v>
      </c>
      <c r="E458" s="6" t="s">
        <v>81</v>
      </c>
      <c r="F458" s="6" t="n">
        <v>1</v>
      </c>
      <c r="G458" s="6" t="n">
        <v>17</v>
      </c>
      <c r="H458" s="6" t="s">
        <v>1928</v>
      </c>
      <c r="I458" s="22" t="n">
        <v>646000</v>
      </c>
      <c r="J458" s="22" t="n">
        <v>4000</v>
      </c>
      <c r="K458" s="22" t="n">
        <v>48750</v>
      </c>
      <c r="L458" s="22" t="n">
        <v>698750</v>
      </c>
      <c r="M458" s="6" t="s">
        <v>97</v>
      </c>
      <c r="N458" s="6" t="s">
        <v>84</v>
      </c>
      <c r="O458" s="6" t="s">
        <v>1185</v>
      </c>
      <c r="P458" s="6" t="s">
        <v>59</v>
      </c>
      <c r="Q458" s="6" t="str">
        <f aca="false">IF(P458="pass","No","Yes")</f>
        <v>Yes</v>
      </c>
      <c r="R458" s="6" t="s">
        <v>98</v>
      </c>
      <c r="S458" s="6" t="s">
        <v>1185</v>
      </c>
      <c r="T458" s="6" t="s">
        <v>5745</v>
      </c>
      <c r="U458" s="23" t="n">
        <v>40.709</v>
      </c>
      <c r="V458" s="6" t="s">
        <v>5768</v>
      </c>
      <c r="W458" s="6"/>
      <c r="X458" s="6" t="s">
        <v>5768</v>
      </c>
      <c r="Y458" s="6" t="s">
        <v>98</v>
      </c>
      <c r="Z458" s="6" t="n">
        <v>0</v>
      </c>
      <c r="AA458" s="6" t="n">
        <v>0</v>
      </c>
      <c r="AB458" s="6" t="n">
        <v>0</v>
      </c>
      <c r="AC458" s="6" t="n">
        <v>0</v>
      </c>
      <c r="AD458" s="6" t="n">
        <v>0</v>
      </c>
      <c r="AE458" s="6" t="n">
        <v>0</v>
      </c>
      <c r="AF458" s="6" t="n">
        <v>0</v>
      </c>
      <c r="AG458" s="6" t="n">
        <v>1</v>
      </c>
      <c r="AH458" s="6" t="n">
        <v>0</v>
      </c>
      <c r="AI458" s="6" t="s">
        <v>84</v>
      </c>
    </row>
    <row r="459" customFormat="false" ht="15" hidden="false" customHeight="false" outlineLevel="0" collapsed="false">
      <c r="A459" s="6" t="n">
        <v>458</v>
      </c>
      <c r="B459" s="6" t="s">
        <v>5769</v>
      </c>
      <c r="C459" s="6" t="n">
        <v>10</v>
      </c>
      <c r="D459" s="6" t="s">
        <v>237</v>
      </c>
      <c r="E459" s="6" t="s">
        <v>116</v>
      </c>
      <c r="F459" s="6" t="n">
        <v>1</v>
      </c>
      <c r="G459" s="6" t="n">
        <v>2</v>
      </c>
      <c r="H459" s="6" t="s">
        <v>959</v>
      </c>
      <c r="I459" s="22" t="n">
        <v>8200</v>
      </c>
      <c r="J459" s="22" t="n">
        <v>15000</v>
      </c>
      <c r="K459" s="22" t="n">
        <v>1740</v>
      </c>
      <c r="L459" s="22" t="n">
        <v>24940</v>
      </c>
      <c r="M459" s="6" t="s">
        <v>1042</v>
      </c>
      <c r="N459" s="6" t="s">
        <v>58</v>
      </c>
      <c r="O459" s="6"/>
      <c r="P459" s="6" t="s">
        <v>69</v>
      </c>
      <c r="Q459" s="6" t="str">
        <f aca="false">IF(P459="pass","No","Yes")</f>
        <v>No</v>
      </c>
      <c r="R459" s="6" t="s">
        <v>60</v>
      </c>
      <c r="S459" s="6"/>
      <c r="T459" s="6"/>
      <c r="U459" s="23" t="n">
        <v>28.652</v>
      </c>
      <c r="V459" s="6" t="s">
        <v>5770</v>
      </c>
      <c r="W459" s="6" t="s">
        <v>5771</v>
      </c>
      <c r="X459" s="6" t="s">
        <v>5772</v>
      </c>
      <c r="Y459" s="6" t="s">
        <v>60</v>
      </c>
      <c r="Z459" s="6" t="n">
        <v>0</v>
      </c>
      <c r="AA459" s="6" t="n">
        <v>0</v>
      </c>
      <c r="AB459" s="6" t="n">
        <v>0</v>
      </c>
      <c r="AC459" s="6" t="n">
        <v>0</v>
      </c>
      <c r="AD459" s="6" t="n">
        <v>0</v>
      </c>
      <c r="AE459" s="6" t="n">
        <v>0</v>
      </c>
      <c r="AF459" s="6" t="n">
        <v>0</v>
      </c>
      <c r="AG459" s="6" t="n">
        <v>0</v>
      </c>
      <c r="AH459" s="6" t="n">
        <v>0</v>
      </c>
      <c r="AI459" s="6" t="s">
        <v>84</v>
      </c>
    </row>
    <row r="460" customFormat="false" ht="15" hidden="false" customHeight="false" outlineLevel="0" collapsed="false">
      <c r="A460" s="6" t="n">
        <v>459</v>
      </c>
      <c r="B460" s="6" t="s">
        <v>5773</v>
      </c>
      <c r="C460" s="6" t="n">
        <v>10</v>
      </c>
      <c r="D460" s="6" t="s">
        <v>198</v>
      </c>
      <c r="E460" s="6" t="s">
        <v>81</v>
      </c>
      <c r="F460" s="6" t="n">
        <v>3</v>
      </c>
      <c r="G460" s="6" t="n">
        <v>171</v>
      </c>
      <c r="H460" s="6" t="s">
        <v>5774</v>
      </c>
      <c r="I460" s="22" t="n">
        <v>2473100</v>
      </c>
      <c r="J460" s="22" t="n">
        <v>4000</v>
      </c>
      <c r="K460" s="22" t="n">
        <v>185782.5</v>
      </c>
      <c r="L460" s="22" t="n">
        <v>2662882.5</v>
      </c>
      <c r="M460" s="6" t="s">
        <v>224</v>
      </c>
      <c r="N460" s="6" t="s">
        <v>84</v>
      </c>
      <c r="O460" s="6" t="s">
        <v>866</v>
      </c>
      <c r="P460" s="6" t="s">
        <v>85</v>
      </c>
      <c r="Q460" s="6" t="str">
        <f aca="false">IF(P460="pass","No","Yes")</f>
        <v>Yes</v>
      </c>
      <c r="R460" s="6" t="s">
        <v>86</v>
      </c>
      <c r="S460" s="6" t="s">
        <v>866</v>
      </c>
      <c r="T460" s="6" t="s">
        <v>225</v>
      </c>
      <c r="U460" s="23" t="n">
        <v>69.591</v>
      </c>
      <c r="V460" s="6" t="s">
        <v>5775</v>
      </c>
      <c r="W460" s="6" t="s">
        <v>5776</v>
      </c>
      <c r="X460" s="6" t="s">
        <v>5777</v>
      </c>
      <c r="Y460" s="6" t="s">
        <v>86</v>
      </c>
      <c r="Z460" s="6" t="n">
        <v>1</v>
      </c>
      <c r="AA460" s="6" t="n">
        <v>0</v>
      </c>
      <c r="AB460" s="6" t="n">
        <v>0</v>
      </c>
      <c r="AC460" s="6" t="n">
        <v>0</v>
      </c>
      <c r="AD460" s="6" t="n">
        <v>0</v>
      </c>
      <c r="AE460" s="6" t="n">
        <v>0</v>
      </c>
      <c r="AF460" s="6" t="n">
        <v>0</v>
      </c>
      <c r="AG460" s="6" t="n">
        <v>0</v>
      </c>
      <c r="AH460" s="6" t="n">
        <v>0</v>
      </c>
      <c r="AI460" s="6" t="s">
        <v>58</v>
      </c>
    </row>
    <row r="461" customFormat="false" ht="15" hidden="false" customHeight="false" outlineLevel="0" collapsed="false">
      <c r="A461" s="6" t="n">
        <v>460</v>
      </c>
      <c r="B461" s="6" t="s">
        <v>5778</v>
      </c>
      <c r="C461" s="6" t="n">
        <v>10</v>
      </c>
      <c r="D461" s="6" t="s">
        <v>127</v>
      </c>
      <c r="E461" s="6" t="s">
        <v>55</v>
      </c>
      <c r="F461" s="6" t="n">
        <v>4</v>
      </c>
      <c r="G461" s="6" t="n">
        <v>873</v>
      </c>
      <c r="H461" s="6" t="s">
        <v>5779</v>
      </c>
      <c r="I461" s="22" t="n">
        <v>8783500</v>
      </c>
      <c r="J461" s="22" t="n">
        <v>6000</v>
      </c>
      <c r="K461" s="22" t="n">
        <v>659212.5</v>
      </c>
      <c r="L461" s="22" t="n">
        <v>9448712.5</v>
      </c>
      <c r="M461" s="6" t="s">
        <v>171</v>
      </c>
      <c r="N461" s="6" t="s">
        <v>84</v>
      </c>
      <c r="O461" s="6" t="s">
        <v>892</v>
      </c>
      <c r="P461" s="6" t="s">
        <v>85</v>
      </c>
      <c r="Q461" s="6" t="str">
        <f aca="false">IF(P461="pass","No","Yes")</f>
        <v>Yes</v>
      </c>
      <c r="R461" s="6" t="s">
        <v>86</v>
      </c>
      <c r="S461" s="6" t="s">
        <v>893</v>
      </c>
      <c r="T461" s="6" t="s">
        <v>5780</v>
      </c>
      <c r="U461" s="23" t="n">
        <v>106.568</v>
      </c>
      <c r="V461" s="6" t="s">
        <v>5781</v>
      </c>
      <c r="W461" s="6" t="s">
        <v>5782</v>
      </c>
      <c r="X461" s="6" t="s">
        <v>5783</v>
      </c>
      <c r="Y461" s="6" t="s">
        <v>86</v>
      </c>
      <c r="Z461" s="6" t="n">
        <v>0</v>
      </c>
      <c r="AA461" s="6" t="n">
        <v>0</v>
      </c>
      <c r="AB461" s="6" t="n">
        <v>0</v>
      </c>
      <c r="AC461" s="6" t="n">
        <v>1</v>
      </c>
      <c r="AD461" s="6" t="n">
        <v>0</v>
      </c>
      <c r="AE461" s="6" t="n">
        <v>0</v>
      </c>
      <c r="AF461" s="6" t="n">
        <v>0</v>
      </c>
      <c r="AG461" s="6" t="n">
        <v>0</v>
      </c>
      <c r="AH461" s="6" t="n">
        <v>1</v>
      </c>
      <c r="AI461" s="6" t="s">
        <v>84</v>
      </c>
    </row>
    <row r="462" customFormat="false" ht="15" hidden="false" customHeight="false" outlineLevel="0" collapsed="false">
      <c r="A462" s="6" t="n">
        <v>461</v>
      </c>
      <c r="B462" s="6" t="s">
        <v>5784</v>
      </c>
      <c r="C462" s="6" t="n">
        <v>10</v>
      </c>
      <c r="D462" s="6" t="s">
        <v>127</v>
      </c>
      <c r="E462" s="6" t="s">
        <v>55</v>
      </c>
      <c r="F462" s="6" t="n">
        <v>2</v>
      </c>
      <c r="G462" s="6" t="n">
        <v>1052</v>
      </c>
      <c r="H462" s="6" t="s">
        <v>5785</v>
      </c>
      <c r="I462" s="22" t="n">
        <v>12489200</v>
      </c>
      <c r="J462" s="22" t="n">
        <v>6000</v>
      </c>
      <c r="K462" s="22" t="n">
        <v>937140</v>
      </c>
      <c r="L462" s="22" t="n">
        <v>13432340</v>
      </c>
      <c r="M462" s="6" t="s">
        <v>159</v>
      </c>
      <c r="N462" s="6" t="s">
        <v>84</v>
      </c>
      <c r="O462" s="6" t="s">
        <v>886</v>
      </c>
      <c r="P462" s="6" t="s">
        <v>85</v>
      </c>
      <c r="Q462" s="6" t="str">
        <f aca="false">IF(P462="pass","No","Yes")</f>
        <v>Yes</v>
      </c>
      <c r="R462" s="6" t="s">
        <v>86</v>
      </c>
      <c r="S462" s="6" t="s">
        <v>934</v>
      </c>
      <c r="T462" s="6" t="s">
        <v>197</v>
      </c>
      <c r="U462" s="23" t="n">
        <v>53.073</v>
      </c>
      <c r="V462" s="6" t="s">
        <v>5786</v>
      </c>
      <c r="W462" s="6" t="s">
        <v>5787</v>
      </c>
      <c r="X462" s="6" t="s">
        <v>5788</v>
      </c>
      <c r="Y462" s="6" t="s">
        <v>86</v>
      </c>
      <c r="Z462" s="6" t="n">
        <v>0</v>
      </c>
      <c r="AA462" s="6" t="n">
        <v>0</v>
      </c>
      <c r="AB462" s="6" t="n">
        <v>1</v>
      </c>
      <c r="AC462" s="6" t="n">
        <v>1</v>
      </c>
      <c r="AD462" s="6" t="n">
        <v>0</v>
      </c>
      <c r="AE462" s="6" t="n">
        <v>0</v>
      </c>
      <c r="AF462" s="6" t="n">
        <v>0</v>
      </c>
      <c r="AG462" s="6" t="n">
        <v>0</v>
      </c>
      <c r="AH462" s="6" t="n">
        <v>0</v>
      </c>
      <c r="AI462" s="6" t="s">
        <v>84</v>
      </c>
    </row>
    <row r="463" customFormat="false" ht="15" hidden="false" customHeight="false" outlineLevel="0" collapsed="false">
      <c r="A463" s="6" t="n">
        <v>462</v>
      </c>
      <c r="B463" s="6" t="s">
        <v>5789</v>
      </c>
      <c r="C463" s="6" t="n">
        <v>10</v>
      </c>
      <c r="D463" s="6" t="s">
        <v>77</v>
      </c>
      <c r="E463" s="6" t="s">
        <v>81</v>
      </c>
      <c r="F463" s="6" t="n">
        <v>1</v>
      </c>
      <c r="G463" s="6" t="n">
        <v>13</v>
      </c>
      <c r="H463" s="6" t="s">
        <v>5790</v>
      </c>
      <c r="I463" s="22" t="n">
        <v>111800</v>
      </c>
      <c r="J463" s="22" t="n">
        <v>4000</v>
      </c>
      <c r="K463" s="22" t="n">
        <v>8685</v>
      </c>
      <c r="L463" s="22" t="n">
        <v>124485</v>
      </c>
      <c r="M463" s="6" t="s">
        <v>57</v>
      </c>
      <c r="N463" s="6" t="s">
        <v>58</v>
      </c>
      <c r="O463" s="6"/>
      <c r="P463" s="6" t="s">
        <v>69</v>
      </c>
      <c r="Q463" s="6" t="str">
        <f aca="false">IF(P463="pass","No","Yes")</f>
        <v>No</v>
      </c>
      <c r="R463" s="6" t="s">
        <v>60</v>
      </c>
      <c r="S463" s="6"/>
      <c r="T463" s="6"/>
      <c r="U463" s="23" t="n">
        <v>32.379</v>
      </c>
      <c r="V463" s="6" t="s">
        <v>5791</v>
      </c>
      <c r="W463" s="6" t="s">
        <v>5792</v>
      </c>
      <c r="X463" s="6" t="s">
        <v>5793</v>
      </c>
      <c r="Y463" s="6" t="s">
        <v>60</v>
      </c>
      <c r="Z463" s="6" t="n">
        <v>0</v>
      </c>
      <c r="AA463" s="6" t="n">
        <v>0</v>
      </c>
      <c r="AB463" s="6" t="n">
        <v>0</v>
      </c>
      <c r="AC463" s="6" t="n">
        <v>0</v>
      </c>
      <c r="AD463" s="6" t="n">
        <v>0</v>
      </c>
      <c r="AE463" s="6" t="n">
        <v>0</v>
      </c>
      <c r="AF463" s="6" t="n">
        <v>0</v>
      </c>
      <c r="AG463" s="6" t="n">
        <v>0</v>
      </c>
      <c r="AH463" s="6" t="n">
        <v>0</v>
      </c>
      <c r="AI463" s="6" t="s">
        <v>84</v>
      </c>
    </row>
    <row r="464" customFormat="false" ht="15" hidden="false" customHeight="false" outlineLevel="0" collapsed="false">
      <c r="A464" s="6" t="n">
        <v>463</v>
      </c>
      <c r="B464" s="6" t="s">
        <v>5794</v>
      </c>
      <c r="C464" s="6" t="n">
        <v>10</v>
      </c>
      <c r="D464" s="6" t="s">
        <v>63</v>
      </c>
      <c r="E464" s="6" t="s">
        <v>67</v>
      </c>
      <c r="F464" s="6" t="n">
        <v>3</v>
      </c>
      <c r="G464" s="6" t="n">
        <v>104</v>
      </c>
      <c r="H464" s="6" t="s">
        <v>5795</v>
      </c>
      <c r="I464" s="22" t="n">
        <v>1114900</v>
      </c>
      <c r="J464" s="22" t="n">
        <v>4500</v>
      </c>
      <c r="K464" s="22" t="n">
        <v>83955</v>
      </c>
      <c r="L464" s="22" t="n">
        <v>1203355</v>
      </c>
      <c r="M464" s="6" t="s">
        <v>57</v>
      </c>
      <c r="N464" s="6" t="s">
        <v>58</v>
      </c>
      <c r="O464" s="6"/>
      <c r="P464" s="6" t="s">
        <v>69</v>
      </c>
      <c r="Q464" s="6" t="str">
        <f aca="false">IF(P464="pass","No","Yes")</f>
        <v>No</v>
      </c>
      <c r="R464" s="6" t="s">
        <v>60</v>
      </c>
      <c r="S464" s="6"/>
      <c r="T464" s="6"/>
      <c r="U464" s="23" t="n">
        <v>89.201</v>
      </c>
      <c r="V464" s="6" t="s">
        <v>5796</v>
      </c>
      <c r="W464" s="6" t="s">
        <v>5797</v>
      </c>
      <c r="X464" s="6" t="s">
        <v>5798</v>
      </c>
      <c r="Y464" s="6" t="s">
        <v>60</v>
      </c>
      <c r="Z464" s="6" t="n">
        <v>0</v>
      </c>
      <c r="AA464" s="6" t="n">
        <v>0</v>
      </c>
      <c r="AB464" s="6" t="n">
        <v>0</v>
      </c>
      <c r="AC464" s="6" t="n">
        <v>0</v>
      </c>
      <c r="AD464" s="6" t="n">
        <v>0</v>
      </c>
      <c r="AE464" s="6" t="n">
        <v>0</v>
      </c>
      <c r="AF464" s="6" t="n">
        <v>0</v>
      </c>
      <c r="AG464" s="6" t="n">
        <v>0</v>
      </c>
      <c r="AH464" s="6" t="n">
        <v>0</v>
      </c>
      <c r="AI464" s="6" t="s">
        <v>84</v>
      </c>
    </row>
    <row r="465" customFormat="false" ht="15" hidden="false" customHeight="false" outlineLevel="0" collapsed="false">
      <c r="A465" s="6" t="n">
        <v>464</v>
      </c>
      <c r="B465" s="6" t="s">
        <v>5799</v>
      </c>
      <c r="C465" s="6" t="n">
        <v>10</v>
      </c>
      <c r="D465" s="6" t="s">
        <v>191</v>
      </c>
      <c r="E465" s="6" t="s">
        <v>116</v>
      </c>
      <c r="F465" s="6" t="n">
        <v>3</v>
      </c>
      <c r="G465" s="6" t="n">
        <v>43</v>
      </c>
      <c r="H465" s="6" t="s">
        <v>5800</v>
      </c>
      <c r="I465" s="22" t="n">
        <v>1056200</v>
      </c>
      <c r="J465" s="22" t="n">
        <v>15000</v>
      </c>
      <c r="K465" s="22" t="n">
        <v>80340</v>
      </c>
      <c r="L465" s="22" t="n">
        <v>1151540</v>
      </c>
      <c r="M465" s="6" t="s">
        <v>57</v>
      </c>
      <c r="N465" s="6" t="s">
        <v>58</v>
      </c>
      <c r="O465" s="6"/>
      <c r="P465" s="6" t="s">
        <v>69</v>
      </c>
      <c r="Q465" s="6" t="str">
        <f aca="false">IF(P465="pass","No","Yes")</f>
        <v>No</v>
      </c>
      <c r="R465" s="6" t="s">
        <v>60</v>
      </c>
      <c r="S465" s="6"/>
      <c r="T465" s="6"/>
      <c r="U465" s="23" t="n">
        <v>73.849</v>
      </c>
      <c r="V465" s="6" t="s">
        <v>5801</v>
      </c>
      <c r="W465" s="6" t="s">
        <v>5802</v>
      </c>
      <c r="X465" s="6" t="s">
        <v>5803</v>
      </c>
      <c r="Y465" s="6" t="s">
        <v>60</v>
      </c>
      <c r="Z465" s="6" t="n">
        <v>0</v>
      </c>
      <c r="AA465" s="6" t="n">
        <v>0</v>
      </c>
      <c r="AB465" s="6" t="n">
        <v>0</v>
      </c>
      <c r="AC465" s="6" t="n">
        <v>0</v>
      </c>
      <c r="AD465" s="6" t="n">
        <v>0</v>
      </c>
      <c r="AE465" s="6" t="n">
        <v>0</v>
      </c>
      <c r="AF465" s="6" t="n">
        <v>0</v>
      </c>
      <c r="AG465" s="6" t="n">
        <v>0</v>
      </c>
      <c r="AH465" s="6" t="n">
        <v>0</v>
      </c>
      <c r="AI465" s="6" t="s">
        <v>84</v>
      </c>
    </row>
    <row r="466" customFormat="false" ht="15" hidden="false" customHeight="false" outlineLevel="0" collapsed="false">
      <c r="A466" s="6" t="n">
        <v>465</v>
      </c>
      <c r="B466" s="6" t="s">
        <v>5804</v>
      </c>
      <c r="C466" s="6" t="n">
        <v>10</v>
      </c>
      <c r="D466" s="6" t="s">
        <v>119</v>
      </c>
      <c r="E466" s="6" t="s">
        <v>123</v>
      </c>
      <c r="F466" s="6" t="n">
        <v>2</v>
      </c>
      <c r="G466" s="6" t="n">
        <v>19</v>
      </c>
      <c r="H466" s="6" t="s">
        <v>5805</v>
      </c>
      <c r="I466" s="22" t="n">
        <v>869000</v>
      </c>
      <c r="J466" s="22" t="n">
        <v>5000</v>
      </c>
      <c r="K466" s="22" t="n">
        <v>65550</v>
      </c>
      <c r="L466" s="22" t="n">
        <v>939550</v>
      </c>
      <c r="M466" s="6" t="s">
        <v>132</v>
      </c>
      <c r="N466" s="6" t="s">
        <v>84</v>
      </c>
      <c r="O466" s="6" t="s">
        <v>879</v>
      </c>
      <c r="P466" s="6" t="s">
        <v>85</v>
      </c>
      <c r="Q466" s="6" t="str">
        <f aca="false">IF(P466="pass","No","Yes")</f>
        <v>Yes</v>
      </c>
      <c r="R466" s="6" t="s">
        <v>86</v>
      </c>
      <c r="S466" s="6" t="s">
        <v>880</v>
      </c>
      <c r="T466" s="6" t="s">
        <v>134</v>
      </c>
      <c r="U466" s="23" t="n">
        <v>37.741</v>
      </c>
      <c r="V466" s="6" t="s">
        <v>5806</v>
      </c>
      <c r="W466" s="6" t="s">
        <v>5807</v>
      </c>
      <c r="X466" s="6" t="s">
        <v>5808</v>
      </c>
      <c r="Y466" s="6" t="s">
        <v>86</v>
      </c>
      <c r="Z466" s="6" t="n">
        <v>0</v>
      </c>
      <c r="AA466" s="6" t="n">
        <v>1</v>
      </c>
      <c r="AB466" s="6" t="n">
        <v>0</v>
      </c>
      <c r="AC466" s="6" t="n">
        <v>1</v>
      </c>
      <c r="AD466" s="6" t="n">
        <v>0</v>
      </c>
      <c r="AE466" s="6" t="n">
        <v>0</v>
      </c>
      <c r="AF466" s="6" t="n">
        <v>0</v>
      </c>
      <c r="AG466" s="6" t="n">
        <v>0</v>
      </c>
      <c r="AH466" s="6" t="n">
        <v>0</v>
      </c>
      <c r="AI466" s="6" t="s">
        <v>84</v>
      </c>
    </row>
    <row r="467" customFormat="false" ht="15" hidden="false" customHeight="false" outlineLevel="0" collapsed="false">
      <c r="A467" s="6" t="n">
        <v>466</v>
      </c>
      <c r="B467" s="6" t="s">
        <v>5809</v>
      </c>
      <c r="C467" s="6" t="n">
        <v>10</v>
      </c>
      <c r="D467" s="6" t="s">
        <v>177</v>
      </c>
      <c r="E467" s="6" t="s">
        <v>81</v>
      </c>
      <c r="F467" s="6" t="n">
        <v>1</v>
      </c>
      <c r="G467" s="6" t="n">
        <v>27</v>
      </c>
      <c r="H467" s="6" t="s">
        <v>5810</v>
      </c>
      <c r="I467" s="22" t="n">
        <v>256500</v>
      </c>
      <c r="J467" s="22" t="n">
        <v>4000</v>
      </c>
      <c r="K467" s="22" t="n">
        <v>19537.5</v>
      </c>
      <c r="L467" s="22" t="n">
        <v>280037.5</v>
      </c>
      <c r="M467" s="6" t="s">
        <v>57</v>
      </c>
      <c r="N467" s="6" t="s">
        <v>58</v>
      </c>
      <c r="O467" s="6"/>
      <c r="P467" s="6" t="s">
        <v>69</v>
      </c>
      <c r="Q467" s="6" t="str">
        <f aca="false">IF(P467="pass","No","Yes")</f>
        <v>No</v>
      </c>
      <c r="R467" s="6" t="s">
        <v>60</v>
      </c>
      <c r="S467" s="6"/>
      <c r="T467" s="6"/>
      <c r="U467" s="23" t="n">
        <v>47.023</v>
      </c>
      <c r="V467" s="6" t="s">
        <v>5811</v>
      </c>
      <c r="W467" s="6" t="s">
        <v>5812</v>
      </c>
      <c r="X467" s="6" t="s">
        <v>5813</v>
      </c>
      <c r="Y467" s="6" t="s">
        <v>60</v>
      </c>
      <c r="Z467" s="6" t="n">
        <v>0</v>
      </c>
      <c r="AA467" s="6" t="n">
        <v>0</v>
      </c>
      <c r="AB467" s="6" t="n">
        <v>0</v>
      </c>
      <c r="AC467" s="6" t="n">
        <v>0</v>
      </c>
      <c r="AD467" s="6" t="n">
        <v>0</v>
      </c>
      <c r="AE467" s="6" t="n">
        <v>0</v>
      </c>
      <c r="AF467" s="6" t="n">
        <v>0</v>
      </c>
      <c r="AG467" s="6" t="n">
        <v>0</v>
      </c>
      <c r="AH467" s="6" t="n">
        <v>0</v>
      </c>
      <c r="AI467" s="6" t="s">
        <v>84</v>
      </c>
    </row>
    <row r="468" customFormat="false" ht="15" hidden="false" customHeight="false" outlineLevel="0" collapsed="false">
      <c r="A468" s="6" t="n">
        <v>467</v>
      </c>
      <c r="B468" s="6" t="s">
        <v>5814</v>
      </c>
      <c r="C468" s="6" t="n">
        <v>10</v>
      </c>
      <c r="D468" s="6" t="s">
        <v>142</v>
      </c>
      <c r="E468" s="6" t="s">
        <v>74</v>
      </c>
      <c r="F468" s="6" t="n">
        <v>2</v>
      </c>
      <c r="G468" s="6" t="n">
        <v>73</v>
      </c>
      <c r="H468" s="6" t="s">
        <v>5815</v>
      </c>
      <c r="I468" s="22" t="n">
        <v>587200</v>
      </c>
      <c r="J468" s="22" t="n">
        <v>9000</v>
      </c>
      <c r="K468" s="22" t="n">
        <v>44715</v>
      </c>
      <c r="L468" s="22" t="n">
        <v>640915</v>
      </c>
      <c r="M468" s="6" t="s">
        <v>57</v>
      </c>
      <c r="N468" s="6" t="s">
        <v>58</v>
      </c>
      <c r="O468" s="6"/>
      <c r="P468" s="6" t="s">
        <v>69</v>
      </c>
      <c r="Q468" s="6" t="str">
        <f aca="false">IF(P468="pass","No","Yes")</f>
        <v>No</v>
      </c>
      <c r="R468" s="6" t="s">
        <v>60</v>
      </c>
      <c r="S468" s="6"/>
      <c r="T468" s="6"/>
      <c r="U468" s="23" t="n">
        <v>63.486</v>
      </c>
      <c r="V468" s="6" t="s">
        <v>5816</v>
      </c>
      <c r="W468" s="6" t="s">
        <v>5817</v>
      </c>
      <c r="X468" s="6" t="s">
        <v>5818</v>
      </c>
      <c r="Y468" s="6" t="s">
        <v>60</v>
      </c>
      <c r="Z468" s="6" t="n">
        <v>0</v>
      </c>
      <c r="AA468" s="6" t="n">
        <v>0</v>
      </c>
      <c r="AB468" s="6" t="n">
        <v>0</v>
      </c>
      <c r="AC468" s="6" t="n">
        <v>0</v>
      </c>
      <c r="AD468" s="6" t="n">
        <v>0</v>
      </c>
      <c r="AE468" s="6" t="n">
        <v>0</v>
      </c>
      <c r="AF468" s="6" t="n">
        <v>0</v>
      </c>
      <c r="AG468" s="6" t="n">
        <v>0</v>
      </c>
      <c r="AH468" s="6" t="n">
        <v>0</v>
      </c>
      <c r="AI468" s="6" t="s">
        <v>84</v>
      </c>
    </row>
    <row r="469" customFormat="false" ht="15" hidden="false" customHeight="false" outlineLevel="0" collapsed="false">
      <c r="A469" s="6" t="n">
        <v>468</v>
      </c>
      <c r="B469" s="6" t="s">
        <v>5819</v>
      </c>
      <c r="C469" s="6" t="n">
        <v>10</v>
      </c>
      <c r="D469" s="6" t="s">
        <v>237</v>
      </c>
      <c r="E469" s="6" t="s">
        <v>116</v>
      </c>
      <c r="F469" s="6" t="n">
        <v>3</v>
      </c>
      <c r="G469" s="6" t="n">
        <v>42</v>
      </c>
      <c r="H469" s="6" t="s">
        <v>5820</v>
      </c>
      <c r="I469" s="22" t="n">
        <v>630700</v>
      </c>
      <c r="J469" s="22" t="n">
        <v>15000</v>
      </c>
      <c r="K469" s="22" t="n">
        <v>48427.5</v>
      </c>
      <c r="L469" s="22" t="n">
        <v>694127.5</v>
      </c>
      <c r="M469" s="6" t="s">
        <v>1009</v>
      </c>
      <c r="N469" s="6" t="s">
        <v>58</v>
      </c>
      <c r="O469" s="6"/>
      <c r="P469" s="6" t="s">
        <v>69</v>
      </c>
      <c r="Q469" s="6" t="str">
        <f aca="false">IF(P469="pass","No","Yes")</f>
        <v>No</v>
      </c>
      <c r="R469" s="6" t="s">
        <v>60</v>
      </c>
      <c r="S469" s="6"/>
      <c r="T469" s="6"/>
      <c r="U469" s="23" t="n">
        <v>96.173</v>
      </c>
      <c r="V469" s="6" t="s">
        <v>5821</v>
      </c>
      <c r="W469" s="6" t="s">
        <v>5822</v>
      </c>
      <c r="X469" s="6" t="s">
        <v>5823</v>
      </c>
      <c r="Y469" s="6" t="s">
        <v>60</v>
      </c>
      <c r="Z469" s="6" t="n">
        <v>0</v>
      </c>
      <c r="AA469" s="6" t="n">
        <v>0</v>
      </c>
      <c r="AB469" s="6" t="n">
        <v>0</v>
      </c>
      <c r="AC469" s="6" t="n">
        <v>0</v>
      </c>
      <c r="AD469" s="6" t="n">
        <v>0</v>
      </c>
      <c r="AE469" s="6" t="n">
        <v>0</v>
      </c>
      <c r="AF469" s="6" t="n">
        <v>0</v>
      </c>
      <c r="AG469" s="6" t="n">
        <v>0</v>
      </c>
      <c r="AH469" s="6" t="n">
        <v>0</v>
      </c>
      <c r="AI469" s="6" t="s">
        <v>84</v>
      </c>
    </row>
    <row r="470" customFormat="false" ht="15" hidden="false" customHeight="false" outlineLevel="0" collapsed="false">
      <c r="A470" s="6" t="n">
        <v>469</v>
      </c>
      <c r="B470" s="6" t="s">
        <v>5824</v>
      </c>
      <c r="C470" s="6" t="n">
        <v>10</v>
      </c>
      <c r="D470" s="6" t="s">
        <v>142</v>
      </c>
      <c r="E470" s="6" t="s">
        <v>74</v>
      </c>
      <c r="F470" s="6" t="n">
        <v>2</v>
      </c>
      <c r="G470" s="6" t="n">
        <v>73</v>
      </c>
      <c r="H470" s="6" t="s">
        <v>5815</v>
      </c>
      <c r="I470" s="22" t="n">
        <v>587200</v>
      </c>
      <c r="J470" s="22" t="n">
        <v>9000</v>
      </c>
      <c r="K470" s="22" t="n">
        <v>44715</v>
      </c>
      <c r="L470" s="22" t="n">
        <v>640915</v>
      </c>
      <c r="M470" s="6" t="s">
        <v>97</v>
      </c>
      <c r="N470" s="6" t="s">
        <v>84</v>
      </c>
      <c r="O470" s="6" t="s">
        <v>1185</v>
      </c>
      <c r="P470" s="6" t="s">
        <v>59</v>
      </c>
      <c r="Q470" s="6" t="str">
        <f aca="false">IF(P470="pass","No","Yes")</f>
        <v>Yes</v>
      </c>
      <c r="R470" s="6" t="s">
        <v>98</v>
      </c>
      <c r="S470" s="6" t="s">
        <v>1185</v>
      </c>
      <c r="T470" s="6" t="s">
        <v>5825</v>
      </c>
      <c r="U470" s="23" t="n">
        <v>60.761</v>
      </c>
      <c r="V470" s="6" t="s">
        <v>5826</v>
      </c>
      <c r="W470" s="6"/>
      <c r="X470" s="6" t="s">
        <v>5826</v>
      </c>
      <c r="Y470" s="6" t="s">
        <v>98</v>
      </c>
      <c r="Z470" s="6" t="n">
        <v>0</v>
      </c>
      <c r="AA470" s="6" t="n">
        <v>0</v>
      </c>
      <c r="AB470" s="6" t="n">
        <v>0</v>
      </c>
      <c r="AC470" s="6" t="n">
        <v>0</v>
      </c>
      <c r="AD470" s="6" t="n">
        <v>0</v>
      </c>
      <c r="AE470" s="6" t="n">
        <v>0</v>
      </c>
      <c r="AF470" s="6" t="n">
        <v>0</v>
      </c>
      <c r="AG470" s="6" t="n">
        <v>1</v>
      </c>
      <c r="AH470" s="6" t="n">
        <v>0</v>
      </c>
      <c r="AI470" s="6" t="s">
        <v>84</v>
      </c>
    </row>
    <row r="471" customFormat="false" ht="15" hidden="false" customHeight="false" outlineLevel="0" collapsed="false">
      <c r="A471" s="6" t="n">
        <v>470</v>
      </c>
      <c r="B471" s="6" t="s">
        <v>5827</v>
      </c>
      <c r="C471" s="6" t="n">
        <v>10</v>
      </c>
      <c r="D471" s="6" t="s">
        <v>77</v>
      </c>
      <c r="E471" s="6" t="s">
        <v>81</v>
      </c>
      <c r="F471" s="6" t="n">
        <v>2</v>
      </c>
      <c r="G471" s="6" t="n">
        <v>15</v>
      </c>
      <c r="H471" s="6" t="s">
        <v>5828</v>
      </c>
      <c r="I471" s="22" t="n">
        <v>780000</v>
      </c>
      <c r="J471" s="22" t="n">
        <v>4000</v>
      </c>
      <c r="K471" s="22" t="n">
        <v>58800</v>
      </c>
      <c r="L471" s="22" t="n">
        <v>842800</v>
      </c>
      <c r="M471" s="6" t="s">
        <v>272</v>
      </c>
      <c r="N471" s="6" t="s">
        <v>84</v>
      </c>
      <c r="O471" s="6" t="s">
        <v>879</v>
      </c>
      <c r="P471" s="6" t="s">
        <v>85</v>
      </c>
      <c r="Q471" s="6" t="str">
        <f aca="false">IF(P471="pass","No","Yes")</f>
        <v>Yes</v>
      </c>
      <c r="R471" s="6" t="s">
        <v>86</v>
      </c>
      <c r="S471" s="6" t="s">
        <v>879</v>
      </c>
      <c r="T471" s="6" t="s">
        <v>5829</v>
      </c>
      <c r="U471" s="23" t="n">
        <v>27.378</v>
      </c>
      <c r="V471" s="6" t="s">
        <v>5830</v>
      </c>
      <c r="W471" s="6" t="s">
        <v>5831</v>
      </c>
      <c r="X471" s="6" t="s">
        <v>5832</v>
      </c>
      <c r="Y471" s="6" t="s">
        <v>86</v>
      </c>
      <c r="Z471" s="6" t="n">
        <v>0</v>
      </c>
      <c r="AA471" s="6" t="n">
        <v>1</v>
      </c>
      <c r="AB471" s="6" t="n">
        <v>0</v>
      </c>
      <c r="AC471" s="6" t="n">
        <v>0</v>
      </c>
      <c r="AD471" s="6" t="n">
        <v>0</v>
      </c>
      <c r="AE471" s="6" t="n">
        <v>0</v>
      </c>
      <c r="AF471" s="6" t="n">
        <v>0</v>
      </c>
      <c r="AG471" s="6" t="n">
        <v>0</v>
      </c>
      <c r="AH471" s="6" t="n">
        <v>0</v>
      </c>
      <c r="AI471" s="6" t="s">
        <v>84</v>
      </c>
    </row>
    <row r="472" customFormat="false" ht="15" hidden="false" customHeight="false" outlineLevel="0" collapsed="false">
      <c r="A472" s="6" t="n">
        <v>471</v>
      </c>
      <c r="B472" s="6" t="s">
        <v>5833</v>
      </c>
      <c r="C472" s="6" t="n">
        <v>10</v>
      </c>
      <c r="D472" s="6" t="s">
        <v>70</v>
      </c>
      <c r="E472" s="6" t="s">
        <v>74</v>
      </c>
      <c r="F472" s="6" t="n">
        <v>3</v>
      </c>
      <c r="G472" s="6" t="n">
        <v>154</v>
      </c>
      <c r="H472" s="6" t="s">
        <v>5834</v>
      </c>
      <c r="I472" s="22" t="n">
        <v>1547700</v>
      </c>
      <c r="J472" s="22" t="n">
        <v>9000</v>
      </c>
      <c r="K472" s="22" t="n">
        <v>116752.5</v>
      </c>
      <c r="L472" s="22" t="n">
        <v>1673452.5</v>
      </c>
      <c r="M472" s="6" t="s">
        <v>57</v>
      </c>
      <c r="N472" s="6" t="s">
        <v>58</v>
      </c>
      <c r="O472" s="6"/>
      <c r="P472" s="6" t="s">
        <v>59</v>
      </c>
      <c r="Q472" s="6" t="str">
        <f aca="false">IF(P472="pass","No","Yes")</f>
        <v>Yes</v>
      </c>
      <c r="R472" s="6" t="s">
        <v>60</v>
      </c>
      <c r="S472" s="6" t="s">
        <v>915</v>
      </c>
      <c r="T472" s="6" t="s">
        <v>5835</v>
      </c>
      <c r="U472" s="23" t="n">
        <v>100.053</v>
      </c>
      <c r="V472" s="6" t="s">
        <v>5836</v>
      </c>
      <c r="W472" s="6" t="s">
        <v>5837</v>
      </c>
      <c r="X472" s="6" t="s">
        <v>5838</v>
      </c>
      <c r="Y472" s="6" t="s">
        <v>60</v>
      </c>
      <c r="Z472" s="6" t="n">
        <v>0</v>
      </c>
      <c r="AA472" s="6" t="n">
        <v>0</v>
      </c>
      <c r="AB472" s="6" t="n">
        <v>0</v>
      </c>
      <c r="AC472" s="6" t="n">
        <v>0</v>
      </c>
      <c r="AD472" s="6" t="n">
        <v>0</v>
      </c>
      <c r="AE472" s="6" t="n">
        <v>0</v>
      </c>
      <c r="AF472" s="6" t="n">
        <v>0</v>
      </c>
      <c r="AG472" s="6" t="n">
        <v>0</v>
      </c>
      <c r="AH472" s="6" t="n">
        <v>1</v>
      </c>
      <c r="AI472" s="6" t="s">
        <v>84</v>
      </c>
    </row>
    <row r="473" customFormat="false" ht="15" hidden="false" customHeight="false" outlineLevel="0" collapsed="false">
      <c r="A473" s="6" t="n">
        <v>472</v>
      </c>
      <c r="B473" s="6" t="s">
        <v>5839</v>
      </c>
      <c r="C473" s="6" t="n">
        <v>10</v>
      </c>
      <c r="D473" s="6" t="s">
        <v>105</v>
      </c>
      <c r="E473" s="6" t="s">
        <v>81</v>
      </c>
      <c r="F473" s="6" t="n">
        <v>2</v>
      </c>
      <c r="G473" s="6" t="n">
        <v>34</v>
      </c>
      <c r="H473" s="6" t="s">
        <v>5840</v>
      </c>
      <c r="I473" s="22" t="n">
        <v>591500</v>
      </c>
      <c r="J473" s="22" t="n">
        <v>4000</v>
      </c>
      <c r="K473" s="22" t="n">
        <v>44662.5</v>
      </c>
      <c r="L473" s="22" t="n">
        <v>640162.5</v>
      </c>
      <c r="M473" s="6" t="s">
        <v>1042</v>
      </c>
      <c r="N473" s="6" t="s">
        <v>58</v>
      </c>
      <c r="O473" s="6"/>
      <c r="P473" s="6" t="s">
        <v>69</v>
      </c>
      <c r="Q473" s="6" t="str">
        <f aca="false">IF(P473="pass","No","Yes")</f>
        <v>No</v>
      </c>
      <c r="R473" s="6" t="s">
        <v>60</v>
      </c>
      <c r="S473" s="6"/>
      <c r="T473" s="6"/>
      <c r="U473" s="23" t="n">
        <v>76.325</v>
      </c>
      <c r="V473" s="6" t="s">
        <v>5841</v>
      </c>
      <c r="W473" s="6" t="s">
        <v>5842</v>
      </c>
      <c r="X473" s="6" t="s">
        <v>5843</v>
      </c>
      <c r="Y473" s="6" t="s">
        <v>60</v>
      </c>
      <c r="Z473" s="6" t="n">
        <v>0</v>
      </c>
      <c r="AA473" s="6" t="n">
        <v>0</v>
      </c>
      <c r="AB473" s="6" t="n">
        <v>0</v>
      </c>
      <c r="AC473" s="6" t="n">
        <v>0</v>
      </c>
      <c r="AD473" s="6" t="n">
        <v>0</v>
      </c>
      <c r="AE473" s="6" t="n">
        <v>0</v>
      </c>
      <c r="AF473" s="6" t="n">
        <v>0</v>
      </c>
      <c r="AG473" s="6" t="n">
        <v>0</v>
      </c>
      <c r="AH473" s="6" t="n">
        <v>0</v>
      </c>
      <c r="AI473" s="6" t="s">
        <v>84</v>
      </c>
    </row>
    <row r="474" customFormat="false" ht="15" hidden="false" customHeight="false" outlineLevel="0" collapsed="false">
      <c r="A474" s="6" t="n">
        <v>473</v>
      </c>
      <c r="B474" s="6" t="s">
        <v>5844</v>
      </c>
      <c r="C474" s="6" t="n">
        <v>10</v>
      </c>
      <c r="D474" s="6" t="s">
        <v>198</v>
      </c>
      <c r="E474" s="6" t="s">
        <v>81</v>
      </c>
      <c r="F474" s="6" t="n">
        <v>3</v>
      </c>
      <c r="G474" s="6" t="n">
        <v>60</v>
      </c>
      <c r="H474" s="6" t="s">
        <v>5845</v>
      </c>
      <c r="I474" s="22" t="n">
        <v>801600</v>
      </c>
      <c r="J474" s="22" t="n">
        <v>4000</v>
      </c>
      <c r="K474" s="22" t="n">
        <v>60420</v>
      </c>
      <c r="L474" s="22" t="n">
        <v>866020</v>
      </c>
      <c r="M474" s="6" t="s">
        <v>57</v>
      </c>
      <c r="N474" s="6" t="s">
        <v>58</v>
      </c>
      <c r="O474" s="6"/>
      <c r="P474" s="6" t="s">
        <v>69</v>
      </c>
      <c r="Q474" s="6" t="str">
        <f aca="false">IF(P474="pass","No","Yes")</f>
        <v>No</v>
      </c>
      <c r="R474" s="6" t="s">
        <v>60</v>
      </c>
      <c r="S474" s="6"/>
      <c r="T474" s="6"/>
      <c r="U474" s="23" t="n">
        <v>95.85</v>
      </c>
      <c r="V474" s="6" t="s">
        <v>5846</v>
      </c>
      <c r="W474" s="6" t="s">
        <v>5847</v>
      </c>
      <c r="X474" s="6" t="s">
        <v>5848</v>
      </c>
      <c r="Y474" s="6" t="s">
        <v>60</v>
      </c>
      <c r="Z474" s="6" t="n">
        <v>0</v>
      </c>
      <c r="AA474" s="6" t="n">
        <v>0</v>
      </c>
      <c r="AB474" s="6" t="n">
        <v>0</v>
      </c>
      <c r="AC474" s="6" t="n">
        <v>0</v>
      </c>
      <c r="AD474" s="6" t="n">
        <v>0</v>
      </c>
      <c r="AE474" s="6" t="n">
        <v>0</v>
      </c>
      <c r="AF474" s="6" t="n">
        <v>0</v>
      </c>
      <c r="AG474" s="6" t="n">
        <v>0</v>
      </c>
      <c r="AH474" s="6" t="n">
        <v>0</v>
      </c>
      <c r="AI474" s="6" t="s">
        <v>84</v>
      </c>
    </row>
    <row r="475" customFormat="false" ht="15" hidden="false" customHeight="false" outlineLevel="0" collapsed="false">
      <c r="A475" s="6" t="n">
        <v>474</v>
      </c>
      <c r="B475" s="6" t="s">
        <v>5849</v>
      </c>
      <c r="C475" s="6" t="n">
        <v>10</v>
      </c>
      <c r="D475" s="6" t="s">
        <v>198</v>
      </c>
      <c r="E475" s="6" t="s">
        <v>81</v>
      </c>
      <c r="F475" s="6" t="n">
        <v>1</v>
      </c>
      <c r="G475" s="6" t="n">
        <v>41</v>
      </c>
      <c r="H475" s="6" t="s">
        <v>5850</v>
      </c>
      <c r="I475" s="22" t="n">
        <v>352600</v>
      </c>
      <c r="J475" s="22" t="n">
        <v>4000</v>
      </c>
      <c r="K475" s="22" t="n">
        <v>26745</v>
      </c>
      <c r="L475" s="22" t="n">
        <v>383345</v>
      </c>
      <c r="M475" s="6" t="s">
        <v>224</v>
      </c>
      <c r="N475" s="6" t="s">
        <v>84</v>
      </c>
      <c r="O475" s="6" t="s">
        <v>866</v>
      </c>
      <c r="P475" s="6" t="s">
        <v>85</v>
      </c>
      <c r="Q475" s="6" t="str">
        <f aca="false">IF(P475="pass","No","Yes")</f>
        <v>Yes</v>
      </c>
      <c r="R475" s="6" t="s">
        <v>86</v>
      </c>
      <c r="S475" s="6" t="s">
        <v>866</v>
      </c>
      <c r="T475" s="6" t="s">
        <v>225</v>
      </c>
      <c r="U475" s="23" t="n">
        <v>32.907</v>
      </c>
      <c r="V475" s="6" t="s">
        <v>5851</v>
      </c>
      <c r="W475" s="6" t="s">
        <v>5852</v>
      </c>
      <c r="X475" s="6" t="s">
        <v>5853</v>
      </c>
      <c r="Y475" s="6" t="s">
        <v>86</v>
      </c>
      <c r="Z475" s="6" t="n">
        <v>1</v>
      </c>
      <c r="AA475" s="6" t="n">
        <v>0</v>
      </c>
      <c r="AB475" s="6" t="n">
        <v>0</v>
      </c>
      <c r="AC475" s="6" t="n">
        <v>0</v>
      </c>
      <c r="AD475" s="6" t="n">
        <v>0</v>
      </c>
      <c r="AE475" s="6" t="n">
        <v>0</v>
      </c>
      <c r="AF475" s="6" t="n">
        <v>0</v>
      </c>
      <c r="AG475" s="6" t="n">
        <v>0</v>
      </c>
      <c r="AH475" s="6" t="n">
        <v>0</v>
      </c>
      <c r="AI475" s="6" t="s">
        <v>58</v>
      </c>
    </row>
    <row r="476" customFormat="false" ht="15" hidden="false" customHeight="false" outlineLevel="0" collapsed="false">
      <c r="A476" s="6" t="n">
        <v>475</v>
      </c>
      <c r="B476" s="6" t="s">
        <v>5854</v>
      </c>
      <c r="C476" s="6" t="n">
        <v>10</v>
      </c>
      <c r="D476" s="6" t="s">
        <v>63</v>
      </c>
      <c r="E476" s="6" t="s">
        <v>67</v>
      </c>
      <c r="F476" s="6" t="n">
        <v>1</v>
      </c>
      <c r="G476" s="6" t="n">
        <v>2</v>
      </c>
      <c r="H476" s="6" t="s">
        <v>959</v>
      </c>
      <c r="I476" s="22" t="n">
        <v>8200</v>
      </c>
      <c r="J476" s="22" t="n">
        <v>4500</v>
      </c>
      <c r="K476" s="22" t="n">
        <v>952.5</v>
      </c>
      <c r="L476" s="22" t="n">
        <v>13652.5</v>
      </c>
      <c r="M476" s="6" t="s">
        <v>57</v>
      </c>
      <c r="N476" s="6" t="s">
        <v>58</v>
      </c>
      <c r="O476" s="6"/>
      <c r="P476" s="6" t="s">
        <v>69</v>
      </c>
      <c r="Q476" s="6" t="str">
        <f aca="false">IF(P476="pass","No","Yes")</f>
        <v>No</v>
      </c>
      <c r="R476" s="6" t="s">
        <v>60</v>
      </c>
      <c r="S476" s="6"/>
      <c r="T476" s="6"/>
      <c r="U476" s="23" t="n">
        <v>31.043</v>
      </c>
      <c r="V476" s="6" t="s">
        <v>5855</v>
      </c>
      <c r="W476" s="6" t="s">
        <v>5856</v>
      </c>
      <c r="X476" s="6" t="s">
        <v>5857</v>
      </c>
      <c r="Y476" s="6" t="s">
        <v>60</v>
      </c>
      <c r="Z476" s="6" t="n">
        <v>0</v>
      </c>
      <c r="AA476" s="6" t="n">
        <v>0</v>
      </c>
      <c r="AB476" s="6" t="n">
        <v>0</v>
      </c>
      <c r="AC476" s="6" t="n">
        <v>0</v>
      </c>
      <c r="AD476" s="6" t="n">
        <v>0</v>
      </c>
      <c r="AE476" s="6" t="n">
        <v>0</v>
      </c>
      <c r="AF476" s="6" t="n">
        <v>0</v>
      </c>
      <c r="AG476" s="6" t="n">
        <v>0</v>
      </c>
      <c r="AH476" s="6" t="n">
        <v>0</v>
      </c>
      <c r="AI476" s="6" t="s">
        <v>84</v>
      </c>
    </row>
    <row r="477" customFormat="false" ht="15" hidden="false" customHeight="false" outlineLevel="0" collapsed="false">
      <c r="A477" s="6" t="n">
        <v>476</v>
      </c>
      <c r="B477" s="6" t="s">
        <v>5858</v>
      </c>
      <c r="C477" s="6" t="n">
        <v>10</v>
      </c>
      <c r="D477" s="6" t="s">
        <v>77</v>
      </c>
      <c r="E477" s="6" t="s">
        <v>81</v>
      </c>
      <c r="F477" s="6" t="n">
        <v>1</v>
      </c>
      <c r="G477" s="6" t="n">
        <v>11</v>
      </c>
      <c r="H477" s="6" t="s">
        <v>5859</v>
      </c>
      <c r="I477" s="22" t="n">
        <v>341000</v>
      </c>
      <c r="J477" s="22" t="n">
        <v>4000</v>
      </c>
      <c r="K477" s="22" t="n">
        <v>25875</v>
      </c>
      <c r="L477" s="22" t="n">
        <v>370875</v>
      </c>
      <c r="M477" s="6" t="s">
        <v>57</v>
      </c>
      <c r="N477" s="6" t="s">
        <v>58</v>
      </c>
      <c r="O477" s="6"/>
      <c r="P477" s="6" t="s">
        <v>69</v>
      </c>
      <c r="Q477" s="6" t="str">
        <f aca="false">IF(P477="pass","No","Yes")</f>
        <v>No</v>
      </c>
      <c r="R477" s="6" t="s">
        <v>60</v>
      </c>
      <c r="S477" s="6"/>
      <c r="T477" s="6"/>
      <c r="U477" s="23" t="n">
        <v>31.948</v>
      </c>
      <c r="V477" s="6" t="s">
        <v>5860</v>
      </c>
      <c r="W477" s="6" t="s">
        <v>5861</v>
      </c>
      <c r="X477" s="6" t="s">
        <v>5862</v>
      </c>
      <c r="Y477" s="6" t="s">
        <v>60</v>
      </c>
      <c r="Z477" s="6" t="n">
        <v>0</v>
      </c>
      <c r="AA477" s="6" t="n">
        <v>0</v>
      </c>
      <c r="AB477" s="6" t="n">
        <v>0</v>
      </c>
      <c r="AC477" s="6" t="n">
        <v>0</v>
      </c>
      <c r="AD477" s="6" t="n">
        <v>0</v>
      </c>
      <c r="AE477" s="6" t="n">
        <v>0</v>
      </c>
      <c r="AF477" s="6" t="n">
        <v>0</v>
      </c>
      <c r="AG477" s="6" t="n">
        <v>0</v>
      </c>
      <c r="AH477" s="6" t="n">
        <v>0</v>
      </c>
      <c r="AI477" s="6" t="s">
        <v>84</v>
      </c>
    </row>
    <row r="478" customFormat="false" ht="15" hidden="false" customHeight="false" outlineLevel="0" collapsed="false">
      <c r="A478" s="6" t="n">
        <v>477</v>
      </c>
      <c r="B478" s="6" t="s">
        <v>5863</v>
      </c>
      <c r="C478" s="6" t="n">
        <v>10</v>
      </c>
      <c r="D478" s="6" t="s">
        <v>213</v>
      </c>
      <c r="E478" s="6" t="s">
        <v>67</v>
      </c>
      <c r="F478" s="6" t="n">
        <v>2</v>
      </c>
      <c r="G478" s="6" t="n">
        <v>551</v>
      </c>
      <c r="H478" s="6" t="s">
        <v>5864</v>
      </c>
      <c r="I478" s="22" t="n">
        <v>2428600</v>
      </c>
      <c r="J478" s="22" t="n">
        <v>4500</v>
      </c>
      <c r="K478" s="22" t="n">
        <v>182482.5</v>
      </c>
      <c r="L478" s="22" t="n">
        <v>2615582.5</v>
      </c>
      <c r="M478" s="6" t="s">
        <v>159</v>
      </c>
      <c r="N478" s="6" t="s">
        <v>84</v>
      </c>
      <c r="O478" s="6" t="s">
        <v>886</v>
      </c>
      <c r="P478" s="6" t="s">
        <v>85</v>
      </c>
      <c r="Q478" s="6" t="str">
        <f aca="false">IF(P478="pass","No","Yes")</f>
        <v>Yes</v>
      </c>
      <c r="R478" s="6" t="s">
        <v>86</v>
      </c>
      <c r="S478" s="6" t="s">
        <v>934</v>
      </c>
      <c r="T478" s="6" t="s">
        <v>302</v>
      </c>
      <c r="U478" s="23" t="n">
        <v>51.388</v>
      </c>
      <c r="V478" s="6" t="s">
        <v>5865</v>
      </c>
      <c r="W478" s="6" t="s">
        <v>5866</v>
      </c>
      <c r="X478" s="6" t="s">
        <v>5867</v>
      </c>
      <c r="Y478" s="6" t="s">
        <v>86</v>
      </c>
      <c r="Z478" s="6" t="n">
        <v>0</v>
      </c>
      <c r="AA478" s="6" t="n">
        <v>0</v>
      </c>
      <c r="AB478" s="6" t="n">
        <v>1</v>
      </c>
      <c r="AC478" s="6" t="n">
        <v>1</v>
      </c>
      <c r="AD478" s="6" t="n">
        <v>0</v>
      </c>
      <c r="AE478" s="6" t="n">
        <v>0</v>
      </c>
      <c r="AF478" s="6" t="n">
        <v>0</v>
      </c>
      <c r="AG478" s="6" t="n">
        <v>0</v>
      </c>
      <c r="AH478" s="6" t="n">
        <v>0</v>
      </c>
      <c r="AI478" s="6" t="s">
        <v>84</v>
      </c>
    </row>
    <row r="479" customFormat="false" ht="15" hidden="false" customHeight="false" outlineLevel="0" collapsed="false">
      <c r="A479" s="6" t="n">
        <v>478</v>
      </c>
      <c r="B479" s="6" t="s">
        <v>5868</v>
      </c>
      <c r="C479" s="6" t="n">
        <v>10</v>
      </c>
      <c r="D479" s="6" t="s">
        <v>105</v>
      </c>
      <c r="E479" s="6" t="s">
        <v>81</v>
      </c>
      <c r="F479" s="6" t="n">
        <v>3</v>
      </c>
      <c r="G479" s="6" t="n">
        <v>69</v>
      </c>
      <c r="H479" s="6" t="s">
        <v>5869</v>
      </c>
      <c r="I479" s="22" t="n">
        <v>1038000</v>
      </c>
      <c r="J479" s="22" t="n">
        <v>4000</v>
      </c>
      <c r="K479" s="22" t="n">
        <v>78150</v>
      </c>
      <c r="L479" s="22" t="n">
        <v>1120150</v>
      </c>
      <c r="M479" s="6" t="s">
        <v>272</v>
      </c>
      <c r="N479" s="6" t="s">
        <v>84</v>
      </c>
      <c r="O479" s="6" t="s">
        <v>879</v>
      </c>
      <c r="P479" s="6" t="s">
        <v>85</v>
      </c>
      <c r="Q479" s="6" t="str">
        <f aca="false">IF(P479="pass","No","Yes")</f>
        <v>Yes</v>
      </c>
      <c r="R479" s="6" t="s">
        <v>86</v>
      </c>
      <c r="S479" s="6" t="s">
        <v>879</v>
      </c>
      <c r="T479" s="6" t="s">
        <v>5870</v>
      </c>
      <c r="U479" s="23" t="n">
        <v>52.709</v>
      </c>
      <c r="V479" s="6" t="s">
        <v>5871</v>
      </c>
      <c r="W479" s="6" t="s">
        <v>5872</v>
      </c>
      <c r="X479" s="6" t="s">
        <v>5873</v>
      </c>
      <c r="Y479" s="6" t="s">
        <v>86</v>
      </c>
      <c r="Z479" s="6" t="n">
        <v>0</v>
      </c>
      <c r="AA479" s="6" t="n">
        <v>1</v>
      </c>
      <c r="AB479" s="6" t="n">
        <v>0</v>
      </c>
      <c r="AC479" s="6" t="n">
        <v>0</v>
      </c>
      <c r="AD479" s="6" t="n">
        <v>0</v>
      </c>
      <c r="AE479" s="6" t="n">
        <v>0</v>
      </c>
      <c r="AF479" s="6" t="n">
        <v>0</v>
      </c>
      <c r="AG479" s="6" t="n">
        <v>0</v>
      </c>
      <c r="AH479" s="6" t="n">
        <v>0</v>
      </c>
      <c r="AI479" s="6" t="s">
        <v>84</v>
      </c>
    </row>
    <row r="480" customFormat="false" ht="15" hidden="false" customHeight="false" outlineLevel="0" collapsed="false">
      <c r="A480" s="6" t="n">
        <v>479</v>
      </c>
      <c r="B480" s="6" t="s">
        <v>5874</v>
      </c>
      <c r="C480" s="6" t="n">
        <v>10</v>
      </c>
      <c r="D480" s="6" t="s">
        <v>198</v>
      </c>
      <c r="E480" s="6" t="s">
        <v>81</v>
      </c>
      <c r="F480" s="6" t="n">
        <v>3</v>
      </c>
      <c r="G480" s="6" t="n">
        <v>98</v>
      </c>
      <c r="H480" s="6" t="s">
        <v>5875</v>
      </c>
      <c r="I480" s="22" t="n">
        <v>945800</v>
      </c>
      <c r="J480" s="22" t="n">
        <v>4000</v>
      </c>
      <c r="K480" s="22" t="n">
        <v>71235</v>
      </c>
      <c r="L480" s="22" t="n">
        <v>1021035</v>
      </c>
      <c r="M480" s="6" t="s">
        <v>1042</v>
      </c>
      <c r="N480" s="6" t="s">
        <v>58</v>
      </c>
      <c r="O480" s="6"/>
      <c r="P480" s="6" t="s">
        <v>69</v>
      </c>
      <c r="Q480" s="6" t="str">
        <f aca="false">IF(P480="pass","No","Yes")</f>
        <v>No</v>
      </c>
      <c r="R480" s="6" t="s">
        <v>60</v>
      </c>
      <c r="S480" s="6"/>
      <c r="T480" s="6"/>
      <c r="U480" s="23" t="n">
        <v>90.224</v>
      </c>
      <c r="V480" s="6" t="s">
        <v>5876</v>
      </c>
      <c r="W480" s="6" t="s">
        <v>5877</v>
      </c>
      <c r="X480" s="6" t="s">
        <v>5878</v>
      </c>
      <c r="Y480" s="6" t="s">
        <v>60</v>
      </c>
      <c r="Z480" s="6" t="n">
        <v>0</v>
      </c>
      <c r="AA480" s="6" t="n">
        <v>0</v>
      </c>
      <c r="AB480" s="6" t="n">
        <v>0</v>
      </c>
      <c r="AC480" s="6" t="n">
        <v>0</v>
      </c>
      <c r="AD480" s="6" t="n">
        <v>0</v>
      </c>
      <c r="AE480" s="6" t="n">
        <v>0</v>
      </c>
      <c r="AF480" s="6" t="n">
        <v>0</v>
      </c>
      <c r="AG480" s="6" t="n">
        <v>0</v>
      </c>
      <c r="AH480" s="6" t="n">
        <v>0</v>
      </c>
      <c r="AI480" s="6" t="s">
        <v>84</v>
      </c>
    </row>
    <row r="481" customFormat="false" ht="15" hidden="false" customHeight="false" outlineLevel="0" collapsed="false">
      <c r="A481" s="6" t="n">
        <v>480</v>
      </c>
      <c r="B481" s="6" t="s">
        <v>5879</v>
      </c>
      <c r="C481" s="6" t="n">
        <v>10</v>
      </c>
      <c r="D481" s="6" t="s">
        <v>112</v>
      </c>
      <c r="E481" s="6" t="s">
        <v>116</v>
      </c>
      <c r="F481" s="6" t="n">
        <v>3</v>
      </c>
      <c r="G481" s="6" t="n">
        <v>171</v>
      </c>
      <c r="H481" s="6" t="s">
        <v>5880</v>
      </c>
      <c r="I481" s="22" t="n">
        <v>1813200</v>
      </c>
      <c r="J481" s="22" t="n">
        <v>15000</v>
      </c>
      <c r="K481" s="22" t="n">
        <v>137115</v>
      </c>
      <c r="L481" s="22" t="n">
        <v>1965315</v>
      </c>
      <c r="M481" s="6" t="s">
        <v>57</v>
      </c>
      <c r="N481" s="6" t="s">
        <v>58</v>
      </c>
      <c r="O481" s="6"/>
      <c r="P481" s="6" t="s">
        <v>69</v>
      </c>
      <c r="Q481" s="6" t="str">
        <f aca="false">IF(P481="pass","No","Yes")</f>
        <v>No</v>
      </c>
      <c r="R481" s="6" t="s">
        <v>60</v>
      </c>
      <c r="S481" s="6"/>
      <c r="T481" s="6"/>
      <c r="U481" s="23" t="n">
        <v>91.698</v>
      </c>
      <c r="V481" s="6" t="s">
        <v>5881</v>
      </c>
      <c r="W481" s="6" t="s">
        <v>5882</v>
      </c>
      <c r="X481" s="6" t="s">
        <v>5883</v>
      </c>
      <c r="Y481" s="6" t="s">
        <v>60</v>
      </c>
      <c r="Z481" s="6" t="n">
        <v>0</v>
      </c>
      <c r="AA481" s="6" t="n">
        <v>0</v>
      </c>
      <c r="AB481" s="6" t="n">
        <v>0</v>
      </c>
      <c r="AC481" s="6" t="n">
        <v>0</v>
      </c>
      <c r="AD481" s="6" t="n">
        <v>0</v>
      </c>
      <c r="AE481" s="6" t="n">
        <v>0</v>
      </c>
      <c r="AF481" s="6" t="n">
        <v>0</v>
      </c>
      <c r="AG481" s="6" t="n">
        <v>0</v>
      </c>
      <c r="AH481" s="6" t="n">
        <v>0</v>
      </c>
      <c r="AI481" s="6" t="s">
        <v>84</v>
      </c>
    </row>
    <row r="482" customFormat="false" ht="15" hidden="false" customHeight="false" outlineLevel="0" collapsed="false">
      <c r="A482" s="6" t="n">
        <v>481</v>
      </c>
      <c r="B482" s="6" t="s">
        <v>5884</v>
      </c>
      <c r="C482" s="6" t="n">
        <v>10</v>
      </c>
      <c r="D482" s="6" t="s">
        <v>137</v>
      </c>
      <c r="E482" s="6" t="s">
        <v>55</v>
      </c>
      <c r="F482" s="6" t="n">
        <v>3</v>
      </c>
      <c r="G482" s="6" t="n">
        <v>14</v>
      </c>
      <c r="H482" s="6" t="s">
        <v>5885</v>
      </c>
      <c r="I482" s="22" t="n">
        <v>576200</v>
      </c>
      <c r="J482" s="22" t="n">
        <v>6000</v>
      </c>
      <c r="K482" s="22" t="n">
        <v>43665</v>
      </c>
      <c r="L482" s="22" t="n">
        <v>625865</v>
      </c>
      <c r="M482" s="6" t="s">
        <v>57</v>
      </c>
      <c r="N482" s="6" t="s">
        <v>58</v>
      </c>
      <c r="O482" s="6"/>
      <c r="P482" s="6" t="s">
        <v>69</v>
      </c>
      <c r="Q482" s="6" t="str">
        <f aca="false">IF(P482="pass","No","Yes")</f>
        <v>No</v>
      </c>
      <c r="R482" s="6" t="s">
        <v>60</v>
      </c>
      <c r="S482" s="6"/>
      <c r="T482" s="6"/>
      <c r="U482" s="23" t="n">
        <v>72.754</v>
      </c>
      <c r="V482" s="6" t="s">
        <v>5886</v>
      </c>
      <c r="W482" s="6" t="s">
        <v>5887</v>
      </c>
      <c r="X482" s="6" t="s">
        <v>5888</v>
      </c>
      <c r="Y482" s="6" t="s">
        <v>60</v>
      </c>
      <c r="Z482" s="6" t="n">
        <v>0</v>
      </c>
      <c r="AA482" s="6" t="n">
        <v>0</v>
      </c>
      <c r="AB482" s="6" t="n">
        <v>0</v>
      </c>
      <c r="AC482" s="6" t="n">
        <v>0</v>
      </c>
      <c r="AD482" s="6" t="n">
        <v>0</v>
      </c>
      <c r="AE482" s="6" t="n">
        <v>0</v>
      </c>
      <c r="AF482" s="6" t="n">
        <v>0</v>
      </c>
      <c r="AG482" s="6" t="n">
        <v>0</v>
      </c>
      <c r="AH482" s="6" t="n">
        <v>0</v>
      </c>
      <c r="AI482" s="6" t="s">
        <v>84</v>
      </c>
    </row>
    <row r="483" customFormat="false" ht="15" hidden="false" customHeight="false" outlineLevel="0" collapsed="false">
      <c r="A483" s="6" t="n">
        <v>482</v>
      </c>
      <c r="B483" s="6" t="s">
        <v>5889</v>
      </c>
      <c r="C483" s="6" t="n">
        <v>10</v>
      </c>
      <c r="D483" s="6" t="s">
        <v>142</v>
      </c>
      <c r="E483" s="6" t="s">
        <v>74</v>
      </c>
      <c r="F483" s="6" t="n">
        <v>1</v>
      </c>
      <c r="G483" s="6" t="n">
        <v>5</v>
      </c>
      <c r="H483" s="6" t="s">
        <v>2079</v>
      </c>
      <c r="I483" s="22" t="n">
        <v>190000</v>
      </c>
      <c r="J483" s="22" t="n">
        <v>9000</v>
      </c>
      <c r="K483" s="22" t="n">
        <v>14925</v>
      </c>
      <c r="L483" s="22" t="n">
        <v>213925</v>
      </c>
      <c r="M483" s="6" t="s">
        <v>224</v>
      </c>
      <c r="N483" s="6" t="s">
        <v>84</v>
      </c>
      <c r="O483" s="6" t="s">
        <v>866</v>
      </c>
      <c r="P483" s="6" t="s">
        <v>85</v>
      </c>
      <c r="Q483" s="6" t="str">
        <f aca="false">IF(P483="pass","No","Yes")</f>
        <v>Yes</v>
      </c>
      <c r="R483" s="6" t="s">
        <v>86</v>
      </c>
      <c r="S483" s="6" t="s">
        <v>866</v>
      </c>
      <c r="T483" s="6" t="s">
        <v>225</v>
      </c>
      <c r="U483" s="23" t="n">
        <v>27.542</v>
      </c>
      <c r="V483" s="6" t="s">
        <v>5890</v>
      </c>
      <c r="W483" s="6" t="s">
        <v>5891</v>
      </c>
      <c r="X483" s="6" t="s">
        <v>5892</v>
      </c>
      <c r="Y483" s="6" t="s">
        <v>86</v>
      </c>
      <c r="Z483" s="6" t="n">
        <v>1</v>
      </c>
      <c r="AA483" s="6" t="n">
        <v>0</v>
      </c>
      <c r="AB483" s="6" t="n">
        <v>0</v>
      </c>
      <c r="AC483" s="6" t="n">
        <v>0</v>
      </c>
      <c r="AD483" s="6" t="n">
        <v>0</v>
      </c>
      <c r="AE483" s="6" t="n">
        <v>0</v>
      </c>
      <c r="AF483" s="6" t="n">
        <v>0</v>
      </c>
      <c r="AG483" s="6" t="n">
        <v>0</v>
      </c>
      <c r="AH483" s="6" t="n">
        <v>0</v>
      </c>
      <c r="AI483" s="6" t="s">
        <v>58</v>
      </c>
    </row>
    <row r="484" customFormat="false" ht="15" hidden="false" customHeight="false" outlineLevel="0" collapsed="false">
      <c r="A484" s="6" t="n">
        <v>483</v>
      </c>
      <c r="B484" s="6" t="s">
        <v>5893</v>
      </c>
      <c r="C484" s="6" t="n">
        <v>10</v>
      </c>
      <c r="D484" s="6" t="s">
        <v>213</v>
      </c>
      <c r="E484" s="6" t="s">
        <v>67</v>
      </c>
      <c r="F484" s="6" t="n">
        <v>2</v>
      </c>
      <c r="G484" s="6" t="n">
        <v>45</v>
      </c>
      <c r="H484" s="6" t="s">
        <v>2053</v>
      </c>
      <c r="I484" s="22" t="n">
        <v>317800</v>
      </c>
      <c r="J484" s="22" t="n">
        <v>4500</v>
      </c>
      <c r="K484" s="22" t="n">
        <v>24172.5</v>
      </c>
      <c r="L484" s="22" t="n">
        <v>346472.5</v>
      </c>
      <c r="M484" s="6" t="s">
        <v>57</v>
      </c>
      <c r="N484" s="6" t="s">
        <v>58</v>
      </c>
      <c r="O484" s="6"/>
      <c r="P484" s="6" t="s">
        <v>69</v>
      </c>
      <c r="Q484" s="6" t="str">
        <f aca="false">IF(P484="pass","No","Yes")</f>
        <v>No</v>
      </c>
      <c r="R484" s="6" t="s">
        <v>60</v>
      </c>
      <c r="S484" s="6"/>
      <c r="T484" s="6"/>
      <c r="U484" s="23" t="n">
        <v>71.675</v>
      </c>
      <c r="V484" s="6" t="s">
        <v>5894</v>
      </c>
      <c r="W484" s="6" t="s">
        <v>5895</v>
      </c>
      <c r="X484" s="6" t="s">
        <v>5896</v>
      </c>
      <c r="Y484" s="6" t="s">
        <v>60</v>
      </c>
      <c r="Z484" s="6" t="n">
        <v>0</v>
      </c>
      <c r="AA484" s="6" t="n">
        <v>0</v>
      </c>
      <c r="AB484" s="6" t="n">
        <v>0</v>
      </c>
      <c r="AC484" s="6" t="n">
        <v>0</v>
      </c>
      <c r="AD484" s="6" t="n">
        <v>0</v>
      </c>
      <c r="AE484" s="6" t="n">
        <v>0</v>
      </c>
      <c r="AF484" s="6" t="n">
        <v>0</v>
      </c>
      <c r="AG484" s="6" t="n">
        <v>0</v>
      </c>
      <c r="AH484" s="6" t="n">
        <v>0</v>
      </c>
      <c r="AI484" s="6" t="s">
        <v>84</v>
      </c>
    </row>
    <row r="485" customFormat="false" ht="15" hidden="false" customHeight="false" outlineLevel="0" collapsed="false">
      <c r="A485" s="6" t="n">
        <v>484</v>
      </c>
      <c r="B485" s="6" t="s">
        <v>5897</v>
      </c>
      <c r="C485" s="6" t="n">
        <v>10</v>
      </c>
      <c r="D485" s="6" t="s">
        <v>154</v>
      </c>
      <c r="E485" s="6" t="s">
        <v>123</v>
      </c>
      <c r="F485" s="6" t="n">
        <v>3</v>
      </c>
      <c r="G485" s="6" t="n">
        <v>22</v>
      </c>
      <c r="H485" s="6" t="s">
        <v>5898</v>
      </c>
      <c r="I485" s="22" t="n">
        <v>435600</v>
      </c>
      <c r="J485" s="22" t="n">
        <v>5000</v>
      </c>
      <c r="K485" s="22" t="n">
        <v>33045</v>
      </c>
      <c r="L485" s="22" t="n">
        <v>473645</v>
      </c>
      <c r="M485" s="6" t="s">
        <v>272</v>
      </c>
      <c r="N485" s="6" t="s">
        <v>84</v>
      </c>
      <c r="O485" s="6" t="s">
        <v>879</v>
      </c>
      <c r="P485" s="6" t="s">
        <v>85</v>
      </c>
      <c r="Q485" s="6" t="str">
        <f aca="false">IF(P485="pass","No","Yes")</f>
        <v>Yes</v>
      </c>
      <c r="R485" s="6" t="s">
        <v>86</v>
      </c>
      <c r="S485" s="6" t="s">
        <v>879</v>
      </c>
      <c r="T485" s="6" t="s">
        <v>5899</v>
      </c>
      <c r="U485" s="23" t="n">
        <v>67.98</v>
      </c>
      <c r="V485" s="6" t="s">
        <v>5900</v>
      </c>
      <c r="W485" s="6" t="s">
        <v>5901</v>
      </c>
      <c r="X485" s="6" t="s">
        <v>5902</v>
      </c>
      <c r="Y485" s="6" t="s">
        <v>86</v>
      </c>
      <c r="Z485" s="6" t="n">
        <v>0</v>
      </c>
      <c r="AA485" s="6" t="n">
        <v>1</v>
      </c>
      <c r="AB485" s="6" t="n">
        <v>0</v>
      </c>
      <c r="AC485" s="6" t="n">
        <v>0</v>
      </c>
      <c r="AD485" s="6" t="n">
        <v>0</v>
      </c>
      <c r="AE485" s="6" t="n">
        <v>0</v>
      </c>
      <c r="AF485" s="6" t="n">
        <v>0</v>
      </c>
      <c r="AG485" s="6" t="n">
        <v>0</v>
      </c>
      <c r="AH485" s="6" t="n">
        <v>0</v>
      </c>
      <c r="AI485" s="6" t="s">
        <v>84</v>
      </c>
    </row>
    <row r="486" customFormat="false" ht="15" hidden="false" customHeight="false" outlineLevel="0" collapsed="false">
      <c r="A486" s="6" t="n">
        <v>485</v>
      </c>
      <c r="B486" s="6" t="s">
        <v>5903</v>
      </c>
      <c r="C486" s="6" t="n">
        <v>10</v>
      </c>
      <c r="D486" s="6" t="s">
        <v>166</v>
      </c>
      <c r="E486" s="6" t="s">
        <v>146</v>
      </c>
      <c r="F486" s="6" t="n">
        <v>2</v>
      </c>
      <c r="G486" s="6" t="n">
        <v>25</v>
      </c>
      <c r="H486" s="6" t="s">
        <v>5904</v>
      </c>
      <c r="I486" s="22" t="n">
        <v>391000</v>
      </c>
      <c r="J486" s="22" t="n">
        <v>0</v>
      </c>
      <c r="K486" s="22" t="n">
        <v>29325</v>
      </c>
      <c r="L486" s="22" t="n">
        <v>420325</v>
      </c>
      <c r="M486" s="6" t="s">
        <v>148</v>
      </c>
      <c r="N486" s="6" t="s">
        <v>84</v>
      </c>
      <c r="O486" s="6" t="s">
        <v>866</v>
      </c>
      <c r="P486" s="6" t="s">
        <v>85</v>
      </c>
      <c r="Q486" s="6" t="str">
        <f aca="false">IF(P486="pass","No","Yes")</f>
        <v>Yes</v>
      </c>
      <c r="R486" s="6" t="s">
        <v>86</v>
      </c>
      <c r="S486" s="6" t="s">
        <v>866</v>
      </c>
      <c r="T486" s="6" t="s">
        <v>150</v>
      </c>
      <c r="U486" s="23" t="n">
        <v>55.671</v>
      </c>
      <c r="V486" s="6" t="s">
        <v>5905</v>
      </c>
      <c r="W486" s="6" t="s">
        <v>5906</v>
      </c>
      <c r="X486" s="6" t="s">
        <v>5907</v>
      </c>
      <c r="Y486" s="6" t="s">
        <v>86</v>
      </c>
      <c r="Z486" s="6" t="n">
        <v>1</v>
      </c>
      <c r="AA486" s="6" t="n">
        <v>0</v>
      </c>
      <c r="AB486" s="6" t="n">
        <v>0</v>
      </c>
      <c r="AC486" s="6" t="n">
        <v>0</v>
      </c>
      <c r="AD486" s="6" t="n">
        <v>0</v>
      </c>
      <c r="AE486" s="6" t="n">
        <v>0</v>
      </c>
      <c r="AF486" s="6" t="n">
        <v>0</v>
      </c>
      <c r="AG486" s="6" t="n">
        <v>0</v>
      </c>
      <c r="AH486" s="6" t="n">
        <v>0</v>
      </c>
      <c r="AI486" s="6" t="s">
        <v>84</v>
      </c>
    </row>
    <row r="487" customFormat="false" ht="15" hidden="false" customHeight="false" outlineLevel="0" collapsed="false">
      <c r="A487" s="6" t="n">
        <v>486</v>
      </c>
      <c r="B487" s="6" t="s">
        <v>5908</v>
      </c>
      <c r="C487" s="6" t="n">
        <v>10</v>
      </c>
      <c r="D487" s="6" t="s">
        <v>177</v>
      </c>
      <c r="E487" s="6" t="s">
        <v>81</v>
      </c>
      <c r="F487" s="6" t="n">
        <v>3</v>
      </c>
      <c r="G487" s="6" t="n">
        <v>334</v>
      </c>
      <c r="H487" s="6" t="s">
        <v>5909</v>
      </c>
      <c r="I487" s="22" t="n">
        <v>4124300</v>
      </c>
      <c r="J487" s="22" t="n">
        <v>4000</v>
      </c>
      <c r="K487" s="22" t="n">
        <v>309622.5</v>
      </c>
      <c r="L487" s="22" t="n">
        <v>4437922.5</v>
      </c>
      <c r="M487" s="6" t="s">
        <v>171</v>
      </c>
      <c r="N487" s="6" t="s">
        <v>84</v>
      </c>
      <c r="O487" s="6" t="s">
        <v>892</v>
      </c>
      <c r="P487" s="6" t="s">
        <v>85</v>
      </c>
      <c r="Q487" s="6" t="str">
        <f aca="false">IF(P487="pass","No","Yes")</f>
        <v>Yes</v>
      </c>
      <c r="R487" s="6" t="s">
        <v>86</v>
      </c>
      <c r="S487" s="6" t="s">
        <v>892</v>
      </c>
      <c r="T487" s="6" t="s">
        <v>368</v>
      </c>
      <c r="U487" s="23" t="n">
        <v>82.721</v>
      </c>
      <c r="V487" s="6" t="s">
        <v>5910</v>
      </c>
      <c r="W487" s="6" t="s">
        <v>5911</v>
      </c>
      <c r="X487" s="6" t="s">
        <v>5912</v>
      </c>
      <c r="Y487" s="6" t="s">
        <v>86</v>
      </c>
      <c r="Z487" s="6" t="n">
        <v>0</v>
      </c>
      <c r="AA487" s="6" t="n">
        <v>0</v>
      </c>
      <c r="AB487" s="6" t="n">
        <v>0</v>
      </c>
      <c r="AC487" s="6" t="n">
        <v>1</v>
      </c>
      <c r="AD487" s="6" t="n">
        <v>0</v>
      </c>
      <c r="AE487" s="6" t="n">
        <v>0</v>
      </c>
      <c r="AF487" s="6" t="n">
        <v>0</v>
      </c>
      <c r="AG487" s="6" t="n">
        <v>0</v>
      </c>
      <c r="AH487" s="6" t="n">
        <v>0</v>
      </c>
      <c r="AI487" s="6" t="s">
        <v>84</v>
      </c>
    </row>
    <row r="488" customFormat="false" ht="15" hidden="false" customHeight="false" outlineLevel="0" collapsed="false">
      <c r="A488" s="6" t="n">
        <v>487</v>
      </c>
      <c r="B488" s="6" t="s">
        <v>5913</v>
      </c>
      <c r="C488" s="6" t="n">
        <v>10</v>
      </c>
      <c r="D488" s="6" t="s">
        <v>105</v>
      </c>
      <c r="E488" s="6" t="s">
        <v>81</v>
      </c>
      <c r="F488" s="6" t="n">
        <v>3</v>
      </c>
      <c r="G488" s="6" t="n">
        <v>56</v>
      </c>
      <c r="H488" s="6" t="s">
        <v>5914</v>
      </c>
      <c r="I488" s="22" t="n">
        <v>1311500</v>
      </c>
      <c r="J488" s="22" t="n">
        <v>4000</v>
      </c>
      <c r="K488" s="22" t="n">
        <v>98662.5</v>
      </c>
      <c r="L488" s="22" t="n">
        <v>1414162.5</v>
      </c>
      <c r="M488" s="6" t="s">
        <v>960</v>
      </c>
      <c r="N488" s="6" t="s">
        <v>84</v>
      </c>
      <c r="O488" s="6" t="s">
        <v>961</v>
      </c>
      <c r="P488" s="6" t="s">
        <v>85</v>
      </c>
      <c r="Q488" s="6" t="str">
        <f aca="false">IF(P488="pass","No","Yes")</f>
        <v>Yes</v>
      </c>
      <c r="R488" s="6" t="s">
        <v>86</v>
      </c>
      <c r="S488" s="6" t="s">
        <v>961</v>
      </c>
      <c r="T488" s="6" t="s">
        <v>962</v>
      </c>
      <c r="U488" s="23" t="n">
        <v>75.805</v>
      </c>
      <c r="V488" s="6" t="s">
        <v>5915</v>
      </c>
      <c r="W488" s="6" t="s">
        <v>5916</v>
      </c>
      <c r="X488" s="6" t="s">
        <v>5917</v>
      </c>
      <c r="Y488" s="6" t="s">
        <v>86</v>
      </c>
      <c r="Z488" s="6" t="n">
        <v>0</v>
      </c>
      <c r="AA488" s="6" t="n">
        <v>0</v>
      </c>
      <c r="AB488" s="6" t="n">
        <v>0</v>
      </c>
      <c r="AC488" s="6" t="n">
        <v>0</v>
      </c>
      <c r="AD488" s="6" t="n">
        <v>1</v>
      </c>
      <c r="AE488" s="6" t="n">
        <v>0</v>
      </c>
      <c r="AF488" s="6" t="n">
        <v>0</v>
      </c>
      <c r="AG488" s="6" t="n">
        <v>0</v>
      </c>
      <c r="AH488" s="6" t="n">
        <v>0</v>
      </c>
      <c r="AI488" s="6" t="s">
        <v>84</v>
      </c>
    </row>
    <row r="489" customFormat="false" ht="15" hidden="false" customHeight="false" outlineLevel="0" collapsed="false">
      <c r="A489" s="6" t="n">
        <v>488</v>
      </c>
      <c r="B489" s="6" t="s">
        <v>5918</v>
      </c>
      <c r="C489" s="6" t="n">
        <v>10</v>
      </c>
      <c r="D489" s="6" t="s">
        <v>177</v>
      </c>
      <c r="E489" s="6" t="s">
        <v>81</v>
      </c>
      <c r="F489" s="6" t="n">
        <v>4</v>
      </c>
      <c r="G489" s="6" t="n">
        <v>604</v>
      </c>
      <c r="H489" s="6" t="s">
        <v>5919</v>
      </c>
      <c r="I489" s="22" t="n">
        <v>5619900</v>
      </c>
      <c r="J489" s="22" t="n">
        <v>4000</v>
      </c>
      <c r="K489" s="22" t="n">
        <v>421792.5</v>
      </c>
      <c r="L489" s="22" t="n">
        <v>6045692.5</v>
      </c>
      <c r="M489" s="6" t="s">
        <v>159</v>
      </c>
      <c r="N489" s="6" t="s">
        <v>84</v>
      </c>
      <c r="O489" s="6" t="s">
        <v>886</v>
      </c>
      <c r="P489" s="6" t="s">
        <v>85</v>
      </c>
      <c r="Q489" s="6" t="str">
        <f aca="false">IF(P489="pass","No","Yes")</f>
        <v>Yes</v>
      </c>
      <c r="R489" s="6" t="s">
        <v>86</v>
      </c>
      <c r="S489" s="6" t="s">
        <v>992</v>
      </c>
      <c r="T489" s="6" t="s">
        <v>5920</v>
      </c>
      <c r="U489" s="23" t="n">
        <v>121.433</v>
      </c>
      <c r="V489" s="6" t="s">
        <v>5921</v>
      </c>
      <c r="W489" s="6" t="s">
        <v>5922</v>
      </c>
      <c r="X489" s="6" t="s">
        <v>5923</v>
      </c>
      <c r="Y489" s="6" t="s">
        <v>86</v>
      </c>
      <c r="Z489" s="6" t="n">
        <v>0</v>
      </c>
      <c r="AA489" s="6" t="n">
        <v>0</v>
      </c>
      <c r="AB489" s="6" t="n">
        <v>1</v>
      </c>
      <c r="AC489" s="6" t="n">
        <v>1</v>
      </c>
      <c r="AD489" s="6" t="n">
        <v>0</v>
      </c>
      <c r="AE489" s="6" t="n">
        <v>0</v>
      </c>
      <c r="AF489" s="6" t="n">
        <v>0</v>
      </c>
      <c r="AG489" s="6" t="n">
        <v>0</v>
      </c>
      <c r="AH489" s="6" t="n">
        <v>1</v>
      </c>
      <c r="AI489" s="6" t="s">
        <v>84</v>
      </c>
    </row>
    <row r="490" customFormat="false" ht="15" hidden="false" customHeight="false" outlineLevel="0" collapsed="false">
      <c r="A490" s="6" t="n">
        <v>489</v>
      </c>
      <c r="B490" s="6" t="s">
        <v>5924</v>
      </c>
      <c r="C490" s="6" t="n">
        <v>10</v>
      </c>
      <c r="D490" s="6" t="s">
        <v>127</v>
      </c>
      <c r="E490" s="6" t="s">
        <v>55</v>
      </c>
      <c r="F490" s="6" t="n">
        <v>2</v>
      </c>
      <c r="G490" s="6" t="n">
        <v>63</v>
      </c>
      <c r="H490" s="6" t="s">
        <v>5925</v>
      </c>
      <c r="I490" s="22" t="n">
        <v>740700</v>
      </c>
      <c r="J490" s="22" t="n">
        <v>6000</v>
      </c>
      <c r="K490" s="22" t="n">
        <v>56002.5</v>
      </c>
      <c r="L490" s="22" t="n">
        <v>802702.5</v>
      </c>
      <c r="M490" s="6" t="s">
        <v>57</v>
      </c>
      <c r="N490" s="6" t="s">
        <v>58</v>
      </c>
      <c r="O490" s="6"/>
      <c r="P490" s="6" t="s">
        <v>69</v>
      </c>
      <c r="Q490" s="6" t="str">
        <f aca="false">IF(P490="pass","No","Yes")</f>
        <v>No</v>
      </c>
      <c r="R490" s="6" t="s">
        <v>60</v>
      </c>
      <c r="S490" s="6"/>
      <c r="T490" s="6"/>
      <c r="U490" s="23" t="n">
        <v>54.046</v>
      </c>
      <c r="V490" s="6" t="s">
        <v>5926</v>
      </c>
      <c r="W490" s="6" t="s">
        <v>5927</v>
      </c>
      <c r="X490" s="6" t="s">
        <v>5928</v>
      </c>
      <c r="Y490" s="6" t="s">
        <v>60</v>
      </c>
      <c r="Z490" s="6" t="n">
        <v>0</v>
      </c>
      <c r="AA490" s="6" t="n">
        <v>0</v>
      </c>
      <c r="AB490" s="6" t="n">
        <v>0</v>
      </c>
      <c r="AC490" s="6" t="n">
        <v>0</v>
      </c>
      <c r="AD490" s="6" t="n">
        <v>0</v>
      </c>
      <c r="AE490" s="6" t="n">
        <v>0</v>
      </c>
      <c r="AF490" s="6" t="n">
        <v>0</v>
      </c>
      <c r="AG490" s="6" t="n">
        <v>0</v>
      </c>
      <c r="AH490" s="6" t="n">
        <v>0</v>
      </c>
      <c r="AI490" s="6" t="s">
        <v>84</v>
      </c>
    </row>
    <row r="491" customFormat="false" ht="15" hidden="false" customHeight="false" outlineLevel="0" collapsed="false">
      <c r="A491" s="6" t="n">
        <v>490</v>
      </c>
      <c r="B491" s="6" t="s">
        <v>5929</v>
      </c>
      <c r="C491" s="6" t="n">
        <v>10</v>
      </c>
      <c r="D491" s="6" t="s">
        <v>166</v>
      </c>
      <c r="E491" s="6" t="s">
        <v>74</v>
      </c>
      <c r="F491" s="6" t="n">
        <v>1</v>
      </c>
      <c r="G491" s="6" t="n">
        <v>90</v>
      </c>
      <c r="H491" s="6" t="s">
        <v>5426</v>
      </c>
      <c r="I491" s="22" t="n">
        <v>1305000</v>
      </c>
      <c r="J491" s="22" t="n">
        <v>9000</v>
      </c>
      <c r="K491" s="22" t="n">
        <v>98550</v>
      </c>
      <c r="L491" s="22" t="n">
        <v>1412550</v>
      </c>
      <c r="M491" s="6" t="s">
        <v>57</v>
      </c>
      <c r="N491" s="6" t="s">
        <v>58</v>
      </c>
      <c r="O491" s="6"/>
      <c r="P491" s="6" t="s">
        <v>69</v>
      </c>
      <c r="Q491" s="6" t="str">
        <f aca="false">IF(P491="pass","No","Yes")</f>
        <v>No</v>
      </c>
      <c r="R491" s="6" t="s">
        <v>60</v>
      </c>
      <c r="S491" s="6"/>
      <c r="T491" s="6"/>
      <c r="U491" s="23" t="n">
        <v>33.002</v>
      </c>
      <c r="V491" s="6" t="s">
        <v>5930</v>
      </c>
      <c r="W491" s="6" t="s">
        <v>5931</v>
      </c>
      <c r="X491" s="6" t="s">
        <v>5932</v>
      </c>
      <c r="Y491" s="6" t="s">
        <v>60</v>
      </c>
      <c r="Z491" s="6" t="n">
        <v>0</v>
      </c>
      <c r="AA491" s="6" t="n">
        <v>0</v>
      </c>
      <c r="AB491" s="6" t="n">
        <v>0</v>
      </c>
      <c r="AC491" s="6" t="n">
        <v>0</v>
      </c>
      <c r="AD491" s="6" t="n">
        <v>0</v>
      </c>
      <c r="AE491" s="6" t="n">
        <v>0</v>
      </c>
      <c r="AF491" s="6" t="n">
        <v>0</v>
      </c>
      <c r="AG491" s="6" t="n">
        <v>0</v>
      </c>
      <c r="AH491" s="6" t="n">
        <v>0</v>
      </c>
      <c r="AI491" s="6" t="s">
        <v>84</v>
      </c>
    </row>
    <row r="492" customFormat="false" ht="15" hidden="false" customHeight="false" outlineLevel="0" collapsed="false">
      <c r="A492" s="6" t="n">
        <v>491</v>
      </c>
      <c r="B492" s="6" t="s">
        <v>5933</v>
      </c>
      <c r="C492" s="6" t="n">
        <v>10</v>
      </c>
      <c r="D492" s="6" t="s">
        <v>105</v>
      </c>
      <c r="E492" s="6" t="s">
        <v>81</v>
      </c>
      <c r="F492" s="6" t="n">
        <v>4</v>
      </c>
      <c r="G492" s="6" t="n">
        <v>938</v>
      </c>
      <c r="H492" s="6" t="s">
        <v>5934</v>
      </c>
      <c r="I492" s="22" t="n">
        <v>12971700</v>
      </c>
      <c r="J492" s="22" t="n">
        <v>4000</v>
      </c>
      <c r="K492" s="22" t="n">
        <v>973177.5</v>
      </c>
      <c r="L492" s="22" t="n">
        <v>13948877.5</v>
      </c>
      <c r="M492" s="6" t="s">
        <v>159</v>
      </c>
      <c r="N492" s="6" t="s">
        <v>84</v>
      </c>
      <c r="O492" s="6" t="s">
        <v>886</v>
      </c>
      <c r="P492" s="6" t="s">
        <v>85</v>
      </c>
      <c r="Q492" s="6" t="str">
        <f aca="false">IF(P492="pass","No","Yes")</f>
        <v>Yes</v>
      </c>
      <c r="R492" s="6" t="s">
        <v>86</v>
      </c>
      <c r="S492" s="6" t="s">
        <v>934</v>
      </c>
      <c r="T492" s="6" t="s">
        <v>161</v>
      </c>
      <c r="U492" s="23" t="n">
        <v>120.875</v>
      </c>
      <c r="V492" s="6" t="s">
        <v>5935</v>
      </c>
      <c r="W492" s="6" t="s">
        <v>5936</v>
      </c>
      <c r="X492" s="6" t="s">
        <v>5937</v>
      </c>
      <c r="Y492" s="6" t="s">
        <v>86</v>
      </c>
      <c r="Z492" s="6" t="n">
        <v>0</v>
      </c>
      <c r="AA492" s="6" t="n">
        <v>0</v>
      </c>
      <c r="AB492" s="6" t="n">
        <v>1</v>
      </c>
      <c r="AC492" s="6" t="n">
        <v>1</v>
      </c>
      <c r="AD492" s="6" t="n">
        <v>0</v>
      </c>
      <c r="AE492" s="6" t="n">
        <v>0</v>
      </c>
      <c r="AF492" s="6" t="n">
        <v>0</v>
      </c>
      <c r="AG492" s="6" t="n">
        <v>0</v>
      </c>
      <c r="AH492" s="6" t="n">
        <v>0</v>
      </c>
      <c r="AI492" s="6" t="s">
        <v>84</v>
      </c>
    </row>
    <row r="493" customFormat="false" ht="15" hidden="false" customHeight="false" outlineLevel="0" collapsed="false">
      <c r="A493" s="6" t="n">
        <v>492</v>
      </c>
      <c r="B493" s="6" t="s">
        <v>5938</v>
      </c>
      <c r="C493" s="6" t="n">
        <v>10</v>
      </c>
      <c r="D493" s="6" t="s">
        <v>191</v>
      </c>
      <c r="E493" s="6" t="s">
        <v>116</v>
      </c>
      <c r="F493" s="6" t="n">
        <v>4</v>
      </c>
      <c r="G493" s="6" t="n">
        <v>82</v>
      </c>
      <c r="H493" s="6" t="s">
        <v>5939</v>
      </c>
      <c r="I493" s="22" t="n">
        <v>1099800</v>
      </c>
      <c r="J493" s="22" t="n">
        <v>15000</v>
      </c>
      <c r="K493" s="22" t="n">
        <v>83610</v>
      </c>
      <c r="L493" s="22" t="n">
        <v>1198410</v>
      </c>
      <c r="M493" s="6" t="s">
        <v>272</v>
      </c>
      <c r="N493" s="6" t="s">
        <v>84</v>
      </c>
      <c r="O493" s="6" t="s">
        <v>879</v>
      </c>
      <c r="P493" s="6" t="s">
        <v>85</v>
      </c>
      <c r="Q493" s="6" t="str">
        <f aca="false">IF(P493="pass","No","Yes")</f>
        <v>Yes</v>
      </c>
      <c r="R493" s="6" t="s">
        <v>86</v>
      </c>
      <c r="S493" s="6" t="s">
        <v>879</v>
      </c>
      <c r="T493" s="6" t="s">
        <v>5940</v>
      </c>
      <c r="U493" s="23" t="n">
        <v>77.111</v>
      </c>
      <c r="V493" s="6" t="s">
        <v>5941</v>
      </c>
      <c r="W493" s="6" t="s">
        <v>5942</v>
      </c>
      <c r="X493" s="6" t="s">
        <v>5943</v>
      </c>
      <c r="Y493" s="6" t="s">
        <v>86</v>
      </c>
      <c r="Z493" s="6" t="n">
        <v>0</v>
      </c>
      <c r="AA493" s="6" t="n">
        <v>1</v>
      </c>
      <c r="AB493" s="6" t="n">
        <v>0</v>
      </c>
      <c r="AC493" s="6" t="n">
        <v>0</v>
      </c>
      <c r="AD493" s="6" t="n">
        <v>0</v>
      </c>
      <c r="AE493" s="6" t="n">
        <v>0</v>
      </c>
      <c r="AF493" s="6" t="n">
        <v>0</v>
      </c>
      <c r="AG493" s="6" t="n">
        <v>0</v>
      </c>
      <c r="AH493" s="6" t="n">
        <v>0</v>
      </c>
      <c r="AI493" s="6" t="s">
        <v>84</v>
      </c>
    </row>
    <row r="494" customFormat="false" ht="15" hidden="false" customHeight="false" outlineLevel="0" collapsed="false">
      <c r="A494" s="6" t="n">
        <v>493</v>
      </c>
      <c r="B494" s="6" t="s">
        <v>5944</v>
      </c>
      <c r="C494" s="6" t="n">
        <v>10</v>
      </c>
      <c r="D494" s="6" t="s">
        <v>198</v>
      </c>
      <c r="E494" s="6" t="s">
        <v>81</v>
      </c>
      <c r="F494" s="6" t="n">
        <v>3</v>
      </c>
      <c r="G494" s="6" t="n">
        <v>275</v>
      </c>
      <c r="H494" s="6" t="s">
        <v>5945</v>
      </c>
      <c r="I494" s="22" t="n">
        <v>2441800</v>
      </c>
      <c r="J494" s="22" t="n">
        <v>4000</v>
      </c>
      <c r="K494" s="22" t="n">
        <v>183435</v>
      </c>
      <c r="L494" s="22" t="n">
        <v>2629235</v>
      </c>
      <c r="M494" s="6" t="s">
        <v>171</v>
      </c>
      <c r="N494" s="6" t="s">
        <v>84</v>
      </c>
      <c r="O494" s="6" t="s">
        <v>892</v>
      </c>
      <c r="P494" s="6" t="s">
        <v>85</v>
      </c>
      <c r="Q494" s="6" t="str">
        <f aca="false">IF(P494="pass","No","Yes")</f>
        <v>Yes</v>
      </c>
      <c r="R494" s="6" t="s">
        <v>86</v>
      </c>
      <c r="S494" s="6" t="s">
        <v>893</v>
      </c>
      <c r="T494" s="6" t="s">
        <v>5946</v>
      </c>
      <c r="U494" s="23" t="n">
        <v>80.63</v>
      </c>
      <c r="V494" s="6" t="s">
        <v>5947</v>
      </c>
      <c r="W494" s="6" t="s">
        <v>5948</v>
      </c>
      <c r="X494" s="6" t="s">
        <v>5949</v>
      </c>
      <c r="Y494" s="6" t="s">
        <v>86</v>
      </c>
      <c r="Z494" s="6" t="n">
        <v>0</v>
      </c>
      <c r="AA494" s="6" t="n">
        <v>0</v>
      </c>
      <c r="AB494" s="6" t="n">
        <v>0</v>
      </c>
      <c r="AC494" s="6" t="n">
        <v>1</v>
      </c>
      <c r="AD494" s="6" t="n">
        <v>0</v>
      </c>
      <c r="AE494" s="6" t="n">
        <v>0</v>
      </c>
      <c r="AF494" s="6" t="n">
        <v>0</v>
      </c>
      <c r="AG494" s="6" t="n">
        <v>0</v>
      </c>
      <c r="AH494" s="6" t="n">
        <v>1</v>
      </c>
      <c r="AI494" s="6" t="s">
        <v>84</v>
      </c>
    </row>
    <row r="495" customFormat="false" ht="15" hidden="false" customHeight="false" outlineLevel="0" collapsed="false">
      <c r="A495" s="6" t="n">
        <v>494</v>
      </c>
      <c r="B495" s="6" t="s">
        <v>5950</v>
      </c>
      <c r="C495" s="6" t="n">
        <v>10</v>
      </c>
      <c r="D495" s="6" t="s">
        <v>112</v>
      </c>
      <c r="E495" s="6" t="s">
        <v>116</v>
      </c>
      <c r="F495" s="6" t="n">
        <v>4</v>
      </c>
      <c r="G495" s="6" t="n">
        <v>193</v>
      </c>
      <c r="H495" s="6" t="s">
        <v>5951</v>
      </c>
      <c r="I495" s="22" t="n">
        <v>2004100</v>
      </c>
      <c r="J495" s="22" t="n">
        <v>15000</v>
      </c>
      <c r="K495" s="22" t="n">
        <v>151432.5</v>
      </c>
      <c r="L495" s="22" t="n">
        <v>2170532.5</v>
      </c>
      <c r="M495" s="6" t="s">
        <v>1009</v>
      </c>
      <c r="N495" s="6" t="s">
        <v>58</v>
      </c>
      <c r="O495" s="6"/>
      <c r="P495" s="6" t="s">
        <v>69</v>
      </c>
      <c r="Q495" s="6" t="str">
        <f aca="false">IF(P495="pass","No","Yes")</f>
        <v>No</v>
      </c>
      <c r="R495" s="6" t="s">
        <v>60</v>
      </c>
      <c r="S495" s="6"/>
      <c r="T495" s="6"/>
      <c r="U495" s="23" t="n">
        <v>120.272</v>
      </c>
      <c r="V495" s="6" t="s">
        <v>5952</v>
      </c>
      <c r="W495" s="6" t="s">
        <v>5953</v>
      </c>
      <c r="X495" s="6" t="s">
        <v>5954</v>
      </c>
      <c r="Y495" s="6" t="s">
        <v>60</v>
      </c>
      <c r="Z495" s="6" t="n">
        <v>0</v>
      </c>
      <c r="AA495" s="6" t="n">
        <v>0</v>
      </c>
      <c r="AB495" s="6" t="n">
        <v>0</v>
      </c>
      <c r="AC495" s="6" t="n">
        <v>0</v>
      </c>
      <c r="AD495" s="6" t="n">
        <v>0</v>
      </c>
      <c r="AE495" s="6" t="n">
        <v>0</v>
      </c>
      <c r="AF495" s="6" t="n">
        <v>0</v>
      </c>
      <c r="AG495" s="6" t="n">
        <v>0</v>
      </c>
      <c r="AH495" s="6" t="n">
        <v>0</v>
      </c>
      <c r="AI495" s="6" t="s">
        <v>84</v>
      </c>
    </row>
    <row r="496" customFormat="false" ht="15" hidden="false" customHeight="false" outlineLevel="0" collapsed="false">
      <c r="A496" s="6" t="n">
        <v>495</v>
      </c>
      <c r="B496" s="6" t="s">
        <v>5955</v>
      </c>
      <c r="C496" s="6" t="n">
        <v>10</v>
      </c>
      <c r="D496" s="6" t="s">
        <v>77</v>
      </c>
      <c r="E496" s="6" t="s">
        <v>81</v>
      </c>
      <c r="F496" s="6" t="n">
        <v>2</v>
      </c>
      <c r="G496" s="6" t="n">
        <v>32</v>
      </c>
      <c r="H496" s="6" t="s">
        <v>5956</v>
      </c>
      <c r="I496" s="22" t="n">
        <v>1342000</v>
      </c>
      <c r="J496" s="22" t="n">
        <v>4000</v>
      </c>
      <c r="K496" s="22" t="n">
        <v>100950</v>
      </c>
      <c r="L496" s="22" t="n">
        <v>1446950</v>
      </c>
      <c r="M496" s="6" t="s">
        <v>57</v>
      </c>
      <c r="N496" s="6" t="s">
        <v>58</v>
      </c>
      <c r="O496" s="6"/>
      <c r="P496" s="6" t="s">
        <v>69</v>
      </c>
      <c r="Q496" s="6" t="str">
        <f aca="false">IF(P496="pass","No","Yes")</f>
        <v>No</v>
      </c>
      <c r="R496" s="6" t="s">
        <v>60</v>
      </c>
      <c r="S496" s="6"/>
      <c r="T496" s="6"/>
      <c r="U496" s="23" t="n">
        <v>58.064</v>
      </c>
      <c r="V496" s="6" t="s">
        <v>5957</v>
      </c>
      <c r="W496" s="6" t="s">
        <v>5958</v>
      </c>
      <c r="X496" s="6" t="s">
        <v>5959</v>
      </c>
      <c r="Y496" s="6" t="s">
        <v>60</v>
      </c>
      <c r="Z496" s="6" t="n">
        <v>0</v>
      </c>
      <c r="AA496" s="6" t="n">
        <v>0</v>
      </c>
      <c r="AB496" s="6" t="n">
        <v>0</v>
      </c>
      <c r="AC496" s="6" t="n">
        <v>0</v>
      </c>
      <c r="AD496" s="6" t="n">
        <v>0</v>
      </c>
      <c r="AE496" s="6" t="n">
        <v>0</v>
      </c>
      <c r="AF496" s="6" t="n">
        <v>0</v>
      </c>
      <c r="AG496" s="6" t="n">
        <v>0</v>
      </c>
      <c r="AH496" s="6" t="n">
        <v>0</v>
      </c>
      <c r="AI496" s="6" t="s">
        <v>84</v>
      </c>
    </row>
    <row r="497" customFormat="false" ht="15" hidden="false" customHeight="false" outlineLevel="0" collapsed="false">
      <c r="A497" s="6" t="n">
        <v>496</v>
      </c>
      <c r="B497" s="6" t="s">
        <v>5960</v>
      </c>
      <c r="C497" s="6" t="n">
        <v>10</v>
      </c>
      <c r="D497" s="6" t="s">
        <v>186</v>
      </c>
      <c r="E497" s="6" t="s">
        <v>123</v>
      </c>
      <c r="F497" s="6" t="n">
        <v>3</v>
      </c>
      <c r="G497" s="6" t="n">
        <v>74</v>
      </c>
      <c r="H497" s="6" t="s">
        <v>5961</v>
      </c>
      <c r="I497" s="22" t="n">
        <v>1087200</v>
      </c>
      <c r="J497" s="22" t="n">
        <v>5000</v>
      </c>
      <c r="K497" s="22" t="n">
        <v>81915</v>
      </c>
      <c r="L497" s="22" t="n">
        <v>1174115</v>
      </c>
      <c r="M497" s="6" t="s">
        <v>152</v>
      </c>
      <c r="N497" s="6" t="s">
        <v>84</v>
      </c>
      <c r="O497" s="6" t="s">
        <v>886</v>
      </c>
      <c r="P497" s="6" t="s">
        <v>85</v>
      </c>
      <c r="Q497" s="6" t="str">
        <f aca="false">IF(P497="pass","No","Yes")</f>
        <v>Yes</v>
      </c>
      <c r="R497" s="6" t="s">
        <v>86</v>
      </c>
      <c r="S497" s="6" t="s">
        <v>886</v>
      </c>
      <c r="T497" s="6" t="s">
        <v>418</v>
      </c>
      <c r="U497" s="23" t="n">
        <v>75.775</v>
      </c>
      <c r="V497" s="6" t="s">
        <v>5962</v>
      </c>
      <c r="W497" s="6" t="s">
        <v>5963</v>
      </c>
      <c r="X497" s="6" t="s">
        <v>5964</v>
      </c>
      <c r="Y497" s="6" t="s">
        <v>86</v>
      </c>
      <c r="Z497" s="6" t="n">
        <v>0</v>
      </c>
      <c r="AA497" s="6" t="n">
        <v>0</v>
      </c>
      <c r="AB497" s="6" t="n">
        <v>1</v>
      </c>
      <c r="AC497" s="6" t="n">
        <v>0</v>
      </c>
      <c r="AD497" s="6" t="n">
        <v>0</v>
      </c>
      <c r="AE497" s="6" t="n">
        <v>0</v>
      </c>
      <c r="AF497" s="6" t="n">
        <v>0</v>
      </c>
      <c r="AG497" s="6" t="n">
        <v>0</v>
      </c>
      <c r="AH497" s="6" t="n">
        <v>0</v>
      </c>
      <c r="AI497" s="6" t="s">
        <v>84</v>
      </c>
    </row>
    <row r="498" customFormat="false" ht="15" hidden="false" customHeight="false" outlineLevel="0" collapsed="false">
      <c r="A498" s="6" t="n">
        <v>497</v>
      </c>
      <c r="B498" s="6" t="s">
        <v>5965</v>
      </c>
      <c r="C498" s="6" t="n">
        <v>10</v>
      </c>
      <c r="D498" s="6" t="s">
        <v>127</v>
      </c>
      <c r="E498" s="6" t="s">
        <v>55</v>
      </c>
      <c r="F498" s="6" t="n">
        <v>1</v>
      </c>
      <c r="G498" s="6" t="n">
        <v>16</v>
      </c>
      <c r="H498" s="6" t="s">
        <v>5966</v>
      </c>
      <c r="I498" s="22" t="n">
        <v>200000</v>
      </c>
      <c r="J498" s="22" t="n">
        <v>6000</v>
      </c>
      <c r="K498" s="22" t="n">
        <v>15450</v>
      </c>
      <c r="L498" s="22" t="n">
        <v>221450</v>
      </c>
      <c r="M498" s="6" t="s">
        <v>1042</v>
      </c>
      <c r="N498" s="6" t="s">
        <v>58</v>
      </c>
      <c r="O498" s="6"/>
      <c r="P498" s="6" t="s">
        <v>69</v>
      </c>
      <c r="Q498" s="6" t="str">
        <f aca="false">IF(P498="pass","No","Yes")</f>
        <v>No</v>
      </c>
      <c r="R498" s="6" t="s">
        <v>60</v>
      </c>
      <c r="S498" s="6"/>
      <c r="T498" s="6"/>
      <c r="U498" s="23" t="n">
        <v>29.277</v>
      </c>
      <c r="V498" s="6" t="s">
        <v>5967</v>
      </c>
      <c r="W498" s="6" t="s">
        <v>5968</v>
      </c>
      <c r="X498" s="6" t="s">
        <v>5969</v>
      </c>
      <c r="Y498" s="6" t="s">
        <v>60</v>
      </c>
      <c r="Z498" s="6" t="n">
        <v>0</v>
      </c>
      <c r="AA498" s="6" t="n">
        <v>0</v>
      </c>
      <c r="AB498" s="6" t="n">
        <v>0</v>
      </c>
      <c r="AC498" s="6" t="n">
        <v>0</v>
      </c>
      <c r="AD498" s="6" t="n">
        <v>0</v>
      </c>
      <c r="AE498" s="6" t="n">
        <v>0</v>
      </c>
      <c r="AF498" s="6" t="n">
        <v>0</v>
      </c>
      <c r="AG498" s="6" t="n">
        <v>0</v>
      </c>
      <c r="AH498" s="6" t="n">
        <v>0</v>
      </c>
      <c r="AI498" s="6" t="s">
        <v>84</v>
      </c>
    </row>
    <row r="499" customFormat="false" ht="15" hidden="false" customHeight="false" outlineLevel="0" collapsed="false">
      <c r="A499" s="6" t="n">
        <v>498</v>
      </c>
      <c r="B499" s="6" t="s">
        <v>5970</v>
      </c>
      <c r="C499" s="6" t="n">
        <v>10</v>
      </c>
      <c r="D499" s="6" t="s">
        <v>70</v>
      </c>
      <c r="E499" s="6" t="s">
        <v>74</v>
      </c>
      <c r="F499" s="6" t="n">
        <v>1</v>
      </c>
      <c r="G499" s="6" t="n">
        <v>2</v>
      </c>
      <c r="H499" s="6" t="s">
        <v>959</v>
      </c>
      <c r="I499" s="22" t="n">
        <v>8200</v>
      </c>
      <c r="J499" s="22" t="n">
        <v>9000</v>
      </c>
      <c r="K499" s="22" t="n">
        <v>1290</v>
      </c>
      <c r="L499" s="22" t="n">
        <v>18490</v>
      </c>
      <c r="M499" s="6" t="s">
        <v>984</v>
      </c>
      <c r="N499" s="6" t="s">
        <v>84</v>
      </c>
      <c r="O499" s="6" t="s">
        <v>985</v>
      </c>
      <c r="P499" s="6" t="s">
        <v>85</v>
      </c>
      <c r="Q499" s="6" t="str">
        <f aca="false">IF(P499="pass","No","Yes")</f>
        <v>Yes</v>
      </c>
      <c r="R499" s="6" t="s">
        <v>86</v>
      </c>
      <c r="S499" s="6" t="s">
        <v>5971</v>
      </c>
      <c r="T499" s="6" t="s">
        <v>5972</v>
      </c>
      <c r="U499" s="23" t="n">
        <v>33.188</v>
      </c>
      <c r="V499" s="6" t="s">
        <v>5973</v>
      </c>
      <c r="W499" s="6" t="s">
        <v>5974</v>
      </c>
      <c r="X499" s="6" t="s">
        <v>5975</v>
      </c>
      <c r="Y499" s="6" t="s">
        <v>86</v>
      </c>
      <c r="Z499" s="6" t="n">
        <v>0</v>
      </c>
      <c r="AA499" s="6" t="n">
        <v>0</v>
      </c>
      <c r="AB499" s="6" t="n">
        <v>0</v>
      </c>
      <c r="AC499" s="6" t="n">
        <v>0</v>
      </c>
      <c r="AD499" s="6" t="n">
        <v>0</v>
      </c>
      <c r="AE499" s="6" t="n">
        <v>1</v>
      </c>
      <c r="AF499" s="6" t="n">
        <v>0</v>
      </c>
      <c r="AG499" s="6" t="n">
        <v>1</v>
      </c>
      <c r="AH499" s="6" t="n">
        <v>0</v>
      </c>
      <c r="AI499" s="6" t="s">
        <v>84</v>
      </c>
    </row>
    <row r="500" customFormat="false" ht="15" hidden="false" customHeight="false" outlineLevel="0" collapsed="false">
      <c r="A500" s="6" t="n">
        <v>499</v>
      </c>
      <c r="B500" s="6" t="s">
        <v>5976</v>
      </c>
      <c r="C500" s="6" t="n">
        <v>10</v>
      </c>
      <c r="D500" s="6" t="s">
        <v>63</v>
      </c>
      <c r="E500" s="6" t="s">
        <v>67</v>
      </c>
      <c r="F500" s="6" t="n">
        <v>1</v>
      </c>
      <c r="G500" s="6" t="n">
        <v>48</v>
      </c>
      <c r="H500" s="6" t="s">
        <v>5977</v>
      </c>
      <c r="I500" s="22" t="n">
        <v>566400</v>
      </c>
      <c r="J500" s="22" t="n">
        <v>4500</v>
      </c>
      <c r="K500" s="22" t="n">
        <v>42817.5</v>
      </c>
      <c r="L500" s="22" t="n">
        <v>613717.5</v>
      </c>
      <c r="M500" s="6" t="s">
        <v>57</v>
      </c>
      <c r="N500" s="6" t="s">
        <v>58</v>
      </c>
      <c r="O500" s="6"/>
      <c r="P500" s="6" t="s">
        <v>69</v>
      </c>
      <c r="Q500" s="6" t="str">
        <f aca="false">IF(P500="pass","No","Yes")</f>
        <v>No</v>
      </c>
      <c r="R500" s="6" t="s">
        <v>60</v>
      </c>
      <c r="S500" s="6"/>
      <c r="T500" s="6"/>
      <c r="U500" s="23" t="n">
        <v>35.152</v>
      </c>
      <c r="V500" s="6" t="s">
        <v>5978</v>
      </c>
      <c r="W500" s="6" t="s">
        <v>5979</v>
      </c>
      <c r="X500" s="6" t="s">
        <v>5980</v>
      </c>
      <c r="Y500" s="6" t="s">
        <v>60</v>
      </c>
      <c r="Z500" s="6" t="n">
        <v>0</v>
      </c>
      <c r="AA500" s="6" t="n">
        <v>0</v>
      </c>
      <c r="AB500" s="6" t="n">
        <v>0</v>
      </c>
      <c r="AC500" s="6" t="n">
        <v>0</v>
      </c>
      <c r="AD500" s="6" t="n">
        <v>0</v>
      </c>
      <c r="AE500" s="6" t="n">
        <v>0</v>
      </c>
      <c r="AF500" s="6" t="n">
        <v>0</v>
      </c>
      <c r="AG500" s="6" t="n">
        <v>0</v>
      </c>
      <c r="AH500" s="6" t="n">
        <v>0</v>
      </c>
      <c r="AI500" s="6" t="s">
        <v>84</v>
      </c>
    </row>
    <row r="501" customFormat="false" ht="15" hidden="false" customHeight="false" outlineLevel="0" collapsed="false">
      <c r="A501" s="6" t="n">
        <v>500</v>
      </c>
      <c r="B501" s="6" t="s">
        <v>5981</v>
      </c>
      <c r="C501" s="6" t="n">
        <v>10</v>
      </c>
      <c r="D501" s="6" t="s">
        <v>154</v>
      </c>
      <c r="E501" s="6" t="s">
        <v>123</v>
      </c>
      <c r="F501" s="6" t="n">
        <v>1</v>
      </c>
      <c r="G501" s="6" t="n">
        <v>29</v>
      </c>
      <c r="H501" s="6" t="s">
        <v>5982</v>
      </c>
      <c r="I501" s="22" t="n">
        <v>362500</v>
      </c>
      <c r="J501" s="22" t="n">
        <v>5000</v>
      </c>
      <c r="K501" s="22" t="n">
        <v>27562.5</v>
      </c>
      <c r="L501" s="22" t="n">
        <v>395062.5</v>
      </c>
      <c r="M501" s="6" t="s">
        <v>57</v>
      </c>
      <c r="N501" s="6" t="s">
        <v>58</v>
      </c>
      <c r="O501" s="6"/>
      <c r="P501" s="6" t="s">
        <v>69</v>
      </c>
      <c r="Q501" s="6" t="str">
        <f aca="false">IF(P501="pass","No","Yes")</f>
        <v>No</v>
      </c>
      <c r="R501" s="6" t="s">
        <v>60</v>
      </c>
      <c r="S501" s="6"/>
      <c r="T501" s="6"/>
      <c r="U501" s="23" t="n">
        <v>29.699</v>
      </c>
      <c r="V501" s="6" t="s">
        <v>5983</v>
      </c>
      <c r="W501" s="6" t="s">
        <v>5984</v>
      </c>
      <c r="X501" s="6" t="s">
        <v>5985</v>
      </c>
      <c r="Y501" s="6" t="s">
        <v>60</v>
      </c>
      <c r="Z501" s="6" t="n">
        <v>0</v>
      </c>
      <c r="AA501" s="6" t="n">
        <v>0</v>
      </c>
      <c r="AB501" s="6" t="n">
        <v>0</v>
      </c>
      <c r="AC501" s="6" t="n">
        <v>0</v>
      </c>
      <c r="AD501" s="6" t="n">
        <v>0</v>
      </c>
      <c r="AE501" s="6" t="n">
        <v>0</v>
      </c>
      <c r="AF501" s="6" t="n">
        <v>0</v>
      </c>
      <c r="AG501" s="6" t="n">
        <v>0</v>
      </c>
      <c r="AH501" s="6" t="n">
        <v>0</v>
      </c>
      <c r="AI501" s="6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2"/>
    <col collapsed="false" customWidth="true" hidden="false" outlineLevel="0" max="6" min="4" style="0" width="14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1" min="10" style="0" width="11"/>
    <col collapsed="false" customWidth="true" hidden="false" outlineLevel="0" max="12" min="12" style="0" width="14"/>
  </cols>
  <sheetData>
    <row r="1" customFormat="false" ht="15" hidden="false" customHeight="false" outlineLevel="0" collapsed="false">
      <c r="A1" s="5" t="s">
        <v>5986</v>
      </c>
    </row>
    <row r="3" customFormat="false" ht="15" hidden="false" customHeight="false" outlineLevel="0" collapsed="false">
      <c r="A3" s="5" t="s">
        <v>3435</v>
      </c>
    </row>
    <row r="4" customFormat="false" ht="15" hidden="false" customHeight="false" outlineLevel="0" collapsed="false">
      <c r="A4" s="7" t="s">
        <v>3436</v>
      </c>
      <c r="B4" s="7" t="s">
        <v>758</v>
      </c>
      <c r="C4" s="7" t="s">
        <v>759</v>
      </c>
      <c r="D4" s="7" t="s">
        <v>760</v>
      </c>
      <c r="E4" s="7" t="s">
        <v>761</v>
      </c>
    </row>
    <row r="5" customFormat="false" ht="15" hidden="false" customHeight="false" outlineLevel="0" collapsed="false">
      <c r="A5" s="24" t="s">
        <v>3437</v>
      </c>
      <c r="B5" s="24" t="n">
        <f aca="false">COUNTIFS('R2 Orders'!$M$2:$M$501,"Clean order (no error)")</f>
        <v>200</v>
      </c>
      <c r="C5" s="24" t="n">
        <f aca="false">COUNTIFS('R2 Orders'!$M$2:$M$501,"Clean order (no error)",'R2 Orders'!$P$2:$P$501,"pass")</f>
        <v>169</v>
      </c>
      <c r="D5" s="24" t="n">
        <f aca="false">COUNTIFS('R2 Orders'!$M$2:$M$501,"Clean order (no error)",'R2 Orders'!$P$2:$P$501,"warn")</f>
        <v>31</v>
      </c>
      <c r="E5" s="24" t="n">
        <f aca="false">COUNTIFS('R2 Orders'!$M$2:$M$501,"Clean order (no error)",'R2 Orders'!$P$2:$P$501,"fail")</f>
        <v>0</v>
      </c>
    </row>
    <row r="6" customFormat="false" ht="15" hidden="false" customHeight="false" outlineLevel="0" collapsed="false">
      <c r="A6" s="24" t="s">
        <v>3438</v>
      </c>
      <c r="B6" s="24" t="n">
        <f aca="false">COUNTIFS('R2 Orders'!$M$2:$M$501,"&lt;&gt;Clean order (no error)",'R2 Orders'!$N$2:$N$501,"Yes")</f>
        <v>240</v>
      </c>
      <c r="C6" s="24" t="n">
        <f aca="false">COUNTIFS('R2 Orders'!$M$2:$M$501,"&lt;&gt;Clean order (no error)",'R2 Orders'!$N$2:$N$501,"Yes",'R2 Orders'!$P$2:$P$501,"pass")</f>
        <v>0</v>
      </c>
      <c r="D6" s="24" t="n">
        <f aca="false">COUNTIFS('R2 Orders'!$M$2:$M$501,"&lt;&gt;Clean order (no error)",'R2 Orders'!$N$2:$N$501,"Yes",'R2 Orders'!$P$2:$P$501,"warn")</f>
        <v>20</v>
      </c>
      <c r="E6" s="24" t="n">
        <f aca="false">COUNTIFS('R2 Orders'!$M$2:$M$501,"&lt;&gt;Clean order (no error)",'R2 Orders'!$N$2:$N$501,"Yes",'R2 Orders'!$P$2:$P$501,"fail")</f>
        <v>220</v>
      </c>
    </row>
    <row r="7" customFormat="false" ht="15" hidden="false" customHeight="false" outlineLevel="0" collapsed="false">
      <c r="A7" s="24" t="s">
        <v>3439</v>
      </c>
      <c r="B7" s="24" t="n">
        <f aca="false">COUNTIFS('R2 Orders'!$M$2:$M$501,"&lt;&gt;Clean order (no error)",'R2 Orders'!$N$2:$N$501,"No")</f>
        <v>60</v>
      </c>
      <c r="C7" s="24" t="n">
        <f aca="false">COUNTIFS('R2 Orders'!$M$2:$M$501,"&lt;&gt;Clean order (no error)",'R2 Orders'!$N$2:$N$501,"No",'R2 Orders'!$P$2:$P$501,"pass")</f>
        <v>35</v>
      </c>
      <c r="D7" s="24" t="n">
        <f aca="false">COUNTIFS('R2 Orders'!$M$2:$M$501,"&lt;&gt;Clean order (no error)",'R2 Orders'!$N$2:$N$501,"No",'R2 Orders'!$P$2:$P$501,"warn")</f>
        <v>25</v>
      </c>
      <c r="E7" s="24" t="n">
        <f aca="false">COUNTIFS('R2 Orders'!$M$2:$M$501,"&lt;&gt;Clean order (no error)",'R2 Orders'!$N$2:$N$501,"No",'R2 Orders'!$P$2:$P$501,"fail")</f>
        <v>0</v>
      </c>
    </row>
    <row r="8" customFormat="false" ht="15" hidden="false" customHeight="false" outlineLevel="0" collapsed="false">
      <c r="A8" s="5" t="s">
        <v>763</v>
      </c>
      <c r="B8" s="5" t="n">
        <f aca="false">SUM(B5:B7)</f>
        <v>500</v>
      </c>
      <c r="C8" s="5" t="n">
        <f aca="false">SUM(C5:C7)</f>
        <v>204</v>
      </c>
      <c r="D8" s="5" t="n">
        <f aca="false">SUM(D5:D7)</f>
        <v>76</v>
      </c>
      <c r="E8" s="5" t="n">
        <f aca="false">SUM(E5:E7)</f>
        <v>220</v>
      </c>
    </row>
    <row r="10" customFormat="false" ht="15" hidden="false" customHeight="false" outlineLevel="0" collapsed="false">
      <c r="A10" s="5" t="s">
        <v>3440</v>
      </c>
    </row>
    <row r="11" customFormat="false" ht="15" hidden="false" customHeight="false" outlineLevel="0" collapsed="false">
      <c r="A11" s="7"/>
      <c r="B11" s="7" t="s">
        <v>46</v>
      </c>
      <c r="C11" s="7" t="s">
        <v>759</v>
      </c>
      <c r="D11" s="7" t="s">
        <v>763</v>
      </c>
    </row>
    <row r="12" customFormat="false" ht="15" hidden="false" customHeight="false" outlineLevel="0" collapsed="false">
      <c r="A12" s="5" t="s">
        <v>774</v>
      </c>
      <c r="B12" s="24" t="n">
        <f aca="false">COUNTIFS('R2 Orders'!$M$2:$M$501,"&lt;&gt;Clean order (no error)",'R2 Orders'!$Q$2:$Q$501,"Yes")</f>
        <v>265</v>
      </c>
      <c r="C12" s="24" t="n">
        <f aca="false">COUNTIFS('R2 Orders'!$M$2:$M$501,"&lt;&gt;Clean order (no error)",'R2 Orders'!$Q$2:$Q$501,"No")</f>
        <v>35</v>
      </c>
      <c r="D12" s="24" t="n">
        <f aca="false">B12+C12</f>
        <v>300</v>
      </c>
    </row>
    <row r="13" customFormat="false" ht="15" hidden="false" customHeight="false" outlineLevel="0" collapsed="false">
      <c r="A13" s="5" t="s">
        <v>775</v>
      </c>
      <c r="B13" s="24" t="n">
        <f aca="false">COUNTIFS('R2 Orders'!$M$2:$M$501,"Clean order (no error)",'R2 Orders'!$Q$2:$Q$501,"Yes")</f>
        <v>31</v>
      </c>
      <c r="C13" s="24" t="n">
        <f aca="false">COUNTIFS('R2 Orders'!$M$2:$M$501,"Clean order (no error)",'R2 Orders'!$Q$2:$Q$501,"No")</f>
        <v>169</v>
      </c>
      <c r="D13" s="24" t="n">
        <f aca="false">B13+C13</f>
        <v>200</v>
      </c>
    </row>
    <row r="15" customFormat="false" ht="15" hidden="false" customHeight="false" outlineLevel="0" collapsed="false">
      <c r="A15" s="7" t="s">
        <v>3441</v>
      </c>
      <c r="B15" s="7" t="s">
        <v>3442</v>
      </c>
      <c r="C15" s="7" t="s">
        <v>3443</v>
      </c>
      <c r="D15" s="7" t="s">
        <v>3444</v>
      </c>
      <c r="E15" s="7" t="s">
        <v>3445</v>
      </c>
    </row>
    <row r="16" customFormat="false" ht="15" hidden="false" customHeight="false" outlineLevel="0" collapsed="false">
      <c r="A16" s="5" t="s">
        <v>776</v>
      </c>
      <c r="B16" s="25" t="n">
        <f aca="false">(B12+C13)/(B12+C12+B13+C13)</f>
        <v>0.868</v>
      </c>
      <c r="C16" s="25" t="n">
        <f aca="false">IF((B12+C12+B13+C13)=0,"",(((B12+C13)/(B12+C12+B13+C13))+1.959964^2/(2*(B12+C12+B13+C13))-1.959964*SQRT(((B12+C13)/(B12+C12+B13+C13))*(1-((B12+C13)/(B12+C12+B13+C13)))/(B12+C12+B13+C13)+1.959964^2/(4*(B12+C12+B13+C13)^2)))/(1+1.959964^2/(B12+C12+B13+C13)))</f>
        <v>0.835505208990219</v>
      </c>
      <c r="D16" s="25" t="n">
        <f aca="false">IF((B12+C12+B13+C13)=0,"",(((B12+C13)/(B12+C12+B13+C13))+1.959964^2/(2*(B12+C12+B13+C13))+1.959964*SQRT(((B12+C13)/(B12+C12+B13+C13))*(1-((B12+C13)/(B12+C12+B13+C13)))/(B12+C12+B13+C13)+1.959964^2/(4*(B12+C12+B13+C13)^2)))/(1+1.959964^2/(B12+C12+B13+C13)))</f>
        <v>0.894883276342228</v>
      </c>
      <c r="E16" s="26" t="s">
        <v>777</v>
      </c>
    </row>
    <row r="17" customFormat="false" ht="15" hidden="false" customHeight="false" outlineLevel="0" collapsed="false">
      <c r="A17" s="5" t="s">
        <v>778</v>
      </c>
      <c r="B17" s="25" t="n">
        <f aca="false">B12/(B12+B13)</f>
        <v>0.89527027027027</v>
      </c>
      <c r="C17" s="25" t="n">
        <f aca="false">IF((B12+B13)=0,"",((B12/(B12+B13))+1.959964^2/(2*(B12+B13))-1.959964*SQRT((B12/(B12+B13))*(1-(B12/(B12+B13)))/(B12+B13)+1.959964^2/(4*(B12+B13)^2)))/(1+1.959964^2/(B12+B13)))</f>
        <v>0.855179343489733</v>
      </c>
      <c r="D17" s="25" t="n">
        <f aca="false">IF((B12+B13)=0,"",((B12/(B12+B13))+1.959964^2/(2*(B12+B13))+1.959964*SQRT((B12/(B12+B13))*(1-(B12/(B12+B13)))/(B12+B13)+1.959964^2/(4*(B12+B13)^2)))/(1+1.959964^2/(B12+B13)))</f>
        <v>0.925233081373228</v>
      </c>
      <c r="E17" s="26" t="s">
        <v>3446</v>
      </c>
    </row>
    <row r="18" customFormat="false" ht="15" hidden="false" customHeight="false" outlineLevel="0" collapsed="false">
      <c r="A18" s="5" t="s">
        <v>780</v>
      </c>
      <c r="B18" s="25" t="n">
        <f aca="false">B12/(B12+C12)</f>
        <v>0.883333333333333</v>
      </c>
      <c r="C18" s="25" t="n">
        <f aca="false">IF((B12+C12)=0,"",((B12/(B12+C12))+1.959964^2/(2*(B12+C12))-1.959964*SQRT((B12/(B12+C12))*(1-(B12/(B12+C12)))/(B12+C12)+1.959964^2/(4*(B12+C12)^2)))/(1+1.959964^2/(B12+C12)))</f>
        <v>0.842066856311687</v>
      </c>
      <c r="D18" s="25" t="n">
        <f aca="false">IF((B12+C12)=0,"",((B12/(B12+C12))+1.959964^2/(2*(B12+C12))+1.959964*SQRT((B12/(B12+C12))*(1-(B12/(B12+C12)))/(B12+C12)+1.959964^2/(4*(B12+C12)^2)))/(1+1.959964^2/(B12+C12)))</f>
        <v>0.914906865598514</v>
      </c>
      <c r="E18" s="26" t="s">
        <v>3447</v>
      </c>
    </row>
    <row r="19" customFormat="false" ht="15" hidden="false" customHeight="false" outlineLevel="0" collapsed="false">
      <c r="A19" s="5" t="s">
        <v>782</v>
      </c>
      <c r="B19" s="25" t="n">
        <f aca="false">C13/(C13+B13)</f>
        <v>0.845</v>
      </c>
      <c r="C19" s="25" t="n">
        <f aca="false">IF((C13+B13)=0,"",((C13/(C13+B13))+1.959964^2/(2*(C13+B13))-1.959964*SQRT((C13/(C13+B13))*(1-(C13/(C13+B13)))/(C13+B13)+1.959964^2/(4*(C13+B13)^2)))/(1+1.959964^2/(C13+B13)))</f>
        <v>0.788393093581639</v>
      </c>
      <c r="D19" s="25" t="n">
        <f aca="false">IF((C13+B13)=0,"",((C13/(C13+B13))+1.959964^2/(2*(C13+B13))+1.959964*SQRT((C13/(C13+B13))*(1-(C13/(C13+B13)))/(C13+B13)+1.959964^2/(4*(C13+B13)^2)))/(1+1.959964^2/(C13+B13)))</f>
        <v>0.888603631016777</v>
      </c>
      <c r="E19" s="26" t="s">
        <v>3448</v>
      </c>
    </row>
    <row r="20" customFormat="false" ht="15" hidden="false" customHeight="false" outlineLevel="0" collapsed="false">
      <c r="A20" s="5" t="s">
        <v>3449</v>
      </c>
      <c r="B20" s="25" t="n">
        <f aca="false">B13/(B13+C13)</f>
        <v>0.155</v>
      </c>
      <c r="C20" s="25" t="n">
        <f aca="false">IF((B13+C13)=0,"",((B13/(B13+C13))+1.959964^2/(2*(B13+C13))-1.959964*SQRT((B13/(B13+C13))*(1-(B13/(B13+C13)))/(B13+C13)+1.959964^2/(4*(B13+C13)^2)))/(1+1.959964^2/(B13+C13)))</f>
        <v>0.111396368983223</v>
      </c>
      <c r="D20" s="25" t="n">
        <f aca="false">IF((B13+C13)=0,"",((B13/(B13+C13))+1.959964^2/(2*(B13+C13))+1.959964*SQRT((B13/(B13+C13))*(1-(B13/(B13+C13)))/(B13+C13)+1.959964^2/(4*(B13+C13)^2)))/(1+1.959964^2/(B13+C13)))</f>
        <v>0.211606906418361</v>
      </c>
      <c r="E20" s="26" t="s">
        <v>3450</v>
      </c>
    </row>
    <row r="21" customFormat="false" ht="15" hidden="false" customHeight="false" outlineLevel="0" collapsed="false">
      <c r="A21" s="5" t="s">
        <v>784</v>
      </c>
      <c r="B21" s="25" t="n">
        <f aca="false">2*B17*B18/(B17+B18)</f>
        <v>0.889261744966443</v>
      </c>
      <c r="E21" s="26" t="s">
        <v>3451</v>
      </c>
    </row>
    <row r="23" customFormat="false" ht="15" hidden="false" customHeight="false" outlineLevel="0" collapsed="false">
      <c r="A23" s="5" t="s">
        <v>3452</v>
      </c>
    </row>
    <row r="24" customFormat="false" ht="15" hidden="false" customHeight="false" outlineLevel="0" collapsed="false">
      <c r="A24" s="7"/>
      <c r="B24" s="7" t="s">
        <v>46</v>
      </c>
      <c r="C24" s="7" t="s">
        <v>759</v>
      </c>
      <c r="D24" s="7" t="s">
        <v>763</v>
      </c>
    </row>
    <row r="25" customFormat="false" ht="15" hidden="false" customHeight="false" outlineLevel="0" collapsed="false">
      <c r="A25" s="5" t="s">
        <v>774</v>
      </c>
      <c r="B25" s="24" t="n">
        <f aca="false">COUNTIFS('R2 Orders'!$M$2:$M$501,"&lt;&gt;Clean order (no error)",'R2 Orders'!$N$2:$N$501,"Yes",'R2 Orders'!$Q$2:$Q$501,"Yes")</f>
        <v>240</v>
      </c>
      <c r="C25" s="24" t="n">
        <f aca="false">COUNTIFS('R2 Orders'!$M$2:$M$501,"&lt;&gt;Clean order (no error)",'R2 Orders'!$N$2:$N$501,"Yes",'R2 Orders'!$Q$2:$Q$501,"No")</f>
        <v>0</v>
      </c>
      <c r="D25" s="24" t="n">
        <f aca="false">B25+C25</f>
        <v>240</v>
      </c>
    </row>
    <row r="26" customFormat="false" ht="15" hidden="false" customHeight="false" outlineLevel="0" collapsed="false">
      <c r="A26" s="5" t="s">
        <v>775</v>
      </c>
      <c r="B26" s="24" t="n">
        <f aca="false">COUNTIFS('R2 Orders'!$M$2:$M$501,"Clean order (no error)",'R2 Orders'!$Q$2:$Q$501,"Yes")</f>
        <v>31</v>
      </c>
      <c r="C26" s="24" t="n">
        <f aca="false">COUNTIFS('R2 Orders'!$M$2:$M$501,"Clean order (no error)",'R2 Orders'!$Q$2:$Q$501,"No")</f>
        <v>169</v>
      </c>
      <c r="D26" s="24" t="n">
        <f aca="false">B26+C26</f>
        <v>200</v>
      </c>
    </row>
    <row r="28" customFormat="false" ht="15" hidden="false" customHeight="false" outlineLevel="0" collapsed="false">
      <c r="A28" s="7" t="s">
        <v>3441</v>
      </c>
      <c r="B28" s="7" t="s">
        <v>3442</v>
      </c>
      <c r="C28" s="7" t="s">
        <v>3443</v>
      </c>
      <c r="D28" s="7" t="s">
        <v>3444</v>
      </c>
      <c r="E28" s="7" t="s">
        <v>3445</v>
      </c>
    </row>
    <row r="29" customFormat="false" ht="15" hidden="false" customHeight="false" outlineLevel="0" collapsed="false">
      <c r="A29" s="5" t="s">
        <v>776</v>
      </c>
      <c r="B29" s="25" t="n">
        <f aca="false">(B25+C26)/(B25+C25+B26+C26)</f>
        <v>0.929545454545455</v>
      </c>
      <c r="C29" s="25" t="n">
        <f aca="false">IF((B25+C25+B26+C26)=0,"",(((B25+C26)/(B25+C25+B26+C26))+1.959964^2/(2*(B25+C25+B26+C26))-1.959964*SQRT(((B25+C26)/(B25+C25+B26+C26))*(1-((B25+C26)/(B25+C25+B26+C26)))/(B25+C25+B26+C26)+1.959964^2/(4*(B25+C25+B26+C26)^2)))/(1+1.959964^2/(B25+C25+B26+C26)))</f>
        <v>0.901731148258195</v>
      </c>
      <c r="D29" s="25" t="n">
        <f aca="false">IF((B25+C25+B26+C26)=0,"",(((B25+C26)/(B25+C25+B26+C26))+1.959964^2/(2*(B25+C25+B26+C26))+1.959964*SQRT(((B25+C26)/(B25+C25+B26+C26))*(1-((B25+C26)/(B25+C25+B26+C26)))/(B25+C25+B26+C26)+1.959964^2/(4*(B25+C25+B26+C26)^2)))/(1+1.959964^2/(B25+C25+B26+C26)))</f>
        <v>0.949924307617311</v>
      </c>
      <c r="E29" s="26" t="s">
        <v>777</v>
      </c>
    </row>
    <row r="30" customFormat="false" ht="15" hidden="false" customHeight="false" outlineLevel="0" collapsed="false">
      <c r="A30" s="5" t="s">
        <v>778</v>
      </c>
      <c r="B30" s="25" t="n">
        <f aca="false">B25/(B25+B26)</f>
        <v>0.885608856088561</v>
      </c>
      <c r="C30" s="25" t="n">
        <f aca="false">IF((B25+B26)=0,"",((B25/(B25+B26))+1.959964^2/(2*(B25+B26))-1.959964*SQRT((B25/(B25+B26))*(1-(B25/(B25+B26)))/(B25+B26)+1.959964^2/(4*(B25+B26)^2)))/(1+1.959964^2/(B25+B26)))</f>
        <v>0.84220605080675</v>
      </c>
      <c r="D30" s="25" t="n">
        <f aca="false">IF((B25+B26)=0,"",((B25/(B25+B26))+1.959964^2/(2*(B25+B26))+1.959964*SQRT((B25/(B25+B26))*(1-(B25/(B25+B26)))/(B25+B26)+1.959964^2/(4*(B25+B26)^2)))/(1+1.959964^2/(B25+B26)))</f>
        <v>0.918232351938983</v>
      </c>
      <c r="E30" s="26" t="s">
        <v>3446</v>
      </c>
    </row>
    <row r="31" customFormat="false" ht="15" hidden="false" customHeight="false" outlineLevel="0" collapsed="false">
      <c r="A31" s="5" t="s">
        <v>780</v>
      </c>
      <c r="B31" s="25" t="n">
        <f aca="false">B25/(B25+C25)</f>
        <v>1</v>
      </c>
      <c r="C31" s="25" t="n">
        <f aca="false">IF((B25+C25)=0,"",((B25/(B25+C25))+1.959964^2/(2*(B25+C25))-1.959964*SQRT((B25/(B25+C25))*(1-(B25/(B25+C25)))/(B25+C25)+1.959964^2/(4*(B25+C25)^2)))/(1+1.959964^2/(B25+C25)))</f>
        <v>0.984246079813827</v>
      </c>
      <c r="D31" s="25" t="n">
        <f aca="false">IF((B25+C25)=0,"",((B25/(B25+C25))+1.959964^2/(2*(B25+C25))+1.959964*SQRT((B25/(B25+C25))*(1-(B25/(B25+C25)))/(B25+C25)+1.959964^2/(4*(B25+C25)^2)))/(1+1.959964^2/(B25+C25)))</f>
        <v>1</v>
      </c>
      <c r="E31" s="26" t="s">
        <v>3447</v>
      </c>
    </row>
    <row r="32" customFormat="false" ht="15" hidden="false" customHeight="false" outlineLevel="0" collapsed="false">
      <c r="A32" s="5" t="s">
        <v>782</v>
      </c>
      <c r="B32" s="25" t="n">
        <f aca="false">C26/(C26+B26)</f>
        <v>0.845</v>
      </c>
      <c r="C32" s="25" t="n">
        <f aca="false">IF((C26+B26)=0,"",((C26/(C26+B26))+1.959964^2/(2*(C26+B26))-1.959964*SQRT((C26/(C26+B26))*(1-(C26/(C26+B26)))/(C26+B26)+1.959964^2/(4*(C26+B26)^2)))/(1+1.959964^2/(C26+B26)))</f>
        <v>0.788393093581639</v>
      </c>
      <c r="D32" s="25" t="n">
        <f aca="false">IF((C26+B26)=0,"",((C26/(C26+B26))+1.959964^2/(2*(C26+B26))+1.959964*SQRT((C26/(C26+B26))*(1-(C26/(C26+B26)))/(C26+B26)+1.959964^2/(4*(C26+B26)^2)))/(1+1.959964^2/(C26+B26)))</f>
        <v>0.888603631016777</v>
      </c>
      <c r="E32" s="26" t="s">
        <v>3448</v>
      </c>
    </row>
    <row r="33" customFormat="false" ht="15" hidden="false" customHeight="false" outlineLevel="0" collapsed="false">
      <c r="A33" s="5" t="s">
        <v>3449</v>
      </c>
      <c r="B33" s="25" t="n">
        <f aca="false">B26/(B26+C26)</f>
        <v>0.155</v>
      </c>
      <c r="C33" s="25" t="n">
        <f aca="false">IF((B26+C26)=0,"",((B26/(B26+C26))+1.959964^2/(2*(B26+C26))-1.959964*SQRT((B26/(B26+C26))*(1-(B26/(B26+C26)))/(B26+C26)+1.959964^2/(4*(B26+C26)^2)))/(1+1.959964^2/(B26+C26)))</f>
        <v>0.111396368983223</v>
      </c>
      <c r="D33" s="25" t="n">
        <f aca="false">IF((B26+C26)=0,"",((B26/(B26+C26))+1.959964^2/(2*(B26+C26))+1.959964*SQRT((B26/(B26+C26))*(1-(B26/(B26+C26)))/(B26+C26)+1.959964^2/(4*(B26+C26)^2)))/(1+1.959964^2/(B26+C26)))</f>
        <v>0.211606906418361</v>
      </c>
      <c r="E33" s="26" t="s">
        <v>3450</v>
      </c>
    </row>
    <row r="34" customFormat="false" ht="15" hidden="false" customHeight="false" outlineLevel="0" collapsed="false">
      <c r="A34" s="5" t="s">
        <v>784</v>
      </c>
      <c r="B34" s="25" t="n">
        <f aca="false">2*B30*B31/(B30+B31)</f>
        <v>0.939334637964775</v>
      </c>
      <c r="E34" s="26" t="s">
        <v>3451</v>
      </c>
    </row>
    <row r="36" customFormat="false" ht="15" hidden="false" customHeight="false" outlineLevel="0" collapsed="false">
      <c r="A36" s="5" t="s">
        <v>3453</v>
      </c>
    </row>
    <row r="37" customFormat="false" ht="26.85" hidden="false" customHeight="false" outlineLevel="0" collapsed="false">
      <c r="A37" s="7" t="s">
        <v>43</v>
      </c>
      <c r="B37" s="7" t="s">
        <v>44</v>
      </c>
      <c r="C37" s="7" t="s">
        <v>849</v>
      </c>
      <c r="D37" s="7" t="s">
        <v>758</v>
      </c>
      <c r="E37" s="7" t="s">
        <v>761</v>
      </c>
      <c r="F37" s="7" t="s">
        <v>760</v>
      </c>
      <c r="G37" s="7" t="s">
        <v>759</v>
      </c>
      <c r="H37" s="7" t="s">
        <v>46</v>
      </c>
      <c r="I37" s="7" t="s">
        <v>764</v>
      </c>
      <c r="J37" s="7" t="s">
        <v>3443</v>
      </c>
      <c r="K37" s="7" t="s">
        <v>3444</v>
      </c>
      <c r="L37" s="7" t="s">
        <v>3454</v>
      </c>
    </row>
    <row r="38" customFormat="false" ht="15" hidden="false" customHeight="false" outlineLevel="0" collapsed="false">
      <c r="A38" s="24" t="s">
        <v>57</v>
      </c>
      <c r="B38" s="24"/>
      <c r="C38" s="24"/>
      <c r="D38" s="24" t="n">
        <f aca="false">COUNTIF('R2 Orders'!$M$2:$M$501,A38)</f>
        <v>200</v>
      </c>
      <c r="E38" s="24" t="n">
        <f aca="false">COUNTIFS('R2 Orders'!$M$2:$M$501,A38,'R2 Orders'!$P$2:$P$501,"fail")</f>
        <v>0</v>
      </c>
      <c r="F38" s="24" t="n">
        <f aca="false">COUNTIFS('R2 Orders'!$M$2:$M$501,A38,'R2 Orders'!$P$2:$P$501,"warn")</f>
        <v>31</v>
      </c>
      <c r="G38" s="24" t="n">
        <f aca="false">COUNTIFS('R2 Orders'!$M$2:$M$501,A38,'R2 Orders'!$P$2:$P$501,"pass")</f>
        <v>169</v>
      </c>
      <c r="H38" s="24" t="n">
        <f aca="false">E38+F38</f>
        <v>31</v>
      </c>
      <c r="I38" s="25" t="n">
        <f aca="false">IF(D38=0,"",H38/D38)</f>
        <v>0.155</v>
      </c>
      <c r="J38" s="25" t="n">
        <f aca="false">IF(D38=0,"",((H38/D38)+1.959964^2/(2*D38)-1.959964*SQRT((H38/D38)*(1-(H38/D38))/D38+1.959964^2/(4*D38^2)))/(1+1.959964^2/D38))</f>
        <v>0.111396368983223</v>
      </c>
      <c r="K38" s="25" t="n">
        <f aca="false">IF(D38=0,"",((H38/D38)+1.959964^2/(2*D38)+1.959964*SQRT((H38/D38)*(1-(H38/D38))/D38+1.959964^2/(4*D38^2)))/(1+1.959964^2/D38))</f>
        <v>0.211606906418361</v>
      </c>
      <c r="L38" s="24"/>
    </row>
    <row r="39" customFormat="false" ht="15" hidden="false" customHeight="false" outlineLevel="0" collapsed="false">
      <c r="A39" s="24" t="s">
        <v>272</v>
      </c>
      <c r="B39" s="24" t="s">
        <v>84</v>
      </c>
      <c r="C39" s="24" t="s">
        <v>879</v>
      </c>
      <c r="D39" s="24" t="n">
        <f aca="false">COUNTIF('R2 Orders'!$M$2:$M$501,A39)</f>
        <v>20</v>
      </c>
      <c r="E39" s="24" t="n">
        <f aca="false">COUNTIFS('R2 Orders'!$M$2:$M$501,A39,'R2 Orders'!$P$2:$P$501,"fail")</f>
        <v>20</v>
      </c>
      <c r="F39" s="24" t="n">
        <f aca="false">COUNTIFS('R2 Orders'!$M$2:$M$501,A39,'R2 Orders'!$P$2:$P$501,"warn")</f>
        <v>0</v>
      </c>
      <c r="G39" s="24" t="n">
        <f aca="false">COUNTIFS('R2 Orders'!$M$2:$M$501,A39,'R2 Orders'!$P$2:$P$501,"pass")</f>
        <v>0</v>
      </c>
      <c r="H39" s="24" t="n">
        <f aca="false">E39+F39</f>
        <v>20</v>
      </c>
      <c r="I39" s="25" t="n">
        <f aca="false">IF(D39=0,"",H39/D39)</f>
        <v>1</v>
      </c>
      <c r="J39" s="25" t="n">
        <f aca="false">IF(D39=0,"",((H39/D39)+1.959964^2/(2*D39)-1.959964*SQRT((H39/D39)*(1-(H39/D39))/D39+1.959964^2/(4*D39^2)))/(1+1.959964^2/D39))</f>
        <v>0.83887483981487</v>
      </c>
      <c r="K39" s="25" t="n">
        <f aca="false">IF(D39=0,"",((H39/D39)+1.959964^2/(2*D39)+1.959964*SQRT((H39/D39)*(1-(H39/D39))/D39+1.959964^2/(4*D39^2)))/(1+1.959964^2/D39))</f>
        <v>1</v>
      </c>
      <c r="L39" s="24" t="n">
        <f aca="false">COUNTIFS('R2 Orders'!$M$2:$M$501,A39,'R2 Orders'!$AA$2:$AA$501,1)</f>
        <v>20</v>
      </c>
    </row>
    <row r="40" customFormat="false" ht="15" hidden="false" customHeight="false" outlineLevel="0" collapsed="false">
      <c r="A40" s="24" t="s">
        <v>132</v>
      </c>
      <c r="B40" s="24" t="s">
        <v>84</v>
      </c>
      <c r="C40" s="24" t="s">
        <v>879</v>
      </c>
      <c r="D40" s="24" t="n">
        <f aca="false">COUNTIF('R2 Orders'!$M$2:$M$501,A40)</f>
        <v>20</v>
      </c>
      <c r="E40" s="24" t="n">
        <f aca="false">COUNTIFS('R2 Orders'!$M$2:$M$501,A40,'R2 Orders'!$P$2:$P$501,"fail")</f>
        <v>20</v>
      </c>
      <c r="F40" s="24" t="n">
        <f aca="false">COUNTIFS('R2 Orders'!$M$2:$M$501,A40,'R2 Orders'!$P$2:$P$501,"warn")</f>
        <v>0</v>
      </c>
      <c r="G40" s="24" t="n">
        <f aca="false">COUNTIFS('R2 Orders'!$M$2:$M$501,A40,'R2 Orders'!$P$2:$P$501,"pass")</f>
        <v>0</v>
      </c>
      <c r="H40" s="24" t="n">
        <f aca="false">E40+F40</f>
        <v>20</v>
      </c>
      <c r="I40" s="25" t="n">
        <f aca="false">IF(D40=0,"",H40/D40)</f>
        <v>1</v>
      </c>
      <c r="J40" s="25" t="n">
        <f aca="false">IF(D40=0,"",((H40/D40)+1.959964^2/(2*D40)-1.959964*SQRT((H40/D40)*(1-(H40/D40))/D40+1.959964^2/(4*D40^2)))/(1+1.959964^2/D40))</f>
        <v>0.83887483981487</v>
      </c>
      <c r="K40" s="25" t="n">
        <f aca="false">IF(D40=0,"",((H40/D40)+1.959964^2/(2*D40)+1.959964*SQRT((H40/D40)*(1-(H40/D40))/D40+1.959964^2/(4*D40^2)))/(1+1.959964^2/D40))</f>
        <v>1</v>
      </c>
      <c r="L40" s="24" t="n">
        <f aca="false">COUNTIFS('R2 Orders'!$M$2:$M$501,A40,'R2 Orders'!$AA$2:$AA$501,1)</f>
        <v>20</v>
      </c>
    </row>
    <row r="41" customFormat="false" ht="15" hidden="false" customHeight="false" outlineLevel="0" collapsed="false">
      <c r="A41" s="24" t="s">
        <v>148</v>
      </c>
      <c r="B41" s="24" t="s">
        <v>84</v>
      </c>
      <c r="C41" s="24" t="s">
        <v>866</v>
      </c>
      <c r="D41" s="24" t="n">
        <f aca="false">COUNTIF('R2 Orders'!$M$2:$M$501,A41)</f>
        <v>20</v>
      </c>
      <c r="E41" s="24" t="n">
        <f aca="false">COUNTIFS('R2 Orders'!$M$2:$M$501,A41,'R2 Orders'!$P$2:$P$501,"fail")</f>
        <v>20</v>
      </c>
      <c r="F41" s="24" t="n">
        <f aca="false">COUNTIFS('R2 Orders'!$M$2:$M$501,A41,'R2 Orders'!$P$2:$P$501,"warn")</f>
        <v>0</v>
      </c>
      <c r="G41" s="24" t="n">
        <f aca="false">COUNTIFS('R2 Orders'!$M$2:$M$501,A41,'R2 Orders'!$P$2:$P$501,"pass")</f>
        <v>0</v>
      </c>
      <c r="H41" s="24" t="n">
        <f aca="false">E41+F41</f>
        <v>20</v>
      </c>
      <c r="I41" s="25" t="n">
        <f aca="false">IF(D41=0,"",H41/D41)</f>
        <v>1</v>
      </c>
      <c r="J41" s="25" t="n">
        <f aca="false">IF(D41=0,"",((H41/D41)+1.959964^2/(2*D41)-1.959964*SQRT((H41/D41)*(1-(H41/D41))/D41+1.959964^2/(4*D41^2)))/(1+1.959964^2/D41))</f>
        <v>0.83887483981487</v>
      </c>
      <c r="K41" s="25" t="n">
        <f aca="false">IF(D41=0,"",((H41/D41)+1.959964^2/(2*D41)+1.959964*SQRT((H41/D41)*(1-(H41/D41))/D41+1.959964^2/(4*D41^2)))/(1+1.959964^2/D41))</f>
        <v>1</v>
      </c>
      <c r="L41" s="24" t="n">
        <f aca="false">COUNTIFS('R2 Orders'!$M$2:$M$501,A41,'R2 Orders'!$Z$2:$Z$501,1)</f>
        <v>20</v>
      </c>
    </row>
    <row r="42" customFormat="false" ht="15" hidden="false" customHeight="false" outlineLevel="0" collapsed="false">
      <c r="A42" s="24" t="s">
        <v>224</v>
      </c>
      <c r="B42" s="24" t="s">
        <v>84</v>
      </c>
      <c r="C42" s="24" t="s">
        <v>866</v>
      </c>
      <c r="D42" s="24" t="n">
        <f aca="false">COUNTIF('R2 Orders'!$M$2:$M$501,A42)</f>
        <v>20</v>
      </c>
      <c r="E42" s="24" t="n">
        <f aca="false">COUNTIFS('R2 Orders'!$M$2:$M$501,A42,'R2 Orders'!$P$2:$P$501,"fail")</f>
        <v>20</v>
      </c>
      <c r="F42" s="24" t="n">
        <f aca="false">COUNTIFS('R2 Orders'!$M$2:$M$501,A42,'R2 Orders'!$P$2:$P$501,"warn")</f>
        <v>0</v>
      </c>
      <c r="G42" s="24" t="n">
        <f aca="false">COUNTIFS('R2 Orders'!$M$2:$M$501,A42,'R2 Orders'!$P$2:$P$501,"pass")</f>
        <v>0</v>
      </c>
      <c r="H42" s="24" t="n">
        <f aca="false">E42+F42</f>
        <v>20</v>
      </c>
      <c r="I42" s="25" t="n">
        <f aca="false">IF(D42=0,"",H42/D42)</f>
        <v>1</v>
      </c>
      <c r="J42" s="25" t="n">
        <f aca="false">IF(D42=0,"",((H42/D42)+1.959964^2/(2*D42)-1.959964*SQRT((H42/D42)*(1-(H42/D42))/D42+1.959964^2/(4*D42^2)))/(1+1.959964^2/D42))</f>
        <v>0.83887483981487</v>
      </c>
      <c r="K42" s="25" t="n">
        <f aca="false">IF(D42=0,"",((H42/D42)+1.959964^2/(2*D42)+1.959964*SQRT((H42/D42)*(1-(H42/D42))/D42+1.959964^2/(4*D42^2)))/(1+1.959964^2/D42))</f>
        <v>1</v>
      </c>
      <c r="L42" s="24" t="n">
        <f aca="false">COUNTIFS('R2 Orders'!$M$2:$M$501,A42,'R2 Orders'!$Z$2:$Z$501,1)</f>
        <v>20</v>
      </c>
    </row>
    <row r="43" customFormat="false" ht="15" hidden="false" customHeight="false" outlineLevel="0" collapsed="false">
      <c r="A43" s="24" t="s">
        <v>94</v>
      </c>
      <c r="B43" s="24" t="s">
        <v>84</v>
      </c>
      <c r="C43" s="24" t="s">
        <v>909</v>
      </c>
      <c r="D43" s="24" t="n">
        <f aca="false">COUNTIF('R2 Orders'!$M$2:$M$501,A43)</f>
        <v>20</v>
      </c>
      <c r="E43" s="24" t="n">
        <f aca="false">COUNTIFS('R2 Orders'!$M$2:$M$501,A43,'R2 Orders'!$P$2:$P$501,"fail")</f>
        <v>20</v>
      </c>
      <c r="F43" s="24" t="n">
        <f aca="false">COUNTIFS('R2 Orders'!$M$2:$M$501,A43,'R2 Orders'!$P$2:$P$501,"warn")</f>
        <v>0</v>
      </c>
      <c r="G43" s="24" t="n">
        <f aca="false">COUNTIFS('R2 Orders'!$M$2:$M$501,A43,'R2 Orders'!$P$2:$P$501,"pass")</f>
        <v>0</v>
      </c>
      <c r="H43" s="24" t="n">
        <f aca="false">E43+F43</f>
        <v>20</v>
      </c>
      <c r="I43" s="25" t="n">
        <f aca="false">IF(D43=0,"",H43/D43)</f>
        <v>1</v>
      </c>
      <c r="J43" s="25" t="n">
        <f aca="false">IF(D43=0,"",((H43/D43)+1.959964^2/(2*D43)-1.959964*SQRT((H43/D43)*(1-(H43/D43))/D43+1.959964^2/(4*D43^2)))/(1+1.959964^2/D43))</f>
        <v>0.83887483981487</v>
      </c>
      <c r="K43" s="25" t="n">
        <f aca="false">IF(D43=0,"",((H43/D43)+1.959964^2/(2*D43)+1.959964*SQRT((H43/D43)*(1-(H43/D43))/D43+1.959964^2/(4*D43^2)))/(1+1.959964^2/D43))</f>
        <v>1</v>
      </c>
      <c r="L43" s="24" t="n">
        <f aca="false">COUNTIFS('R2 Orders'!$M$2:$M$501,A43,'R2 Orders'!$AF$2:$AF$501,1)</f>
        <v>20</v>
      </c>
    </row>
    <row r="44" customFormat="false" ht="15" hidden="false" customHeight="false" outlineLevel="0" collapsed="false">
      <c r="A44" s="24" t="s">
        <v>83</v>
      </c>
      <c r="B44" s="24" t="s">
        <v>84</v>
      </c>
      <c r="C44" s="24" t="s">
        <v>886</v>
      </c>
      <c r="D44" s="24" t="n">
        <f aca="false">COUNTIF('R2 Orders'!$M$2:$M$501,A44)</f>
        <v>20</v>
      </c>
      <c r="E44" s="24" t="n">
        <f aca="false">COUNTIFS('R2 Orders'!$M$2:$M$501,A44,'R2 Orders'!$P$2:$P$501,"fail")</f>
        <v>20</v>
      </c>
      <c r="F44" s="24" t="n">
        <f aca="false">COUNTIFS('R2 Orders'!$M$2:$M$501,A44,'R2 Orders'!$P$2:$P$501,"warn")</f>
        <v>0</v>
      </c>
      <c r="G44" s="24" t="n">
        <f aca="false">COUNTIFS('R2 Orders'!$M$2:$M$501,A44,'R2 Orders'!$P$2:$P$501,"pass")</f>
        <v>0</v>
      </c>
      <c r="H44" s="24" t="n">
        <f aca="false">E44+F44</f>
        <v>20</v>
      </c>
      <c r="I44" s="25" t="n">
        <f aca="false">IF(D44=0,"",H44/D44)</f>
        <v>1</v>
      </c>
      <c r="J44" s="25" t="n">
        <f aca="false">IF(D44=0,"",((H44/D44)+1.959964^2/(2*D44)-1.959964*SQRT((H44/D44)*(1-(H44/D44))/D44+1.959964^2/(4*D44^2)))/(1+1.959964^2/D44))</f>
        <v>0.83887483981487</v>
      </c>
      <c r="K44" s="25" t="n">
        <f aca="false">IF(D44=0,"",((H44/D44)+1.959964^2/(2*D44)+1.959964*SQRT((H44/D44)*(1-(H44/D44))/D44+1.959964^2/(4*D44^2)))/(1+1.959964^2/D44))</f>
        <v>1</v>
      </c>
      <c r="L44" s="24" t="n">
        <f aca="false">COUNTIFS('R2 Orders'!$M$2:$M$501,A44,'R2 Orders'!$AB$2:$AB$501,1)</f>
        <v>20</v>
      </c>
    </row>
    <row r="45" customFormat="false" ht="15" hidden="false" customHeight="false" outlineLevel="0" collapsed="false">
      <c r="A45" s="24" t="s">
        <v>159</v>
      </c>
      <c r="B45" s="24" t="s">
        <v>84</v>
      </c>
      <c r="C45" s="24" t="s">
        <v>886</v>
      </c>
      <c r="D45" s="24" t="n">
        <f aca="false">COUNTIF('R2 Orders'!$M$2:$M$501,A45)</f>
        <v>20</v>
      </c>
      <c r="E45" s="24" t="n">
        <f aca="false">COUNTIFS('R2 Orders'!$M$2:$M$501,A45,'R2 Orders'!$P$2:$P$501,"fail")</f>
        <v>20</v>
      </c>
      <c r="F45" s="24" t="n">
        <f aca="false">COUNTIFS('R2 Orders'!$M$2:$M$501,A45,'R2 Orders'!$P$2:$P$501,"warn")</f>
        <v>0</v>
      </c>
      <c r="G45" s="24" t="n">
        <f aca="false">COUNTIFS('R2 Orders'!$M$2:$M$501,A45,'R2 Orders'!$P$2:$P$501,"pass")</f>
        <v>0</v>
      </c>
      <c r="H45" s="24" t="n">
        <f aca="false">E45+F45</f>
        <v>20</v>
      </c>
      <c r="I45" s="25" t="n">
        <f aca="false">IF(D45=0,"",H45/D45)</f>
        <v>1</v>
      </c>
      <c r="J45" s="25" t="n">
        <f aca="false">IF(D45=0,"",((H45/D45)+1.959964^2/(2*D45)-1.959964*SQRT((H45/D45)*(1-(H45/D45))/D45+1.959964^2/(4*D45^2)))/(1+1.959964^2/D45))</f>
        <v>0.83887483981487</v>
      </c>
      <c r="K45" s="25" t="n">
        <f aca="false">IF(D45=0,"",((H45/D45)+1.959964^2/(2*D45)+1.959964*SQRT((H45/D45)*(1-(H45/D45))/D45+1.959964^2/(4*D45^2)))/(1+1.959964^2/D45))</f>
        <v>1</v>
      </c>
      <c r="L45" s="24" t="n">
        <f aca="false">COUNTIFS('R2 Orders'!$M$2:$M$501,A45,'R2 Orders'!$AB$2:$AB$501,1)</f>
        <v>20</v>
      </c>
    </row>
    <row r="46" customFormat="false" ht="15" hidden="false" customHeight="false" outlineLevel="0" collapsed="false">
      <c r="A46" s="24" t="s">
        <v>152</v>
      </c>
      <c r="B46" s="24" t="s">
        <v>84</v>
      </c>
      <c r="C46" s="24" t="s">
        <v>886</v>
      </c>
      <c r="D46" s="24" t="n">
        <f aca="false">COUNTIF('R2 Orders'!$M$2:$M$501,A46)</f>
        <v>20</v>
      </c>
      <c r="E46" s="24" t="n">
        <f aca="false">COUNTIFS('R2 Orders'!$M$2:$M$501,A46,'R2 Orders'!$P$2:$P$501,"fail")</f>
        <v>20</v>
      </c>
      <c r="F46" s="24" t="n">
        <f aca="false">COUNTIFS('R2 Orders'!$M$2:$M$501,A46,'R2 Orders'!$P$2:$P$501,"warn")</f>
        <v>0</v>
      </c>
      <c r="G46" s="24" t="n">
        <f aca="false">COUNTIFS('R2 Orders'!$M$2:$M$501,A46,'R2 Orders'!$P$2:$P$501,"pass")</f>
        <v>0</v>
      </c>
      <c r="H46" s="24" t="n">
        <f aca="false">E46+F46</f>
        <v>20</v>
      </c>
      <c r="I46" s="25" t="n">
        <f aca="false">IF(D46=0,"",H46/D46)</f>
        <v>1</v>
      </c>
      <c r="J46" s="25" t="n">
        <f aca="false">IF(D46=0,"",((H46/D46)+1.959964^2/(2*D46)-1.959964*SQRT((H46/D46)*(1-(H46/D46))/D46+1.959964^2/(4*D46^2)))/(1+1.959964^2/D46))</f>
        <v>0.83887483981487</v>
      </c>
      <c r="K46" s="25" t="n">
        <f aca="false">IF(D46=0,"",((H46/D46)+1.959964^2/(2*D46)+1.959964*SQRT((H46/D46)*(1-(H46/D46))/D46+1.959964^2/(4*D46^2)))/(1+1.959964^2/D46))</f>
        <v>1</v>
      </c>
      <c r="L46" s="24" t="n">
        <f aca="false">COUNTIFS('R2 Orders'!$M$2:$M$501,A46,'R2 Orders'!$AB$2:$AB$501,1)</f>
        <v>20</v>
      </c>
    </row>
    <row r="47" customFormat="false" ht="15" hidden="false" customHeight="false" outlineLevel="0" collapsed="false">
      <c r="A47" s="24" t="s">
        <v>171</v>
      </c>
      <c r="B47" s="24" t="s">
        <v>84</v>
      </c>
      <c r="C47" s="24" t="s">
        <v>892</v>
      </c>
      <c r="D47" s="24" t="n">
        <f aca="false">COUNTIF('R2 Orders'!$M$2:$M$501,A47)</f>
        <v>20</v>
      </c>
      <c r="E47" s="24" t="n">
        <f aca="false">COUNTIFS('R2 Orders'!$M$2:$M$501,A47,'R2 Orders'!$P$2:$P$501,"fail")</f>
        <v>20</v>
      </c>
      <c r="F47" s="24" t="n">
        <f aca="false">COUNTIFS('R2 Orders'!$M$2:$M$501,A47,'R2 Orders'!$P$2:$P$501,"warn")</f>
        <v>0</v>
      </c>
      <c r="G47" s="24" t="n">
        <f aca="false">COUNTIFS('R2 Orders'!$M$2:$M$501,A47,'R2 Orders'!$P$2:$P$501,"pass")</f>
        <v>0</v>
      </c>
      <c r="H47" s="24" t="n">
        <f aca="false">E47+F47</f>
        <v>20</v>
      </c>
      <c r="I47" s="25" t="n">
        <f aca="false">IF(D47=0,"",H47/D47)</f>
        <v>1</v>
      </c>
      <c r="J47" s="25" t="n">
        <f aca="false">IF(D47=0,"",((H47/D47)+1.959964^2/(2*D47)-1.959964*SQRT((H47/D47)*(1-(H47/D47))/D47+1.959964^2/(4*D47^2)))/(1+1.959964^2/D47))</f>
        <v>0.83887483981487</v>
      </c>
      <c r="K47" s="25" t="n">
        <f aca="false">IF(D47=0,"",((H47/D47)+1.959964^2/(2*D47)+1.959964*SQRT((H47/D47)*(1-(H47/D47))/D47+1.959964^2/(4*D47^2)))/(1+1.959964^2/D47))</f>
        <v>1</v>
      </c>
      <c r="L47" s="24" t="n">
        <f aca="false">COUNTIFS('R2 Orders'!$M$2:$M$501,A47,'R2 Orders'!$AC$2:$AC$501,1)</f>
        <v>20</v>
      </c>
    </row>
    <row r="48" customFormat="false" ht="15" hidden="false" customHeight="false" outlineLevel="0" collapsed="false">
      <c r="A48" s="24" t="s">
        <v>97</v>
      </c>
      <c r="B48" s="24" t="s">
        <v>84</v>
      </c>
      <c r="C48" s="24" t="s">
        <v>1185</v>
      </c>
      <c r="D48" s="24" t="n">
        <f aca="false">COUNTIF('R2 Orders'!$M$2:$M$501,A48)</f>
        <v>20</v>
      </c>
      <c r="E48" s="24" t="n">
        <f aca="false">COUNTIFS('R2 Orders'!$M$2:$M$501,A48,'R2 Orders'!$P$2:$P$501,"fail")</f>
        <v>0</v>
      </c>
      <c r="F48" s="24" t="n">
        <f aca="false">COUNTIFS('R2 Orders'!$M$2:$M$501,A48,'R2 Orders'!$P$2:$P$501,"warn")</f>
        <v>20</v>
      </c>
      <c r="G48" s="24" t="n">
        <f aca="false">COUNTIFS('R2 Orders'!$M$2:$M$501,A48,'R2 Orders'!$P$2:$P$501,"pass")</f>
        <v>0</v>
      </c>
      <c r="H48" s="24" t="n">
        <f aca="false">E48+F48</f>
        <v>20</v>
      </c>
      <c r="I48" s="25" t="n">
        <f aca="false">IF(D48=0,"",H48/D48)</f>
        <v>1</v>
      </c>
      <c r="J48" s="25" t="n">
        <f aca="false">IF(D48=0,"",((H48/D48)+1.959964^2/(2*D48)-1.959964*SQRT((H48/D48)*(1-(H48/D48))/D48+1.959964^2/(4*D48^2)))/(1+1.959964^2/D48))</f>
        <v>0.83887483981487</v>
      </c>
      <c r="K48" s="25" t="n">
        <f aca="false">IF(D48=0,"",((H48/D48)+1.959964^2/(2*D48)+1.959964*SQRT((H48/D48)*(1-(H48/D48))/D48+1.959964^2/(4*D48^2)))/(1+1.959964^2/D48))</f>
        <v>1</v>
      </c>
      <c r="L48" s="24" t="n">
        <f aca="false">COUNTIFS('R2 Orders'!$M$2:$M$501,A48,'R2 Orders'!$AG$2:$AG$501,1)</f>
        <v>20</v>
      </c>
    </row>
    <row r="49" customFormat="false" ht="15" hidden="false" customHeight="false" outlineLevel="0" collapsed="false">
      <c r="A49" s="24" t="s">
        <v>960</v>
      </c>
      <c r="B49" s="24" t="s">
        <v>84</v>
      </c>
      <c r="C49" s="24" t="s">
        <v>961</v>
      </c>
      <c r="D49" s="24" t="n">
        <f aca="false">COUNTIF('R2 Orders'!$M$2:$M$501,A49)</f>
        <v>20</v>
      </c>
      <c r="E49" s="24" t="n">
        <f aca="false">COUNTIFS('R2 Orders'!$M$2:$M$501,A49,'R2 Orders'!$P$2:$P$501,"fail")</f>
        <v>20</v>
      </c>
      <c r="F49" s="24" t="n">
        <f aca="false">COUNTIFS('R2 Orders'!$M$2:$M$501,A49,'R2 Orders'!$P$2:$P$501,"warn")</f>
        <v>0</v>
      </c>
      <c r="G49" s="24" t="n">
        <f aca="false">COUNTIFS('R2 Orders'!$M$2:$M$501,A49,'R2 Orders'!$P$2:$P$501,"pass")</f>
        <v>0</v>
      </c>
      <c r="H49" s="24" t="n">
        <f aca="false">E49+F49</f>
        <v>20</v>
      </c>
      <c r="I49" s="25" t="n">
        <f aca="false">IF(D49=0,"",H49/D49)</f>
        <v>1</v>
      </c>
      <c r="J49" s="25" t="n">
        <f aca="false">IF(D49=0,"",((H49/D49)+1.959964^2/(2*D49)-1.959964*SQRT((H49/D49)*(1-(H49/D49))/D49+1.959964^2/(4*D49^2)))/(1+1.959964^2/D49))</f>
        <v>0.83887483981487</v>
      </c>
      <c r="K49" s="25" t="n">
        <f aca="false">IF(D49=0,"",((H49/D49)+1.959964^2/(2*D49)+1.959964*SQRT((H49/D49)*(1-(H49/D49))/D49+1.959964^2/(4*D49^2)))/(1+1.959964^2/D49))</f>
        <v>1</v>
      </c>
      <c r="L49" s="24" t="n">
        <f aca="false">COUNTIFS('R2 Orders'!$M$2:$M$501,A49,'R2 Orders'!$AD$2:$AD$501,1)</f>
        <v>20</v>
      </c>
    </row>
    <row r="50" customFormat="false" ht="15" hidden="false" customHeight="false" outlineLevel="0" collapsed="false">
      <c r="A50" s="24" t="s">
        <v>984</v>
      </c>
      <c r="B50" s="24" t="s">
        <v>84</v>
      </c>
      <c r="C50" s="24" t="s">
        <v>985</v>
      </c>
      <c r="D50" s="24" t="n">
        <f aca="false">COUNTIF('R2 Orders'!$M$2:$M$501,A50)</f>
        <v>20</v>
      </c>
      <c r="E50" s="24" t="n">
        <f aca="false">COUNTIFS('R2 Orders'!$M$2:$M$501,A50,'R2 Orders'!$P$2:$P$501,"fail")</f>
        <v>20</v>
      </c>
      <c r="F50" s="24" t="n">
        <f aca="false">COUNTIFS('R2 Orders'!$M$2:$M$501,A50,'R2 Orders'!$P$2:$P$501,"warn")</f>
        <v>0</v>
      </c>
      <c r="G50" s="24" t="n">
        <f aca="false">COUNTIFS('R2 Orders'!$M$2:$M$501,A50,'R2 Orders'!$P$2:$P$501,"pass")</f>
        <v>0</v>
      </c>
      <c r="H50" s="24" t="n">
        <f aca="false">E50+F50</f>
        <v>20</v>
      </c>
      <c r="I50" s="25" t="n">
        <f aca="false">IF(D50=0,"",H50/D50)</f>
        <v>1</v>
      </c>
      <c r="J50" s="25" t="n">
        <f aca="false">IF(D50=0,"",((H50/D50)+1.959964^2/(2*D50)-1.959964*SQRT((H50/D50)*(1-(H50/D50))/D50+1.959964^2/(4*D50^2)))/(1+1.959964^2/D50))</f>
        <v>0.83887483981487</v>
      </c>
      <c r="K50" s="25" t="n">
        <f aca="false">IF(D50=0,"",((H50/D50)+1.959964^2/(2*D50)+1.959964*SQRT((H50/D50)*(1-(H50/D50))/D50+1.959964^2/(4*D50^2)))/(1+1.959964^2/D50))</f>
        <v>1</v>
      </c>
      <c r="L50" s="24" t="n">
        <f aca="false">COUNTIFS('R2 Orders'!$M$2:$M$501,A50,'R2 Orders'!$AE$2:$AE$501,1)</f>
        <v>20</v>
      </c>
    </row>
    <row r="51" customFormat="false" ht="15" hidden="false" customHeight="false" outlineLevel="0" collapsed="false">
      <c r="A51" s="24" t="s">
        <v>1009</v>
      </c>
      <c r="B51" s="24" t="s">
        <v>58</v>
      </c>
      <c r="C51" s="24"/>
      <c r="D51" s="24" t="n">
        <f aca="false">COUNTIF('R2 Orders'!$M$2:$M$501,A51)</f>
        <v>20</v>
      </c>
      <c r="E51" s="24" t="n">
        <f aca="false">COUNTIFS('R2 Orders'!$M$2:$M$501,A51,'R2 Orders'!$P$2:$P$501,"fail")</f>
        <v>0</v>
      </c>
      <c r="F51" s="24" t="n">
        <f aca="false">COUNTIFS('R2 Orders'!$M$2:$M$501,A51,'R2 Orders'!$P$2:$P$501,"warn")</f>
        <v>6</v>
      </c>
      <c r="G51" s="24" t="n">
        <f aca="false">COUNTIFS('R2 Orders'!$M$2:$M$501,A51,'R2 Orders'!$P$2:$P$501,"pass")</f>
        <v>14</v>
      </c>
      <c r="H51" s="24" t="n">
        <f aca="false">E51+F51</f>
        <v>6</v>
      </c>
      <c r="I51" s="25" t="n">
        <f aca="false">IF(D51=0,"",H51/D51)</f>
        <v>0.3</v>
      </c>
      <c r="J51" s="25" t="n">
        <f aca="false">IF(D51=0,"",((H51/D51)+1.959964^2/(2*D51)-1.959964*SQRT((H51/D51)*(1-(H51/D51))/D51+1.959964^2/(4*D51^2)))/(1+1.959964^2/D51))</f>
        <v>0.145477244021573</v>
      </c>
      <c r="K51" s="25" t="n">
        <f aca="false">IF(D51=0,"",((H51/D51)+1.959964^2/(2*D51)+1.959964*SQRT((H51/D51)*(1-(H51/D51))/D51+1.959964^2/(4*D51^2)))/(1+1.959964^2/D51))</f>
        <v>0.518972820052479</v>
      </c>
      <c r="L51" s="24"/>
    </row>
    <row r="52" customFormat="false" ht="15" hidden="false" customHeight="false" outlineLevel="0" collapsed="false">
      <c r="A52" s="24" t="s">
        <v>927</v>
      </c>
      <c r="B52" s="24" t="s">
        <v>58</v>
      </c>
      <c r="C52" s="24"/>
      <c r="D52" s="24" t="n">
        <f aca="false">COUNTIF('R2 Orders'!$M$2:$M$501,A52)</f>
        <v>20</v>
      </c>
      <c r="E52" s="24" t="n">
        <f aca="false">COUNTIFS('R2 Orders'!$M$2:$M$501,A52,'R2 Orders'!$P$2:$P$501,"fail")</f>
        <v>0</v>
      </c>
      <c r="F52" s="24" t="n">
        <f aca="false">COUNTIFS('R2 Orders'!$M$2:$M$501,A52,'R2 Orders'!$P$2:$P$501,"warn")</f>
        <v>18</v>
      </c>
      <c r="G52" s="24" t="n">
        <f aca="false">COUNTIFS('R2 Orders'!$M$2:$M$501,A52,'R2 Orders'!$P$2:$P$501,"pass")</f>
        <v>2</v>
      </c>
      <c r="H52" s="24" t="n">
        <f aca="false">E52+F52</f>
        <v>18</v>
      </c>
      <c r="I52" s="25" t="n">
        <f aca="false">IF(D52=0,"",H52/D52)</f>
        <v>0.9</v>
      </c>
      <c r="J52" s="25" t="n">
        <f aca="false">IF(D52=0,"",((H52/D52)+1.959964^2/(2*D52)-1.959964*SQRT((H52/D52)*(1-(H52/D52))/D52+1.959964^2/(4*D52^2)))/(1+1.959964^2/D52))</f>
        <v>0.698966352813588</v>
      </c>
      <c r="K52" s="25" t="n">
        <f aca="false">IF(D52=0,"",((H52/D52)+1.959964^2/(2*D52)+1.959964*SQRT((H52/D52)*(1-(H52/D52))/D52+1.959964^2/(4*D52^2)))/(1+1.959964^2/D52))</f>
        <v>0.972133519038309</v>
      </c>
      <c r="L52" s="24"/>
    </row>
    <row r="53" customFormat="false" ht="15" hidden="false" customHeight="false" outlineLevel="0" collapsed="false">
      <c r="A53" s="24" t="s">
        <v>1042</v>
      </c>
      <c r="B53" s="24" t="s">
        <v>58</v>
      </c>
      <c r="C53" s="24"/>
      <c r="D53" s="24" t="n">
        <f aca="false">COUNTIF('R2 Orders'!$M$2:$M$501,A53)</f>
        <v>20</v>
      </c>
      <c r="E53" s="24" t="n">
        <f aca="false">COUNTIFS('R2 Orders'!$M$2:$M$501,A53,'R2 Orders'!$P$2:$P$501,"fail")</f>
        <v>0</v>
      </c>
      <c r="F53" s="24" t="n">
        <f aca="false">COUNTIFS('R2 Orders'!$M$2:$M$501,A53,'R2 Orders'!$P$2:$P$501,"warn")</f>
        <v>1</v>
      </c>
      <c r="G53" s="24" t="n">
        <f aca="false">COUNTIFS('R2 Orders'!$M$2:$M$501,A53,'R2 Orders'!$P$2:$P$501,"pass")</f>
        <v>19</v>
      </c>
      <c r="H53" s="24" t="n">
        <f aca="false">E53+F53</f>
        <v>1</v>
      </c>
      <c r="I53" s="25" t="n">
        <f aca="false">IF(D53=0,"",H53/D53)</f>
        <v>0.05</v>
      </c>
      <c r="J53" s="25" t="n">
        <f aca="false">IF(D53=0,"",((H53/D53)+1.959964^2/(2*D53)-1.959964*SQRT((H53/D53)*(1-(H53/D53))/D53+1.959964^2/(4*D53^2)))/(1+1.959964^2/D53))</f>
        <v>0.00888144870233553</v>
      </c>
      <c r="K53" s="25" t="n">
        <f aca="false">IF(D53=0,"",((H53/D53)+1.959964^2/(2*D53)+1.959964*SQRT((H53/D53)*(1-(H53/D53))/D53+1.959964^2/(4*D53^2)))/(1+1.959964^2/D53))</f>
        <v>0.236131195464281</v>
      </c>
      <c r="L53" s="24"/>
    </row>
    <row r="54" customFormat="false" ht="15" hidden="false" customHeight="false" outlineLevel="0" collapsed="false">
      <c r="A54" s="26" t="s">
        <v>3455</v>
      </c>
    </row>
    <row r="56" customFormat="false" ht="15" hidden="false" customHeight="false" outlineLevel="0" collapsed="false">
      <c r="A56" s="5" t="s">
        <v>3456</v>
      </c>
    </row>
    <row r="57" customFormat="false" ht="39.55" hidden="false" customHeight="false" outlineLevel="0" collapsed="false">
      <c r="A57" s="7" t="s">
        <v>3457</v>
      </c>
      <c r="B57" s="7" t="s">
        <v>788</v>
      </c>
      <c r="C57" s="7" t="s">
        <v>789</v>
      </c>
      <c r="D57" s="7" t="s">
        <v>791</v>
      </c>
      <c r="E57" s="7" t="s">
        <v>3458</v>
      </c>
      <c r="F57" s="7" t="s">
        <v>3443</v>
      </c>
      <c r="G57" s="7" t="s">
        <v>3444</v>
      </c>
    </row>
    <row r="58" customFormat="false" ht="15" hidden="false" customHeight="false" outlineLevel="0" collapsed="false">
      <c r="A58" s="24" t="s">
        <v>149</v>
      </c>
      <c r="B58" s="24" t="s">
        <v>794</v>
      </c>
      <c r="C58" s="24" t="n">
        <f aca="false">SUM('R2 Orders'!$Z$2:$Z$501)</f>
        <v>40</v>
      </c>
      <c r="D58" s="24" t="n">
        <f aca="false">COUNTIFS('R2 Orders'!$M$2:$M$501,"Clean order (no error)",'R2 Orders'!$Z$2:$Z$501,1)</f>
        <v>0</v>
      </c>
      <c r="E58" s="25" t="n">
        <f aca="false">D58/COUNTIF('R2 Orders'!$M$2:$M$501,"Clean order (no error)")</f>
        <v>0</v>
      </c>
      <c r="F58" s="25" t="n">
        <f aca="false">IF(COUNTIF('R2 Orders'!$M$2:$M$501,"Clean order (no error)")=0,"",((D58/COUNTIF('R2 Orders'!$M$2:$M$501,"Clean order (no error)"))+1.959964^2/(2*COUNTIF('R2 Orders'!$M$2:$M$501,"Clean order (no error)"))-1.959964*SQRT((D58/COUNTIF('R2 Orders'!$M$2:$M$501,"Clean order (no error)"))*(1-(D58/COUNTIF('R2 Orders'!$M$2:$M$501,"Clean order (no error)")))/COUNTIF('R2 Orders'!$M$2:$M$501,"Clean order (no error)")+1.959964^2/(4*COUNTIF('R2 Orders'!$M$2:$M$501,"Clean order (no error)")^2)))/(1+1.959964^2/COUNTIF('R2 Orders'!$M$2:$M$501,"Clean order (no error)")))</f>
        <v>0</v>
      </c>
      <c r="G58" s="25" t="n">
        <f aca="false">IF(COUNTIF('R2 Orders'!$M$2:$M$501,"Clean order (no error)")=0,"",((D58/COUNTIF('R2 Orders'!$M$2:$M$501,"Clean order (no error)"))+1.959964^2/(2*COUNTIF('R2 Orders'!$M$2:$M$501,"Clean order (no error)"))+1.959964*SQRT((D58/COUNTIF('R2 Orders'!$M$2:$M$501,"Clean order (no error)"))*(1-(D58/COUNTIF('R2 Orders'!$M$2:$M$501,"Clean order (no error)")))/COUNTIF('R2 Orders'!$M$2:$M$501,"Clean order (no error)")+1.959964^2/(4*COUNTIF('R2 Orders'!$M$2:$M$501,"Clean order (no error)")^2)))/(1+1.959964^2/COUNTIF('R2 Orders'!$M$2:$M$501,"Clean order (no error)")))</f>
        <v>0.0188453266689629</v>
      </c>
    </row>
    <row r="59" customFormat="false" ht="15" hidden="false" customHeight="false" outlineLevel="0" collapsed="false">
      <c r="A59" s="24" t="s">
        <v>3459</v>
      </c>
      <c r="B59" s="24" t="s">
        <v>794</v>
      </c>
      <c r="C59" s="24" t="n">
        <f aca="false">SUM('R2 Orders'!$AA$2:$AA$501)</f>
        <v>40</v>
      </c>
      <c r="D59" s="24" t="n">
        <f aca="false">COUNTIFS('R2 Orders'!$M$2:$M$501,"Clean order (no error)",'R2 Orders'!$AA$2:$AA$501,1)</f>
        <v>0</v>
      </c>
      <c r="E59" s="25" t="n">
        <f aca="false">D59/COUNTIF('R2 Orders'!$M$2:$M$501,"Clean order (no error)")</f>
        <v>0</v>
      </c>
      <c r="F59" s="25" t="n">
        <f aca="false">IF(COUNTIF('R2 Orders'!$M$2:$M$501,"Clean order (no error)")=0,"",((D59/COUNTIF('R2 Orders'!$M$2:$M$501,"Clean order (no error)"))+1.959964^2/(2*COUNTIF('R2 Orders'!$M$2:$M$501,"Clean order (no error)"))-1.959964*SQRT((D59/COUNTIF('R2 Orders'!$M$2:$M$501,"Clean order (no error)"))*(1-(D59/COUNTIF('R2 Orders'!$M$2:$M$501,"Clean order (no error)")))/COUNTIF('R2 Orders'!$M$2:$M$501,"Clean order (no error)")+1.959964^2/(4*COUNTIF('R2 Orders'!$M$2:$M$501,"Clean order (no error)")^2)))/(1+1.959964^2/COUNTIF('R2 Orders'!$M$2:$M$501,"Clean order (no error)")))</f>
        <v>0</v>
      </c>
      <c r="G59" s="25" t="n">
        <f aca="false">IF(COUNTIF('R2 Orders'!$M$2:$M$501,"Clean order (no error)")=0,"",((D59/COUNTIF('R2 Orders'!$M$2:$M$501,"Clean order (no error)"))+1.959964^2/(2*COUNTIF('R2 Orders'!$M$2:$M$501,"Clean order (no error)"))+1.959964*SQRT((D59/COUNTIF('R2 Orders'!$M$2:$M$501,"Clean order (no error)"))*(1-(D59/COUNTIF('R2 Orders'!$M$2:$M$501,"Clean order (no error)")))/COUNTIF('R2 Orders'!$M$2:$M$501,"Clean order (no error)")+1.959964^2/(4*COUNTIF('R2 Orders'!$M$2:$M$501,"Clean order (no error)")^2)))/(1+1.959964^2/COUNTIF('R2 Orders'!$M$2:$M$501,"Clean order (no error)")))</f>
        <v>0.0188453266689629</v>
      </c>
    </row>
    <row r="60" customFormat="false" ht="15" hidden="false" customHeight="false" outlineLevel="0" collapsed="false">
      <c r="A60" s="24" t="s">
        <v>87</v>
      </c>
      <c r="B60" s="24" t="s">
        <v>794</v>
      </c>
      <c r="C60" s="24" t="n">
        <f aca="false">SUM('R2 Orders'!$AB$2:$AB$501)</f>
        <v>60</v>
      </c>
      <c r="D60" s="24" t="n">
        <f aca="false">COUNTIFS('R2 Orders'!$M$2:$M$501,"Clean order (no error)",'R2 Orders'!$AB$2:$AB$501,1)</f>
        <v>0</v>
      </c>
      <c r="E60" s="25" t="n">
        <f aca="false">D60/COUNTIF('R2 Orders'!$M$2:$M$501,"Clean order (no error)")</f>
        <v>0</v>
      </c>
      <c r="F60" s="25" t="n">
        <f aca="false">IF(COUNTIF('R2 Orders'!$M$2:$M$501,"Clean order (no error)")=0,"",((D60/COUNTIF('R2 Orders'!$M$2:$M$501,"Clean order (no error)"))+1.959964^2/(2*COUNTIF('R2 Orders'!$M$2:$M$501,"Clean order (no error)"))-1.959964*SQRT((D60/COUNTIF('R2 Orders'!$M$2:$M$501,"Clean order (no error)"))*(1-(D60/COUNTIF('R2 Orders'!$M$2:$M$501,"Clean order (no error)")))/COUNTIF('R2 Orders'!$M$2:$M$501,"Clean order (no error)")+1.959964^2/(4*COUNTIF('R2 Orders'!$M$2:$M$501,"Clean order (no error)")^2)))/(1+1.959964^2/COUNTIF('R2 Orders'!$M$2:$M$501,"Clean order (no error)")))</f>
        <v>0</v>
      </c>
      <c r="G60" s="25" t="n">
        <f aca="false">IF(COUNTIF('R2 Orders'!$M$2:$M$501,"Clean order (no error)")=0,"",((D60/COUNTIF('R2 Orders'!$M$2:$M$501,"Clean order (no error)"))+1.959964^2/(2*COUNTIF('R2 Orders'!$M$2:$M$501,"Clean order (no error)"))+1.959964*SQRT((D60/COUNTIF('R2 Orders'!$M$2:$M$501,"Clean order (no error)"))*(1-(D60/COUNTIF('R2 Orders'!$M$2:$M$501,"Clean order (no error)")))/COUNTIF('R2 Orders'!$M$2:$M$501,"Clean order (no error)")+1.959964^2/(4*COUNTIF('R2 Orders'!$M$2:$M$501,"Clean order (no error)")^2)))/(1+1.959964^2/COUNTIF('R2 Orders'!$M$2:$M$501,"Clean order (no error)")))</f>
        <v>0.0188453266689629</v>
      </c>
    </row>
    <row r="61" customFormat="false" ht="15" hidden="false" customHeight="false" outlineLevel="0" collapsed="false">
      <c r="A61" s="24" t="s">
        <v>209</v>
      </c>
      <c r="B61" s="24" t="s">
        <v>794</v>
      </c>
      <c r="C61" s="24" t="n">
        <f aca="false">SUM('R2 Orders'!$AC$2:$AC$501)</f>
        <v>60</v>
      </c>
      <c r="D61" s="24" t="n">
        <f aca="false">COUNTIFS('R2 Orders'!$M$2:$M$501,"Clean order (no error)",'R2 Orders'!$AC$2:$AC$501,1)</f>
        <v>0</v>
      </c>
      <c r="E61" s="25" t="n">
        <f aca="false">D61/COUNTIF('R2 Orders'!$M$2:$M$501,"Clean order (no error)")</f>
        <v>0</v>
      </c>
      <c r="F61" s="25" t="n">
        <f aca="false">IF(COUNTIF('R2 Orders'!$M$2:$M$501,"Clean order (no error)")=0,"",((D61/COUNTIF('R2 Orders'!$M$2:$M$501,"Clean order (no error)"))+1.959964^2/(2*COUNTIF('R2 Orders'!$M$2:$M$501,"Clean order (no error)"))-1.959964*SQRT((D61/COUNTIF('R2 Orders'!$M$2:$M$501,"Clean order (no error)"))*(1-(D61/COUNTIF('R2 Orders'!$M$2:$M$501,"Clean order (no error)")))/COUNTIF('R2 Orders'!$M$2:$M$501,"Clean order (no error)")+1.959964^2/(4*COUNTIF('R2 Orders'!$M$2:$M$501,"Clean order (no error)")^2)))/(1+1.959964^2/COUNTIF('R2 Orders'!$M$2:$M$501,"Clean order (no error)")))</f>
        <v>0</v>
      </c>
      <c r="G61" s="25" t="n">
        <f aca="false">IF(COUNTIF('R2 Orders'!$M$2:$M$501,"Clean order (no error)")=0,"",((D61/COUNTIF('R2 Orders'!$M$2:$M$501,"Clean order (no error)"))+1.959964^2/(2*COUNTIF('R2 Orders'!$M$2:$M$501,"Clean order (no error)"))+1.959964*SQRT((D61/COUNTIF('R2 Orders'!$M$2:$M$501,"Clean order (no error)"))*(1-(D61/COUNTIF('R2 Orders'!$M$2:$M$501,"Clean order (no error)")))/COUNTIF('R2 Orders'!$M$2:$M$501,"Clean order (no error)")+1.959964^2/(4*COUNTIF('R2 Orders'!$M$2:$M$501,"Clean order (no error)")^2)))/(1+1.959964^2/COUNTIF('R2 Orders'!$M$2:$M$501,"Clean order (no error)")))</f>
        <v>0.0188453266689629</v>
      </c>
    </row>
    <row r="62" customFormat="false" ht="15" hidden="false" customHeight="false" outlineLevel="0" collapsed="false">
      <c r="A62" s="24" t="s">
        <v>3460</v>
      </c>
      <c r="B62" s="24" t="s">
        <v>794</v>
      </c>
      <c r="C62" s="24" t="n">
        <f aca="false">SUM('R2 Orders'!$AD$2:$AD$501)</f>
        <v>20</v>
      </c>
      <c r="D62" s="24" t="n">
        <f aca="false">COUNTIFS('R2 Orders'!$M$2:$M$501,"Clean order (no error)",'R2 Orders'!$AD$2:$AD$501,1)</f>
        <v>0</v>
      </c>
      <c r="E62" s="25" t="n">
        <f aca="false">D62/COUNTIF('R2 Orders'!$M$2:$M$501,"Clean order (no error)")</f>
        <v>0</v>
      </c>
      <c r="F62" s="25" t="n">
        <f aca="false">IF(COUNTIF('R2 Orders'!$M$2:$M$501,"Clean order (no error)")=0,"",((D62/COUNTIF('R2 Orders'!$M$2:$M$501,"Clean order (no error)"))+1.959964^2/(2*COUNTIF('R2 Orders'!$M$2:$M$501,"Clean order (no error)"))-1.959964*SQRT((D62/COUNTIF('R2 Orders'!$M$2:$M$501,"Clean order (no error)"))*(1-(D62/COUNTIF('R2 Orders'!$M$2:$M$501,"Clean order (no error)")))/COUNTIF('R2 Orders'!$M$2:$M$501,"Clean order (no error)")+1.959964^2/(4*COUNTIF('R2 Orders'!$M$2:$M$501,"Clean order (no error)")^2)))/(1+1.959964^2/COUNTIF('R2 Orders'!$M$2:$M$501,"Clean order (no error)")))</f>
        <v>0</v>
      </c>
      <c r="G62" s="25" t="n">
        <f aca="false">IF(COUNTIF('R2 Orders'!$M$2:$M$501,"Clean order (no error)")=0,"",((D62/COUNTIF('R2 Orders'!$M$2:$M$501,"Clean order (no error)"))+1.959964^2/(2*COUNTIF('R2 Orders'!$M$2:$M$501,"Clean order (no error)"))+1.959964*SQRT((D62/COUNTIF('R2 Orders'!$M$2:$M$501,"Clean order (no error)"))*(1-(D62/COUNTIF('R2 Orders'!$M$2:$M$501,"Clean order (no error)")))/COUNTIF('R2 Orders'!$M$2:$M$501,"Clean order (no error)")+1.959964^2/(4*COUNTIF('R2 Orders'!$M$2:$M$501,"Clean order (no error)")^2)))/(1+1.959964^2/COUNTIF('R2 Orders'!$M$2:$M$501,"Clean order (no error)")))</f>
        <v>0.0188453266689629</v>
      </c>
    </row>
    <row r="63" customFormat="false" ht="15" hidden="false" customHeight="false" outlineLevel="0" collapsed="false">
      <c r="A63" s="24" t="s">
        <v>3461</v>
      </c>
      <c r="B63" s="24" t="s">
        <v>794</v>
      </c>
      <c r="C63" s="24" t="n">
        <f aca="false">SUM('R2 Orders'!$AE$2:$AE$501)</f>
        <v>20</v>
      </c>
      <c r="D63" s="24" t="n">
        <f aca="false">COUNTIFS('R2 Orders'!$M$2:$M$501,"Clean order (no error)",'R2 Orders'!$AE$2:$AE$501,1)</f>
        <v>0</v>
      </c>
      <c r="E63" s="25" t="n">
        <f aca="false">D63/COUNTIF('R2 Orders'!$M$2:$M$501,"Clean order (no error)")</f>
        <v>0</v>
      </c>
      <c r="F63" s="25" t="n">
        <f aca="false">IF(COUNTIF('R2 Orders'!$M$2:$M$501,"Clean order (no error)")=0,"",((D63/COUNTIF('R2 Orders'!$M$2:$M$501,"Clean order (no error)"))+1.959964^2/(2*COUNTIF('R2 Orders'!$M$2:$M$501,"Clean order (no error)"))-1.959964*SQRT((D63/COUNTIF('R2 Orders'!$M$2:$M$501,"Clean order (no error)"))*(1-(D63/COUNTIF('R2 Orders'!$M$2:$M$501,"Clean order (no error)")))/COUNTIF('R2 Orders'!$M$2:$M$501,"Clean order (no error)")+1.959964^2/(4*COUNTIF('R2 Orders'!$M$2:$M$501,"Clean order (no error)")^2)))/(1+1.959964^2/COUNTIF('R2 Orders'!$M$2:$M$501,"Clean order (no error)")))</f>
        <v>0</v>
      </c>
      <c r="G63" s="25" t="n">
        <f aca="false">IF(COUNTIF('R2 Orders'!$M$2:$M$501,"Clean order (no error)")=0,"",((D63/COUNTIF('R2 Orders'!$M$2:$M$501,"Clean order (no error)"))+1.959964^2/(2*COUNTIF('R2 Orders'!$M$2:$M$501,"Clean order (no error)"))+1.959964*SQRT((D63/COUNTIF('R2 Orders'!$M$2:$M$501,"Clean order (no error)"))*(1-(D63/COUNTIF('R2 Orders'!$M$2:$M$501,"Clean order (no error)")))/COUNTIF('R2 Orders'!$M$2:$M$501,"Clean order (no error)")+1.959964^2/(4*COUNTIF('R2 Orders'!$M$2:$M$501,"Clean order (no error)")^2)))/(1+1.959964^2/COUNTIF('R2 Orders'!$M$2:$M$501,"Clean order (no error)")))</f>
        <v>0.0188453266689629</v>
      </c>
    </row>
    <row r="64" customFormat="false" ht="15" hidden="false" customHeight="false" outlineLevel="0" collapsed="false">
      <c r="A64" s="24" t="s">
        <v>3462</v>
      </c>
      <c r="B64" s="24" t="s">
        <v>794</v>
      </c>
      <c r="C64" s="24" t="n">
        <f aca="false">SUM('R2 Orders'!$AF$2:$AF$501)</f>
        <v>20</v>
      </c>
      <c r="D64" s="24" t="n">
        <f aca="false">COUNTIFS('R2 Orders'!$M$2:$M$501,"Clean order (no error)",'R2 Orders'!$AF$2:$AF$501,1)</f>
        <v>0</v>
      </c>
      <c r="E64" s="25" t="n">
        <f aca="false">D64/COUNTIF('R2 Orders'!$M$2:$M$501,"Clean order (no error)")</f>
        <v>0</v>
      </c>
      <c r="F64" s="25" t="n">
        <f aca="false">IF(COUNTIF('R2 Orders'!$M$2:$M$501,"Clean order (no error)")=0,"",((D64/COUNTIF('R2 Orders'!$M$2:$M$501,"Clean order (no error)"))+1.959964^2/(2*COUNTIF('R2 Orders'!$M$2:$M$501,"Clean order (no error)"))-1.959964*SQRT((D64/COUNTIF('R2 Orders'!$M$2:$M$501,"Clean order (no error)"))*(1-(D64/COUNTIF('R2 Orders'!$M$2:$M$501,"Clean order (no error)")))/COUNTIF('R2 Orders'!$M$2:$M$501,"Clean order (no error)")+1.959964^2/(4*COUNTIF('R2 Orders'!$M$2:$M$501,"Clean order (no error)")^2)))/(1+1.959964^2/COUNTIF('R2 Orders'!$M$2:$M$501,"Clean order (no error)")))</f>
        <v>0</v>
      </c>
      <c r="G64" s="25" t="n">
        <f aca="false">IF(COUNTIF('R2 Orders'!$M$2:$M$501,"Clean order (no error)")=0,"",((D64/COUNTIF('R2 Orders'!$M$2:$M$501,"Clean order (no error)"))+1.959964^2/(2*COUNTIF('R2 Orders'!$M$2:$M$501,"Clean order (no error)"))+1.959964*SQRT((D64/COUNTIF('R2 Orders'!$M$2:$M$501,"Clean order (no error)"))*(1-(D64/COUNTIF('R2 Orders'!$M$2:$M$501,"Clean order (no error)")))/COUNTIF('R2 Orders'!$M$2:$M$501,"Clean order (no error)")+1.959964^2/(4*COUNTIF('R2 Orders'!$M$2:$M$501,"Clean order (no error)")^2)))/(1+1.959964^2/COUNTIF('R2 Orders'!$M$2:$M$501,"Clean order (no error)")))</f>
        <v>0.0188453266689629</v>
      </c>
    </row>
    <row r="65" customFormat="false" ht="15" hidden="false" customHeight="false" outlineLevel="0" collapsed="false">
      <c r="A65" s="24" t="s">
        <v>97</v>
      </c>
      <c r="B65" s="24" t="s">
        <v>793</v>
      </c>
      <c r="C65" s="24" t="n">
        <f aca="false">SUM('R2 Orders'!$AG$2:$AG$501)</f>
        <v>22</v>
      </c>
      <c r="D65" s="24" t="n">
        <f aca="false">COUNTIFS('R2 Orders'!$M$2:$M$501,"Clean order (no error)",'R2 Orders'!$AG$2:$AG$501,1)</f>
        <v>0</v>
      </c>
      <c r="E65" s="25" t="n">
        <f aca="false">D65/COUNTIF('R2 Orders'!$M$2:$M$501,"Clean order (no error)")</f>
        <v>0</v>
      </c>
      <c r="F65" s="25" t="n">
        <f aca="false">IF(COUNTIF('R2 Orders'!$M$2:$M$501,"Clean order (no error)")=0,"",((D65/COUNTIF('R2 Orders'!$M$2:$M$501,"Clean order (no error)"))+1.959964^2/(2*COUNTIF('R2 Orders'!$M$2:$M$501,"Clean order (no error)"))-1.959964*SQRT((D65/COUNTIF('R2 Orders'!$M$2:$M$501,"Clean order (no error)"))*(1-(D65/COUNTIF('R2 Orders'!$M$2:$M$501,"Clean order (no error)")))/COUNTIF('R2 Orders'!$M$2:$M$501,"Clean order (no error)")+1.959964^2/(4*COUNTIF('R2 Orders'!$M$2:$M$501,"Clean order (no error)")^2)))/(1+1.959964^2/COUNTIF('R2 Orders'!$M$2:$M$501,"Clean order (no error)")))</f>
        <v>0</v>
      </c>
      <c r="G65" s="25" t="n">
        <f aca="false">IF(COUNTIF('R2 Orders'!$M$2:$M$501,"Clean order (no error)")=0,"",((D65/COUNTIF('R2 Orders'!$M$2:$M$501,"Clean order (no error)"))+1.959964^2/(2*COUNTIF('R2 Orders'!$M$2:$M$501,"Clean order (no error)"))+1.959964*SQRT((D65/COUNTIF('R2 Orders'!$M$2:$M$501,"Clean order (no error)"))*(1-(D65/COUNTIF('R2 Orders'!$M$2:$M$501,"Clean order (no error)")))/COUNTIF('R2 Orders'!$M$2:$M$501,"Clean order (no error)")+1.959964^2/(4*COUNTIF('R2 Orders'!$M$2:$M$501,"Clean order (no error)")^2)))/(1+1.959964^2/COUNTIF('R2 Orders'!$M$2:$M$501,"Clean order (no error)")))</f>
        <v>0.0188453266689629</v>
      </c>
    </row>
    <row r="66" customFormat="false" ht="15" hidden="false" customHeight="false" outlineLevel="0" collapsed="false">
      <c r="A66" s="24" t="s">
        <v>61</v>
      </c>
      <c r="B66" s="24" t="s">
        <v>793</v>
      </c>
      <c r="C66" s="24" t="n">
        <f aca="false">SUM('R2 Orders'!$AH$2:$AH$501)</f>
        <v>89</v>
      </c>
      <c r="D66" s="24" t="n">
        <f aca="false">COUNTIFS('R2 Orders'!$M$2:$M$501,"Clean order (no error)",'R2 Orders'!$AH$2:$AH$501,1)</f>
        <v>31</v>
      </c>
      <c r="E66" s="25" t="n">
        <f aca="false">D66/COUNTIF('R2 Orders'!$M$2:$M$501,"Clean order (no error)")</f>
        <v>0.155</v>
      </c>
      <c r="F66" s="25" t="n">
        <f aca="false">IF(COUNTIF('R2 Orders'!$M$2:$M$501,"Clean order (no error)")=0,"",((D66/COUNTIF('R2 Orders'!$M$2:$M$501,"Clean order (no error)"))+1.959964^2/(2*COUNTIF('R2 Orders'!$M$2:$M$501,"Clean order (no error)"))-1.959964*SQRT((D66/COUNTIF('R2 Orders'!$M$2:$M$501,"Clean order (no error)"))*(1-(D66/COUNTIF('R2 Orders'!$M$2:$M$501,"Clean order (no error)")))/COUNTIF('R2 Orders'!$M$2:$M$501,"Clean order (no error)")+1.959964^2/(4*COUNTIF('R2 Orders'!$M$2:$M$501,"Clean order (no error)")^2)))/(1+1.959964^2/COUNTIF('R2 Orders'!$M$2:$M$501,"Clean order (no error)")))</f>
        <v>0.111396368983223</v>
      </c>
      <c r="G66" s="25" t="n">
        <f aca="false">IF(COUNTIF('R2 Orders'!$M$2:$M$501,"Clean order (no error)")=0,"",((D66/COUNTIF('R2 Orders'!$M$2:$M$501,"Clean order (no error)"))+1.959964^2/(2*COUNTIF('R2 Orders'!$M$2:$M$501,"Clean order (no error)"))+1.959964*SQRT((D66/COUNTIF('R2 Orders'!$M$2:$M$501,"Clean order (no error)"))*(1-(D66/COUNTIF('R2 Orders'!$M$2:$M$501,"Clean order (no error)")))/COUNTIF('R2 Orders'!$M$2:$M$501,"Clean order (no error)")+1.959964^2/(4*COUNTIF('R2 Orders'!$M$2:$M$501,"Clean order (no error)")^2)))/(1+1.959964^2/COUNTIF('R2 Orders'!$M$2:$M$501,"Clean order (no error)")))</f>
        <v>0.211606906418361</v>
      </c>
    </row>
    <row r="68" customFormat="false" ht="15" hidden="false" customHeight="false" outlineLevel="0" collapsed="false">
      <c r="A68" s="5" t="s">
        <v>3463</v>
      </c>
    </row>
    <row r="69" customFormat="false" ht="15" hidden="false" customHeight="false" outlineLevel="0" collapsed="false">
      <c r="A69" s="7" t="s">
        <v>796</v>
      </c>
      <c r="B69" s="7" t="s">
        <v>3442</v>
      </c>
    </row>
    <row r="70" customFormat="false" ht="15" hidden="false" customHeight="false" outlineLevel="0" collapsed="false">
      <c r="A70" s="24" t="s">
        <v>797</v>
      </c>
      <c r="B70" s="27" t="n">
        <f aca="false">COUNT('R2 Orders'!$U$2:$U$501)</f>
        <v>500</v>
      </c>
    </row>
    <row r="71" customFormat="false" ht="15" hidden="false" customHeight="false" outlineLevel="0" collapsed="false">
      <c r="A71" s="24" t="s">
        <v>798</v>
      </c>
      <c r="B71" s="28" t="n">
        <f aca="false">AVERAGE('R2 Orders'!$U$2:$U$501)</f>
        <v>29.843684</v>
      </c>
    </row>
    <row r="72" customFormat="false" ht="15" hidden="false" customHeight="false" outlineLevel="0" collapsed="false">
      <c r="A72" s="24" t="s">
        <v>3464</v>
      </c>
      <c r="B72" s="28" t="n">
        <f aca="false">_xlfn.STDEV.S('R2 Orders'!$U$2:$U$501)</f>
        <v>24.2853001713582</v>
      </c>
    </row>
    <row r="73" customFormat="false" ht="15" hidden="false" customHeight="false" outlineLevel="0" collapsed="false">
      <c r="A73" s="24" t="s">
        <v>799</v>
      </c>
      <c r="B73" s="28" t="n">
        <f aca="false">MEDIAN('R2 Orders'!$U$2:$U$501)</f>
        <v>22.877</v>
      </c>
    </row>
    <row r="74" customFormat="false" ht="15" hidden="false" customHeight="false" outlineLevel="0" collapsed="false">
      <c r="A74" s="24" t="s">
        <v>3465</v>
      </c>
      <c r="B74" s="28" t="n">
        <f aca="false">_xlfn.PERCENTILE.INC('R2 Orders'!$U$2:$U$501,0.95)</f>
        <v>78.9226</v>
      </c>
    </row>
    <row r="75" customFormat="false" ht="15" hidden="false" customHeight="false" outlineLevel="0" collapsed="false">
      <c r="A75" s="24" t="s">
        <v>801</v>
      </c>
      <c r="B75" s="28" t="n">
        <f aca="false">MIN('R2 Orders'!$U$2:$U$501)</f>
        <v>2.338</v>
      </c>
    </row>
    <row r="76" customFormat="false" ht="15" hidden="false" customHeight="false" outlineLevel="0" collapsed="false">
      <c r="A76" s="24" t="s">
        <v>802</v>
      </c>
      <c r="B76" s="28" t="n">
        <f aca="false">MAX('R2 Orders'!$U$2:$U$501)</f>
        <v>121.433</v>
      </c>
    </row>
    <row r="77" customFormat="false" ht="15" hidden="false" customHeight="false" outlineLevel="0" collapsed="false">
      <c r="A77" s="5" t="s">
        <v>3466</v>
      </c>
      <c r="B77" s="28" t="n">
        <f aca="false">AVERAGE('R2 Orders'!$U$2:$U$101)</f>
        <v>6.51775</v>
      </c>
      <c r="C77" s="28" t="n">
        <f aca="false">AVERAGE('R2 Orders'!$U$102:$U$201)</f>
        <v>14.56942</v>
      </c>
      <c r="D77" s="28" t="n">
        <f aca="false">AVERAGE('R2 Orders'!$U$202:$U$301)</f>
        <v>28.90578</v>
      </c>
      <c r="E77" s="28" t="n">
        <f aca="false">AVERAGE('R2 Orders'!$U$302:$U$401)</f>
        <v>39.35969</v>
      </c>
      <c r="F77" s="28" t="n">
        <f aca="false">AVERAGE('R2 Orders'!$U$402:$U$501)</f>
        <v>59.86578</v>
      </c>
    </row>
    <row r="79" customFormat="false" ht="15" hidden="false" customHeight="false" outlineLevel="0" collapsed="false">
      <c r="A79" s="5" t="s">
        <v>3467</v>
      </c>
    </row>
    <row r="80" customFormat="false" ht="15" hidden="false" customHeight="false" outlineLevel="0" collapsed="false">
      <c r="A80" s="24" t="s">
        <v>3468</v>
      </c>
      <c r="B80" s="24" t="n">
        <f aca="false">COUNTIF('R2 Orders'!$R$2:$R$501,"pending_approval")</f>
        <v>260</v>
      </c>
    </row>
    <row r="81" customFormat="false" ht="15" hidden="false" customHeight="false" outlineLevel="0" collapsed="false">
      <c r="A81" s="24" t="s">
        <v>3469</v>
      </c>
      <c r="B81" s="24" t="n">
        <f aca="false">COUNTIFS('R2 Orders'!$R$2:$R$501,"pending_approval",'R2 Orders'!$E$2:$E$501,"&lt;&gt;(none)",'R2 Orders'!$F$2:$F$501,"&gt;0",'R2 Orders'!$AI$2:$AI$501,"Yes")</f>
        <v>260</v>
      </c>
    </row>
    <row r="82" customFormat="false" ht="15" hidden="false" customHeight="false" outlineLevel="0" collapsed="false">
      <c r="A82" s="24" t="s">
        <v>3470</v>
      </c>
      <c r="B82" s="25" t="n">
        <f aca="false">B81/B80</f>
        <v>1</v>
      </c>
      <c r="C82" s="25" t="n">
        <f aca="false">IF(B80=0,"",((B81/B80)+1.959964^2/(2*B80)-1.959964*SQRT((B81/B80)*(1-(B81/B80))/B80+1.959964^2/(4*B80^2)))/(1+1.959964^2/B80))</f>
        <v>0.98544027577173</v>
      </c>
      <c r="D82" s="25" t="n">
        <f aca="false">IF(B80=0,"",((B81/B80)+1.959964^2/(2*B80)+1.959964*SQRT((B81/B80)*(1-(B81/B80))/B80+1.959964^2/(4*B80^2)))/(1+1.959964^2/B80))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15"/>
    <col collapsed="false" customWidth="true" hidden="false" outlineLevel="0" max="7" min="6" style="0" width="7"/>
    <col collapsed="false" customWidth="true" hidden="false" outlineLevel="0" max="8" min="8" style="0" width="46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34"/>
    <col collapsed="false" customWidth="true" hidden="false" outlineLevel="0" max="14" min="14" style="0" width="8"/>
    <col collapsed="false" customWidth="true" hidden="false" outlineLevel="0" max="15" min="15" style="0" width="15"/>
    <col collapsed="false" customWidth="true" hidden="false" outlineLevel="0" max="16" min="16" style="0" width="9"/>
    <col collapsed="false" customWidth="true" hidden="false" outlineLevel="0" max="17" min="17" style="0" width="8"/>
    <col collapsed="false" customWidth="true" hidden="false" outlineLevel="0" max="18" min="18" style="0" width="18"/>
    <col collapsed="false" customWidth="true" hidden="false" outlineLevel="0" max="19" min="19" style="0" width="30"/>
    <col collapsed="false" customWidth="true" hidden="false" outlineLevel="0" max="20" min="20" style="0" width="60"/>
    <col collapsed="false" customWidth="true" hidden="false" outlineLevel="0" max="21" min="21" style="0" width="11"/>
    <col collapsed="false" customWidth="true" hidden="false" outlineLevel="0" max="24" min="22" style="0" width="30"/>
    <col collapsed="false" customWidth="true" hidden="false" outlineLevel="0" max="25" min="25" style="0" width="16"/>
    <col collapsed="false" customWidth="true" hidden="false" outlineLevel="0" max="34" min="26" style="0" width="9"/>
    <col collapsed="false" customWidth="true" hidden="false" outlineLevel="0" max="35" min="35" style="0" width="10"/>
  </cols>
  <sheetData>
    <row r="1" customFormat="false" ht="64.9" hidden="false" customHeight="false" outlineLevel="0" collapsed="false">
      <c r="A1" s="7" t="s">
        <v>29</v>
      </c>
      <c r="B1" s="7" t="s">
        <v>847</v>
      </c>
      <c r="C1" s="7" t="s">
        <v>30</v>
      </c>
      <c r="D1" s="7" t="s">
        <v>31</v>
      </c>
      <c r="E1" s="7" t="s">
        <v>35</v>
      </c>
      <c r="F1" s="7" t="s">
        <v>36</v>
      </c>
      <c r="G1" s="7" t="s">
        <v>37</v>
      </c>
      <c r="H1" s="7" t="s">
        <v>848</v>
      </c>
      <c r="I1" s="7" t="s">
        <v>39</v>
      </c>
      <c r="J1" s="7" t="s">
        <v>40</v>
      </c>
      <c r="K1" s="7" t="s">
        <v>41</v>
      </c>
      <c r="L1" s="7" t="s">
        <v>42</v>
      </c>
      <c r="M1" s="7" t="s">
        <v>43</v>
      </c>
      <c r="N1" s="7" t="s">
        <v>44</v>
      </c>
      <c r="O1" s="7" t="s">
        <v>849</v>
      </c>
      <c r="P1" s="7" t="s">
        <v>45</v>
      </c>
      <c r="Q1" s="7" t="s">
        <v>46</v>
      </c>
      <c r="R1" s="7" t="s">
        <v>47</v>
      </c>
      <c r="S1" s="7" t="s">
        <v>48</v>
      </c>
      <c r="T1" s="7" t="s">
        <v>49</v>
      </c>
      <c r="U1" s="7" t="s">
        <v>50</v>
      </c>
      <c r="V1" s="7" t="s">
        <v>850</v>
      </c>
      <c r="W1" s="7" t="s">
        <v>851</v>
      </c>
      <c r="X1" s="7" t="s">
        <v>852</v>
      </c>
      <c r="Y1" s="7" t="s">
        <v>853</v>
      </c>
      <c r="Z1" s="7" t="s">
        <v>854</v>
      </c>
      <c r="AA1" s="7" t="s">
        <v>855</v>
      </c>
      <c r="AB1" s="7" t="s">
        <v>856</v>
      </c>
      <c r="AC1" s="7" t="s">
        <v>857</v>
      </c>
      <c r="AD1" s="7" t="s">
        <v>858</v>
      </c>
      <c r="AE1" s="7" t="s">
        <v>859</v>
      </c>
      <c r="AF1" s="7" t="s">
        <v>860</v>
      </c>
      <c r="AG1" s="7" t="s">
        <v>861</v>
      </c>
      <c r="AH1" s="7" t="s">
        <v>862</v>
      </c>
      <c r="AI1" s="7" t="s">
        <v>863</v>
      </c>
    </row>
    <row r="2" customFormat="false" ht="15" hidden="false" customHeight="false" outlineLevel="0" collapsed="false">
      <c r="A2" s="6" t="n">
        <v>1</v>
      </c>
      <c r="B2" s="6" t="s">
        <v>5987</v>
      </c>
      <c r="C2" s="6" t="n">
        <v>1</v>
      </c>
      <c r="D2" s="6" t="s">
        <v>142</v>
      </c>
      <c r="E2" s="6" t="s">
        <v>74</v>
      </c>
      <c r="F2" s="6" t="n">
        <v>1</v>
      </c>
      <c r="G2" s="6" t="n">
        <v>6</v>
      </c>
      <c r="H2" s="6" t="s">
        <v>1416</v>
      </c>
      <c r="I2" s="22" t="n">
        <v>228000</v>
      </c>
      <c r="J2" s="22" t="n">
        <v>9000</v>
      </c>
      <c r="K2" s="22" t="n">
        <v>17775</v>
      </c>
      <c r="L2" s="22" t="n">
        <v>254775</v>
      </c>
      <c r="M2" s="6" t="s">
        <v>57</v>
      </c>
      <c r="N2" s="6" t="s">
        <v>58</v>
      </c>
      <c r="O2" s="6"/>
      <c r="P2" s="6" t="s">
        <v>69</v>
      </c>
      <c r="Q2" s="6" t="str">
        <f aca="false">IF(P2="pass","No","Yes")</f>
        <v>No</v>
      </c>
      <c r="R2" s="6" t="s">
        <v>60</v>
      </c>
      <c r="S2" s="6"/>
      <c r="T2" s="6"/>
      <c r="U2" s="23" t="n">
        <v>2.233</v>
      </c>
      <c r="V2" s="6" t="s">
        <v>5988</v>
      </c>
      <c r="W2" s="6" t="s">
        <v>5989</v>
      </c>
      <c r="X2" s="6" t="s">
        <v>5990</v>
      </c>
      <c r="Y2" s="6" t="s">
        <v>60</v>
      </c>
      <c r="Z2" s="6" t="n">
        <v>0</v>
      </c>
      <c r="AA2" s="6" t="n">
        <v>0</v>
      </c>
      <c r="AB2" s="6" t="n">
        <v>0</v>
      </c>
      <c r="AC2" s="6" t="n">
        <v>0</v>
      </c>
      <c r="AD2" s="6" t="n">
        <v>0</v>
      </c>
      <c r="AE2" s="6" t="n">
        <v>0</v>
      </c>
      <c r="AF2" s="6" t="n">
        <v>0</v>
      </c>
      <c r="AG2" s="6" t="n">
        <v>0</v>
      </c>
      <c r="AH2" s="6" t="n">
        <v>0</v>
      </c>
      <c r="AI2" s="6" t="s">
        <v>84</v>
      </c>
    </row>
    <row r="3" customFormat="false" ht="15" hidden="false" customHeight="false" outlineLevel="0" collapsed="false">
      <c r="A3" s="6" t="n">
        <v>2</v>
      </c>
      <c r="B3" s="6" t="s">
        <v>5991</v>
      </c>
      <c r="C3" s="6" t="n">
        <v>1</v>
      </c>
      <c r="D3" s="6" t="s">
        <v>191</v>
      </c>
      <c r="E3" s="6" t="s">
        <v>116</v>
      </c>
      <c r="F3" s="6" t="n">
        <v>4</v>
      </c>
      <c r="G3" s="6" t="n">
        <v>428</v>
      </c>
      <c r="H3" s="6" t="s">
        <v>5992</v>
      </c>
      <c r="I3" s="22" t="n">
        <v>5704500</v>
      </c>
      <c r="J3" s="22" t="n">
        <v>15000</v>
      </c>
      <c r="K3" s="22" t="n">
        <v>428962.5</v>
      </c>
      <c r="L3" s="22" t="n">
        <v>6148462.5</v>
      </c>
      <c r="M3" s="6" t="s">
        <v>171</v>
      </c>
      <c r="N3" s="6" t="s">
        <v>84</v>
      </c>
      <c r="O3" s="6" t="s">
        <v>892</v>
      </c>
      <c r="P3" s="6" t="s">
        <v>85</v>
      </c>
      <c r="Q3" s="6" t="str">
        <f aca="false">IF(P3="pass","No","Yes")</f>
        <v>Yes</v>
      </c>
      <c r="R3" s="6" t="s">
        <v>86</v>
      </c>
      <c r="S3" s="6" t="s">
        <v>892</v>
      </c>
      <c r="T3" s="6" t="s">
        <v>618</v>
      </c>
      <c r="U3" s="23" t="n">
        <v>2.154</v>
      </c>
      <c r="V3" s="6" t="s">
        <v>5993</v>
      </c>
      <c r="W3" s="6" t="s">
        <v>5994</v>
      </c>
      <c r="X3" s="6" t="s">
        <v>5995</v>
      </c>
      <c r="Y3" s="6" t="s">
        <v>86</v>
      </c>
      <c r="Z3" s="6" t="n">
        <v>0</v>
      </c>
      <c r="AA3" s="6" t="n">
        <v>0</v>
      </c>
      <c r="AB3" s="6" t="n">
        <v>0</v>
      </c>
      <c r="AC3" s="6" t="n">
        <v>1</v>
      </c>
      <c r="AD3" s="6" t="n">
        <v>0</v>
      </c>
      <c r="AE3" s="6" t="n">
        <v>0</v>
      </c>
      <c r="AF3" s="6" t="n">
        <v>0</v>
      </c>
      <c r="AG3" s="6" t="n">
        <v>0</v>
      </c>
      <c r="AH3" s="6" t="n">
        <v>0</v>
      </c>
      <c r="AI3" s="6" t="s">
        <v>84</v>
      </c>
    </row>
    <row r="4" customFormat="false" ht="15" hidden="false" customHeight="false" outlineLevel="0" collapsed="false">
      <c r="A4" s="6" t="n">
        <v>3</v>
      </c>
      <c r="B4" s="6" t="s">
        <v>5996</v>
      </c>
      <c r="C4" s="6" t="n">
        <v>1</v>
      </c>
      <c r="D4" s="6" t="s">
        <v>237</v>
      </c>
      <c r="E4" s="6" t="s">
        <v>116</v>
      </c>
      <c r="F4" s="6" t="n">
        <v>3</v>
      </c>
      <c r="G4" s="6" t="n">
        <v>224</v>
      </c>
      <c r="H4" s="6" t="s">
        <v>5997</v>
      </c>
      <c r="I4" s="22" t="n">
        <v>2552700</v>
      </c>
      <c r="J4" s="22" t="n">
        <v>15000</v>
      </c>
      <c r="K4" s="22" t="n">
        <v>192577.5</v>
      </c>
      <c r="L4" s="22" t="n">
        <v>2760277.5</v>
      </c>
      <c r="M4" s="6" t="s">
        <v>57</v>
      </c>
      <c r="N4" s="6" t="s">
        <v>58</v>
      </c>
      <c r="O4" s="6"/>
      <c r="P4" s="6" t="s">
        <v>59</v>
      </c>
      <c r="Q4" s="6" t="str">
        <f aca="false">IF(P4="pass","No","Yes")</f>
        <v>Yes</v>
      </c>
      <c r="R4" s="6" t="s">
        <v>60</v>
      </c>
      <c r="S4" s="6" t="s">
        <v>915</v>
      </c>
      <c r="T4" s="6" t="s">
        <v>5998</v>
      </c>
      <c r="U4" s="23" t="n">
        <v>2.594</v>
      </c>
      <c r="V4" s="6" t="s">
        <v>5999</v>
      </c>
      <c r="W4" s="6" t="s">
        <v>6000</v>
      </c>
      <c r="X4" s="6" t="s">
        <v>6001</v>
      </c>
      <c r="Y4" s="6" t="s">
        <v>60</v>
      </c>
      <c r="Z4" s="6" t="n">
        <v>0</v>
      </c>
      <c r="AA4" s="6" t="n">
        <v>0</v>
      </c>
      <c r="AB4" s="6" t="n">
        <v>0</v>
      </c>
      <c r="AC4" s="6" t="n">
        <v>0</v>
      </c>
      <c r="AD4" s="6" t="n">
        <v>0</v>
      </c>
      <c r="AE4" s="6" t="n">
        <v>0</v>
      </c>
      <c r="AF4" s="6" t="n">
        <v>0</v>
      </c>
      <c r="AG4" s="6" t="n">
        <v>0</v>
      </c>
      <c r="AH4" s="6" t="n">
        <v>1</v>
      </c>
      <c r="AI4" s="6" t="s">
        <v>84</v>
      </c>
    </row>
    <row r="5" customFormat="false" ht="15" hidden="false" customHeight="false" outlineLevel="0" collapsed="false">
      <c r="A5" s="6" t="n">
        <v>4</v>
      </c>
      <c r="B5" s="6" t="s">
        <v>6002</v>
      </c>
      <c r="C5" s="6" t="n">
        <v>1</v>
      </c>
      <c r="D5" s="6" t="s">
        <v>142</v>
      </c>
      <c r="E5" s="6" t="s">
        <v>74</v>
      </c>
      <c r="F5" s="6" t="n">
        <v>3</v>
      </c>
      <c r="G5" s="6" t="n">
        <v>299</v>
      </c>
      <c r="H5" s="6" t="s">
        <v>6003</v>
      </c>
      <c r="I5" s="22" t="n">
        <v>2804100</v>
      </c>
      <c r="J5" s="22" t="n">
        <v>9000</v>
      </c>
      <c r="K5" s="22" t="n">
        <v>210982.5</v>
      </c>
      <c r="L5" s="22" t="n">
        <v>3024082.5</v>
      </c>
      <c r="M5" s="6" t="s">
        <v>94</v>
      </c>
      <c r="N5" s="6" t="s">
        <v>84</v>
      </c>
      <c r="O5" s="6" t="s">
        <v>909</v>
      </c>
      <c r="P5" s="6" t="s">
        <v>85</v>
      </c>
      <c r="Q5" s="6" t="str">
        <f aca="false">IF(P5="pass","No","Yes")</f>
        <v>Yes</v>
      </c>
      <c r="R5" s="6" t="s">
        <v>86</v>
      </c>
      <c r="S5" s="6" t="s">
        <v>1544</v>
      </c>
      <c r="T5" s="6" t="s">
        <v>6004</v>
      </c>
      <c r="U5" s="23" t="n">
        <v>2.072</v>
      </c>
      <c r="V5" s="6" t="s">
        <v>6005</v>
      </c>
      <c r="W5" s="6" t="s">
        <v>6006</v>
      </c>
      <c r="X5" s="6" t="s">
        <v>6007</v>
      </c>
      <c r="Y5" s="6" t="s">
        <v>86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0</v>
      </c>
      <c r="AF5" s="6" t="n">
        <v>1</v>
      </c>
      <c r="AG5" s="6" t="n">
        <v>0</v>
      </c>
      <c r="AH5" s="6" t="n">
        <v>1</v>
      </c>
      <c r="AI5" s="6" t="s">
        <v>84</v>
      </c>
    </row>
    <row r="6" customFormat="false" ht="15" hidden="false" customHeight="false" outlineLevel="0" collapsed="false">
      <c r="A6" s="6" t="n">
        <v>5</v>
      </c>
      <c r="B6" s="6" t="s">
        <v>6008</v>
      </c>
      <c r="C6" s="6" t="n">
        <v>1</v>
      </c>
      <c r="D6" s="6" t="s">
        <v>137</v>
      </c>
      <c r="E6" s="6" t="s">
        <v>55</v>
      </c>
      <c r="F6" s="6" t="n">
        <v>2</v>
      </c>
      <c r="G6" s="6" t="n">
        <v>106</v>
      </c>
      <c r="H6" s="6" t="s">
        <v>6009</v>
      </c>
      <c r="I6" s="22" t="n">
        <v>787000</v>
      </c>
      <c r="J6" s="22" t="n">
        <v>6000</v>
      </c>
      <c r="K6" s="22" t="n">
        <v>59475</v>
      </c>
      <c r="L6" s="22" t="n">
        <v>852475</v>
      </c>
      <c r="M6" s="6" t="s">
        <v>57</v>
      </c>
      <c r="N6" s="6" t="s">
        <v>58</v>
      </c>
      <c r="O6" s="6"/>
      <c r="P6" s="6" t="s">
        <v>59</v>
      </c>
      <c r="Q6" s="6" t="str">
        <f aca="false">IF(P6="pass","No","Yes")</f>
        <v>Yes</v>
      </c>
      <c r="R6" s="6" t="s">
        <v>60</v>
      </c>
      <c r="S6" s="6" t="s">
        <v>915</v>
      </c>
      <c r="T6" s="6" t="s">
        <v>6010</v>
      </c>
      <c r="U6" s="23" t="n">
        <v>2.236</v>
      </c>
      <c r="V6" s="6" t="s">
        <v>6011</v>
      </c>
      <c r="W6" s="6" t="s">
        <v>6012</v>
      </c>
      <c r="X6" s="6" t="s">
        <v>6013</v>
      </c>
      <c r="Y6" s="6" t="s">
        <v>60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  <c r="AH6" s="6" t="n">
        <v>1</v>
      </c>
      <c r="AI6" s="6" t="s">
        <v>84</v>
      </c>
    </row>
    <row r="7" customFormat="false" ht="15" hidden="false" customHeight="false" outlineLevel="0" collapsed="false">
      <c r="A7" s="6" t="n">
        <v>6</v>
      </c>
      <c r="B7" s="6" t="s">
        <v>6014</v>
      </c>
      <c r="C7" s="6" t="n">
        <v>1</v>
      </c>
      <c r="D7" s="6" t="s">
        <v>105</v>
      </c>
      <c r="E7" s="6" t="s">
        <v>81</v>
      </c>
      <c r="F7" s="6" t="n">
        <v>3</v>
      </c>
      <c r="G7" s="6" t="n">
        <v>25</v>
      </c>
      <c r="H7" s="6" t="s">
        <v>6015</v>
      </c>
      <c r="I7" s="22" t="n">
        <v>658000</v>
      </c>
      <c r="J7" s="22" t="n">
        <v>4000</v>
      </c>
      <c r="K7" s="22" t="n">
        <v>49650</v>
      </c>
      <c r="L7" s="22" t="n">
        <v>711650</v>
      </c>
      <c r="M7" s="6" t="s">
        <v>57</v>
      </c>
      <c r="N7" s="6" t="s">
        <v>58</v>
      </c>
      <c r="O7" s="6"/>
      <c r="P7" s="6" t="s">
        <v>69</v>
      </c>
      <c r="Q7" s="6" t="str">
        <f aca="false">IF(P7="pass","No","Yes")</f>
        <v>No</v>
      </c>
      <c r="R7" s="6" t="s">
        <v>60</v>
      </c>
      <c r="S7" s="6"/>
      <c r="T7" s="6"/>
      <c r="U7" s="23" t="n">
        <v>2.192</v>
      </c>
      <c r="V7" s="6" t="s">
        <v>6016</v>
      </c>
      <c r="W7" s="6" t="s">
        <v>6017</v>
      </c>
      <c r="X7" s="6" t="s">
        <v>6018</v>
      </c>
      <c r="Y7" s="6" t="s">
        <v>60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  <c r="AF7" s="6" t="n">
        <v>0</v>
      </c>
      <c r="AG7" s="6" t="n">
        <v>0</v>
      </c>
      <c r="AH7" s="6" t="n">
        <v>0</v>
      </c>
      <c r="AI7" s="6" t="s">
        <v>84</v>
      </c>
    </row>
    <row r="8" customFormat="false" ht="15" hidden="false" customHeight="false" outlineLevel="0" collapsed="false">
      <c r="A8" s="6" t="n">
        <v>7</v>
      </c>
      <c r="B8" s="6" t="s">
        <v>6019</v>
      </c>
      <c r="C8" s="6" t="n">
        <v>1</v>
      </c>
      <c r="D8" s="6" t="s">
        <v>186</v>
      </c>
      <c r="E8" s="6" t="s">
        <v>123</v>
      </c>
      <c r="F8" s="6" t="n">
        <v>2</v>
      </c>
      <c r="G8" s="6" t="n">
        <v>72</v>
      </c>
      <c r="H8" s="6" t="s">
        <v>6020</v>
      </c>
      <c r="I8" s="22" t="n">
        <v>1206000</v>
      </c>
      <c r="J8" s="22" t="n">
        <v>5000</v>
      </c>
      <c r="K8" s="22" t="n">
        <v>90825</v>
      </c>
      <c r="L8" s="22" t="n">
        <v>1301825</v>
      </c>
      <c r="M8" s="6" t="s">
        <v>57</v>
      </c>
      <c r="N8" s="6" t="s">
        <v>58</v>
      </c>
      <c r="O8" s="6"/>
      <c r="P8" s="6" t="s">
        <v>69</v>
      </c>
      <c r="Q8" s="6" t="str">
        <f aca="false">IF(P8="pass","No","Yes")</f>
        <v>No</v>
      </c>
      <c r="R8" s="6" t="s">
        <v>60</v>
      </c>
      <c r="S8" s="6"/>
      <c r="T8" s="6"/>
      <c r="U8" s="23" t="n">
        <v>2.082</v>
      </c>
      <c r="V8" s="6" t="s">
        <v>6021</v>
      </c>
      <c r="W8" s="6" t="s">
        <v>6022</v>
      </c>
      <c r="X8" s="6" t="s">
        <v>6023</v>
      </c>
      <c r="Y8" s="6" t="s">
        <v>60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  <c r="AF8" s="6" t="n">
        <v>0</v>
      </c>
      <c r="AG8" s="6" t="n">
        <v>0</v>
      </c>
      <c r="AH8" s="6" t="n">
        <v>0</v>
      </c>
      <c r="AI8" s="6" t="s">
        <v>84</v>
      </c>
    </row>
    <row r="9" customFormat="false" ht="15" hidden="false" customHeight="false" outlineLevel="0" collapsed="false">
      <c r="A9" s="6" t="n">
        <v>8</v>
      </c>
      <c r="B9" s="6" t="s">
        <v>6024</v>
      </c>
      <c r="C9" s="6" t="n">
        <v>1</v>
      </c>
      <c r="D9" s="6" t="s">
        <v>237</v>
      </c>
      <c r="E9" s="6" t="s">
        <v>116</v>
      </c>
      <c r="F9" s="6" t="n">
        <v>4</v>
      </c>
      <c r="G9" s="6" t="n">
        <v>349</v>
      </c>
      <c r="H9" s="6" t="s">
        <v>6025</v>
      </c>
      <c r="I9" s="22" t="n">
        <v>4432100</v>
      </c>
      <c r="J9" s="22" t="n">
        <v>15000</v>
      </c>
      <c r="K9" s="22" t="n">
        <v>333532.5</v>
      </c>
      <c r="L9" s="22" t="n">
        <v>4780632.5</v>
      </c>
      <c r="M9" s="6" t="s">
        <v>171</v>
      </c>
      <c r="N9" s="6" t="s">
        <v>84</v>
      </c>
      <c r="O9" s="6" t="s">
        <v>892</v>
      </c>
      <c r="P9" s="6" t="s">
        <v>85</v>
      </c>
      <c r="Q9" s="6" t="str">
        <f aca="false">IF(P9="pass","No","Yes")</f>
        <v>Yes</v>
      </c>
      <c r="R9" s="6" t="s">
        <v>86</v>
      </c>
      <c r="S9" s="6" t="s">
        <v>892</v>
      </c>
      <c r="T9" s="6" t="s">
        <v>618</v>
      </c>
      <c r="U9" s="23" t="n">
        <v>1.899</v>
      </c>
      <c r="V9" s="6" t="s">
        <v>6026</v>
      </c>
      <c r="W9" s="6" t="s">
        <v>6027</v>
      </c>
      <c r="X9" s="6" t="s">
        <v>6028</v>
      </c>
      <c r="Y9" s="6" t="s">
        <v>86</v>
      </c>
      <c r="Z9" s="6" t="n">
        <v>0</v>
      </c>
      <c r="AA9" s="6" t="n">
        <v>0</v>
      </c>
      <c r="AB9" s="6" t="n">
        <v>0</v>
      </c>
      <c r="AC9" s="6" t="n">
        <v>1</v>
      </c>
      <c r="AD9" s="6" t="n">
        <v>0</v>
      </c>
      <c r="AE9" s="6" t="n">
        <v>0</v>
      </c>
      <c r="AF9" s="6" t="n">
        <v>0</v>
      </c>
      <c r="AG9" s="6" t="n">
        <v>0</v>
      </c>
      <c r="AH9" s="6" t="n">
        <v>0</v>
      </c>
      <c r="AI9" s="6" t="s">
        <v>84</v>
      </c>
    </row>
    <row r="10" customFormat="false" ht="15" hidden="false" customHeight="false" outlineLevel="0" collapsed="false">
      <c r="A10" s="6" t="n">
        <v>9</v>
      </c>
      <c r="B10" s="6" t="s">
        <v>6029</v>
      </c>
      <c r="C10" s="6" t="n">
        <v>1</v>
      </c>
      <c r="D10" s="6" t="s">
        <v>77</v>
      </c>
      <c r="E10" s="6" t="s">
        <v>81</v>
      </c>
      <c r="F10" s="6" t="n">
        <v>4</v>
      </c>
      <c r="G10" s="6" t="n">
        <v>392</v>
      </c>
      <c r="H10" s="6" t="s">
        <v>6030</v>
      </c>
      <c r="I10" s="22" t="n">
        <v>3722400</v>
      </c>
      <c r="J10" s="22" t="n">
        <v>4000</v>
      </c>
      <c r="K10" s="22" t="n">
        <v>279480</v>
      </c>
      <c r="L10" s="22" t="n">
        <v>4005880</v>
      </c>
      <c r="M10" s="6" t="s">
        <v>171</v>
      </c>
      <c r="N10" s="6" t="s">
        <v>84</v>
      </c>
      <c r="O10" s="6" t="s">
        <v>892</v>
      </c>
      <c r="P10" s="6" t="s">
        <v>85</v>
      </c>
      <c r="Q10" s="6" t="str">
        <f aca="false">IF(P10="pass","No","Yes")</f>
        <v>Yes</v>
      </c>
      <c r="R10" s="6" t="s">
        <v>86</v>
      </c>
      <c r="S10" s="6" t="s">
        <v>893</v>
      </c>
      <c r="T10" s="6" t="s">
        <v>6031</v>
      </c>
      <c r="U10" s="23" t="n">
        <v>1.971</v>
      </c>
      <c r="V10" s="6" t="s">
        <v>6032</v>
      </c>
      <c r="W10" s="6" t="s">
        <v>6033</v>
      </c>
      <c r="X10" s="6" t="s">
        <v>6034</v>
      </c>
      <c r="Y10" s="6" t="s">
        <v>86</v>
      </c>
      <c r="Z10" s="6" t="n">
        <v>0</v>
      </c>
      <c r="AA10" s="6" t="n">
        <v>0</v>
      </c>
      <c r="AB10" s="6" t="n">
        <v>0</v>
      </c>
      <c r="AC10" s="6" t="n">
        <v>1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1</v>
      </c>
      <c r="AI10" s="6" t="s">
        <v>84</v>
      </c>
    </row>
    <row r="11" customFormat="false" ht="15" hidden="false" customHeight="false" outlineLevel="0" collapsed="false">
      <c r="A11" s="6" t="n">
        <v>10</v>
      </c>
      <c r="B11" s="6" t="s">
        <v>6035</v>
      </c>
      <c r="C11" s="6" t="n">
        <v>1</v>
      </c>
      <c r="D11" s="6" t="s">
        <v>119</v>
      </c>
      <c r="E11" s="6" t="s">
        <v>123</v>
      </c>
      <c r="F11" s="6" t="n">
        <v>1</v>
      </c>
      <c r="G11" s="6" t="n">
        <v>56</v>
      </c>
      <c r="H11" s="6" t="s">
        <v>6036</v>
      </c>
      <c r="I11" s="22" t="n">
        <v>403200</v>
      </c>
      <c r="J11" s="22" t="n">
        <v>5000</v>
      </c>
      <c r="K11" s="22" t="n">
        <v>30615</v>
      </c>
      <c r="L11" s="22" t="n">
        <v>438815</v>
      </c>
      <c r="M11" s="6" t="s">
        <v>960</v>
      </c>
      <c r="N11" s="6" t="s">
        <v>84</v>
      </c>
      <c r="O11" s="6" t="s">
        <v>961</v>
      </c>
      <c r="P11" s="6" t="s">
        <v>85</v>
      </c>
      <c r="Q11" s="6" t="str">
        <f aca="false">IF(P11="pass","No","Yes")</f>
        <v>Yes</v>
      </c>
      <c r="R11" s="6" t="s">
        <v>86</v>
      </c>
      <c r="S11" s="6" t="s">
        <v>1306</v>
      </c>
      <c r="T11" s="6" t="s">
        <v>6037</v>
      </c>
      <c r="U11" s="23" t="n">
        <v>1.928</v>
      </c>
      <c r="V11" s="6" t="s">
        <v>6038</v>
      </c>
      <c r="W11" s="6" t="s">
        <v>6039</v>
      </c>
      <c r="X11" s="6" t="s">
        <v>6040</v>
      </c>
      <c r="Y11" s="6" t="s">
        <v>86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1</v>
      </c>
      <c r="AE11" s="6" t="n">
        <v>0</v>
      </c>
      <c r="AF11" s="6" t="n">
        <v>0</v>
      </c>
      <c r="AG11" s="6" t="n">
        <v>0</v>
      </c>
      <c r="AH11" s="6" t="n">
        <v>1</v>
      </c>
      <c r="AI11" s="6" t="s">
        <v>84</v>
      </c>
    </row>
    <row r="12" customFormat="false" ht="15" hidden="false" customHeight="false" outlineLevel="0" collapsed="false">
      <c r="A12" s="6" t="n">
        <v>11</v>
      </c>
      <c r="B12" s="6" t="s">
        <v>6041</v>
      </c>
      <c r="C12" s="6" t="n">
        <v>1</v>
      </c>
      <c r="D12" s="6" t="s">
        <v>105</v>
      </c>
      <c r="E12" s="6" t="s">
        <v>81</v>
      </c>
      <c r="F12" s="6" t="n">
        <v>3</v>
      </c>
      <c r="G12" s="6" t="n">
        <v>79</v>
      </c>
      <c r="H12" s="6" t="s">
        <v>6042</v>
      </c>
      <c r="I12" s="22" t="n">
        <v>970300</v>
      </c>
      <c r="J12" s="22" t="n">
        <v>4000</v>
      </c>
      <c r="K12" s="22" t="n">
        <v>73072.5</v>
      </c>
      <c r="L12" s="22" t="n">
        <v>1047372.5</v>
      </c>
      <c r="M12" s="6" t="s">
        <v>57</v>
      </c>
      <c r="N12" s="6" t="s">
        <v>58</v>
      </c>
      <c r="O12" s="6"/>
      <c r="P12" s="6" t="s">
        <v>69</v>
      </c>
      <c r="Q12" s="6" t="str">
        <f aca="false">IF(P12="pass","No","Yes")</f>
        <v>No</v>
      </c>
      <c r="R12" s="6" t="s">
        <v>60</v>
      </c>
      <c r="S12" s="6"/>
      <c r="T12" s="6"/>
      <c r="U12" s="23" t="n">
        <v>2.181</v>
      </c>
      <c r="V12" s="6" t="s">
        <v>6043</v>
      </c>
      <c r="W12" s="6" t="s">
        <v>6044</v>
      </c>
      <c r="X12" s="6" t="s">
        <v>6045</v>
      </c>
      <c r="Y12" s="6" t="s">
        <v>60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  <c r="AH12" s="6" t="n">
        <v>0</v>
      </c>
      <c r="AI12" s="6" t="s">
        <v>84</v>
      </c>
    </row>
    <row r="13" customFormat="false" ht="15" hidden="false" customHeight="false" outlineLevel="0" collapsed="false">
      <c r="A13" s="6" t="n">
        <v>12</v>
      </c>
      <c r="B13" s="6" t="s">
        <v>6046</v>
      </c>
      <c r="C13" s="6" t="n">
        <v>1</v>
      </c>
      <c r="D13" s="6" t="s">
        <v>77</v>
      </c>
      <c r="E13" s="6" t="s">
        <v>81</v>
      </c>
      <c r="F13" s="6" t="n">
        <v>4</v>
      </c>
      <c r="G13" s="6" t="n">
        <v>174</v>
      </c>
      <c r="H13" s="6" t="s">
        <v>6047</v>
      </c>
      <c r="I13" s="22" t="n">
        <v>1922500</v>
      </c>
      <c r="J13" s="22" t="n">
        <v>4000</v>
      </c>
      <c r="K13" s="22" t="n">
        <v>144487.5</v>
      </c>
      <c r="L13" s="22" t="n">
        <v>2070987.5</v>
      </c>
      <c r="M13" s="6" t="s">
        <v>1009</v>
      </c>
      <c r="N13" s="6" t="s">
        <v>58</v>
      </c>
      <c r="O13" s="6"/>
      <c r="P13" s="6" t="s">
        <v>59</v>
      </c>
      <c r="Q13" s="6" t="str">
        <f aca="false">IF(P13="pass","No","Yes")</f>
        <v>Yes</v>
      </c>
      <c r="R13" s="6" t="s">
        <v>60</v>
      </c>
      <c r="S13" s="6" t="s">
        <v>915</v>
      </c>
      <c r="T13" s="6" t="s">
        <v>6048</v>
      </c>
      <c r="U13" s="23" t="n">
        <v>2.194</v>
      </c>
      <c r="V13" s="6" t="s">
        <v>6049</v>
      </c>
      <c r="W13" s="6" t="s">
        <v>6050</v>
      </c>
      <c r="X13" s="6" t="s">
        <v>6051</v>
      </c>
      <c r="Y13" s="6" t="s">
        <v>60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0</v>
      </c>
      <c r="AF13" s="6" t="n">
        <v>0</v>
      </c>
      <c r="AG13" s="6" t="n">
        <v>0</v>
      </c>
      <c r="AH13" s="6" t="n">
        <v>1</v>
      </c>
      <c r="AI13" s="6" t="s">
        <v>84</v>
      </c>
    </row>
    <row r="14" customFormat="false" ht="15" hidden="false" customHeight="false" outlineLevel="0" collapsed="false">
      <c r="A14" s="6" t="n">
        <v>13</v>
      </c>
      <c r="B14" s="6" t="s">
        <v>6052</v>
      </c>
      <c r="C14" s="6" t="n">
        <v>1</v>
      </c>
      <c r="D14" s="6" t="s">
        <v>137</v>
      </c>
      <c r="E14" s="6" t="s">
        <v>55</v>
      </c>
      <c r="F14" s="6" t="n">
        <v>2</v>
      </c>
      <c r="G14" s="6" t="n">
        <v>9</v>
      </c>
      <c r="H14" s="6" t="s">
        <v>6053</v>
      </c>
      <c r="I14" s="22" t="n">
        <v>274200</v>
      </c>
      <c r="J14" s="22" t="n">
        <v>6000</v>
      </c>
      <c r="K14" s="22" t="n">
        <v>21015</v>
      </c>
      <c r="L14" s="22" t="n">
        <v>301215</v>
      </c>
      <c r="M14" s="6" t="s">
        <v>224</v>
      </c>
      <c r="N14" s="6" t="s">
        <v>84</v>
      </c>
      <c r="O14" s="6" t="s">
        <v>866</v>
      </c>
      <c r="P14" s="6" t="s">
        <v>85</v>
      </c>
      <c r="Q14" s="6" t="str">
        <f aca="false">IF(P14="pass","No","Yes")</f>
        <v>Yes</v>
      </c>
      <c r="R14" s="6" t="s">
        <v>86</v>
      </c>
      <c r="S14" s="6" t="s">
        <v>866</v>
      </c>
      <c r="T14" s="6" t="s">
        <v>225</v>
      </c>
      <c r="U14" s="23" t="n">
        <v>1.736</v>
      </c>
      <c r="V14" s="6" t="s">
        <v>6054</v>
      </c>
      <c r="W14" s="6" t="s">
        <v>6055</v>
      </c>
      <c r="X14" s="6" t="s">
        <v>6056</v>
      </c>
      <c r="Y14" s="6" t="s">
        <v>86</v>
      </c>
      <c r="Z14" s="6" t="n">
        <v>1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0</v>
      </c>
      <c r="AF14" s="6" t="n">
        <v>0</v>
      </c>
      <c r="AG14" s="6" t="n">
        <v>0</v>
      </c>
      <c r="AH14" s="6" t="n">
        <v>0</v>
      </c>
      <c r="AI14" s="6" t="s">
        <v>58</v>
      </c>
    </row>
    <row r="15" customFormat="false" ht="15" hidden="false" customHeight="false" outlineLevel="0" collapsed="false">
      <c r="A15" s="6" t="n">
        <v>14</v>
      </c>
      <c r="B15" s="6" t="s">
        <v>6057</v>
      </c>
      <c r="C15" s="6" t="n">
        <v>1</v>
      </c>
      <c r="D15" s="6" t="s">
        <v>177</v>
      </c>
      <c r="E15" s="6" t="s">
        <v>81</v>
      </c>
      <c r="F15" s="6" t="n">
        <v>2</v>
      </c>
      <c r="G15" s="6" t="n">
        <v>8</v>
      </c>
      <c r="H15" s="6" t="s">
        <v>6058</v>
      </c>
      <c r="I15" s="22" t="n">
        <v>402000</v>
      </c>
      <c r="J15" s="22" t="n">
        <v>4000</v>
      </c>
      <c r="K15" s="22" t="n">
        <v>30450</v>
      </c>
      <c r="L15" s="22" t="n">
        <v>436450</v>
      </c>
      <c r="M15" s="6" t="s">
        <v>132</v>
      </c>
      <c r="N15" s="6" t="s">
        <v>84</v>
      </c>
      <c r="O15" s="6" t="s">
        <v>879</v>
      </c>
      <c r="P15" s="6" t="s">
        <v>85</v>
      </c>
      <c r="Q15" s="6" t="str">
        <f aca="false">IF(P15="pass","No","Yes")</f>
        <v>Yes</v>
      </c>
      <c r="R15" s="6" t="s">
        <v>86</v>
      </c>
      <c r="S15" s="6" t="s">
        <v>880</v>
      </c>
      <c r="T15" s="6" t="s">
        <v>134</v>
      </c>
      <c r="U15" s="23" t="n">
        <v>1.889</v>
      </c>
      <c r="V15" s="6" t="s">
        <v>6059</v>
      </c>
      <c r="W15" s="6" t="s">
        <v>6060</v>
      </c>
      <c r="X15" s="6" t="s">
        <v>6061</v>
      </c>
      <c r="Y15" s="6" t="s">
        <v>86</v>
      </c>
      <c r="Z15" s="6" t="n">
        <v>0</v>
      </c>
      <c r="AA15" s="6" t="n">
        <v>1</v>
      </c>
      <c r="AB15" s="6" t="n">
        <v>0</v>
      </c>
      <c r="AC15" s="6" t="n">
        <v>1</v>
      </c>
      <c r="AD15" s="6" t="n">
        <v>0</v>
      </c>
      <c r="AE15" s="6" t="n">
        <v>0</v>
      </c>
      <c r="AF15" s="6" t="n">
        <v>0</v>
      </c>
      <c r="AG15" s="6" t="n">
        <v>0</v>
      </c>
      <c r="AH15" s="6" t="n">
        <v>0</v>
      </c>
      <c r="AI15" s="6" t="s">
        <v>84</v>
      </c>
    </row>
    <row r="16" customFormat="false" ht="15" hidden="false" customHeight="false" outlineLevel="0" collapsed="false">
      <c r="A16" s="6" t="n">
        <v>15</v>
      </c>
      <c r="B16" s="6" t="s">
        <v>6062</v>
      </c>
      <c r="C16" s="6" t="n">
        <v>1</v>
      </c>
      <c r="D16" s="6" t="s">
        <v>213</v>
      </c>
      <c r="E16" s="6" t="s">
        <v>67</v>
      </c>
      <c r="F16" s="6" t="n">
        <v>2</v>
      </c>
      <c r="G16" s="6" t="n">
        <v>66</v>
      </c>
      <c r="H16" s="6" t="s">
        <v>6063</v>
      </c>
      <c r="I16" s="22" t="n">
        <v>522800</v>
      </c>
      <c r="J16" s="22" t="n">
        <v>4500</v>
      </c>
      <c r="K16" s="22" t="n">
        <v>39547.5</v>
      </c>
      <c r="L16" s="22" t="n">
        <v>566847.5</v>
      </c>
      <c r="M16" s="6" t="s">
        <v>57</v>
      </c>
      <c r="N16" s="6" t="s">
        <v>58</v>
      </c>
      <c r="O16" s="6"/>
      <c r="P16" s="6" t="s">
        <v>59</v>
      </c>
      <c r="Q16" s="6" t="str">
        <f aca="false">IF(P16="pass","No","Yes")</f>
        <v>Yes</v>
      </c>
      <c r="R16" s="6" t="s">
        <v>60</v>
      </c>
      <c r="S16" s="6" t="s">
        <v>915</v>
      </c>
      <c r="T16" s="6" t="s">
        <v>1323</v>
      </c>
      <c r="U16" s="23" t="n">
        <v>2.136</v>
      </c>
      <c r="V16" s="6" t="s">
        <v>6064</v>
      </c>
      <c r="W16" s="6" t="s">
        <v>6065</v>
      </c>
      <c r="X16" s="6" t="s">
        <v>6066</v>
      </c>
      <c r="Y16" s="6" t="s">
        <v>60</v>
      </c>
      <c r="Z16" s="6" t="n">
        <v>0</v>
      </c>
      <c r="AA16" s="6" t="n">
        <v>0</v>
      </c>
      <c r="AB16" s="6" t="n">
        <v>0</v>
      </c>
      <c r="AC16" s="6" t="n">
        <v>0</v>
      </c>
      <c r="AD16" s="6" t="n">
        <v>0</v>
      </c>
      <c r="AE16" s="6" t="n">
        <v>0</v>
      </c>
      <c r="AF16" s="6" t="n">
        <v>0</v>
      </c>
      <c r="AG16" s="6" t="n">
        <v>0</v>
      </c>
      <c r="AH16" s="6" t="n">
        <v>1</v>
      </c>
      <c r="AI16" s="6" t="s">
        <v>84</v>
      </c>
    </row>
    <row r="17" customFormat="false" ht="15" hidden="false" customHeight="false" outlineLevel="0" collapsed="false">
      <c r="A17" s="6" t="n">
        <v>16</v>
      </c>
      <c r="B17" s="6" t="s">
        <v>6067</v>
      </c>
      <c r="C17" s="6" t="n">
        <v>1</v>
      </c>
      <c r="D17" s="6" t="s">
        <v>89</v>
      </c>
      <c r="E17" s="6" t="s">
        <v>67</v>
      </c>
      <c r="F17" s="6" t="n">
        <v>1</v>
      </c>
      <c r="G17" s="6" t="n">
        <v>2</v>
      </c>
      <c r="H17" s="6" t="s">
        <v>959</v>
      </c>
      <c r="I17" s="22" t="n">
        <v>8200</v>
      </c>
      <c r="J17" s="22" t="n">
        <v>4500</v>
      </c>
      <c r="K17" s="22" t="n">
        <v>952.5</v>
      </c>
      <c r="L17" s="22" t="n">
        <v>13652.5</v>
      </c>
      <c r="M17" s="6" t="s">
        <v>57</v>
      </c>
      <c r="N17" s="6" t="s">
        <v>58</v>
      </c>
      <c r="O17" s="6"/>
      <c r="P17" s="6" t="s">
        <v>69</v>
      </c>
      <c r="Q17" s="6" t="str">
        <f aca="false">IF(P17="pass","No","Yes")</f>
        <v>No</v>
      </c>
      <c r="R17" s="6" t="s">
        <v>60</v>
      </c>
      <c r="S17" s="6"/>
      <c r="T17" s="6"/>
      <c r="U17" s="23" t="n">
        <v>2.005</v>
      </c>
      <c r="V17" s="6" t="s">
        <v>6068</v>
      </c>
      <c r="W17" s="6" t="s">
        <v>6069</v>
      </c>
      <c r="X17" s="6" t="s">
        <v>6070</v>
      </c>
      <c r="Y17" s="6" t="s">
        <v>60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0</v>
      </c>
      <c r="AE17" s="6" t="n">
        <v>0</v>
      </c>
      <c r="AF17" s="6" t="n">
        <v>0</v>
      </c>
      <c r="AG17" s="6" t="n">
        <v>0</v>
      </c>
      <c r="AH17" s="6" t="n">
        <v>0</v>
      </c>
      <c r="AI17" s="6" t="s">
        <v>84</v>
      </c>
    </row>
    <row r="18" customFormat="false" ht="15" hidden="false" customHeight="false" outlineLevel="0" collapsed="false">
      <c r="A18" s="6" t="n">
        <v>17</v>
      </c>
      <c r="B18" s="6" t="s">
        <v>6071</v>
      </c>
      <c r="C18" s="6" t="n">
        <v>1</v>
      </c>
      <c r="D18" s="6" t="s">
        <v>198</v>
      </c>
      <c r="E18" s="6" t="s">
        <v>81</v>
      </c>
      <c r="F18" s="6" t="n">
        <v>3</v>
      </c>
      <c r="G18" s="6" t="n">
        <v>98</v>
      </c>
      <c r="H18" s="6" t="s">
        <v>6072</v>
      </c>
      <c r="I18" s="22" t="n">
        <v>1712800</v>
      </c>
      <c r="J18" s="22" t="n">
        <v>4000</v>
      </c>
      <c r="K18" s="22" t="n">
        <v>128760</v>
      </c>
      <c r="L18" s="22" t="n">
        <v>1845560</v>
      </c>
      <c r="M18" s="6" t="s">
        <v>57</v>
      </c>
      <c r="N18" s="6" t="s">
        <v>58</v>
      </c>
      <c r="O18" s="6"/>
      <c r="P18" s="6" t="s">
        <v>69</v>
      </c>
      <c r="Q18" s="6" t="str">
        <f aca="false">IF(P18="pass","No","Yes")</f>
        <v>No</v>
      </c>
      <c r="R18" s="6" t="s">
        <v>60</v>
      </c>
      <c r="S18" s="6"/>
      <c r="T18" s="6"/>
      <c r="U18" s="23" t="n">
        <v>2.148</v>
      </c>
      <c r="V18" s="6" t="s">
        <v>6073</v>
      </c>
      <c r="W18" s="6" t="s">
        <v>6074</v>
      </c>
      <c r="X18" s="6" t="s">
        <v>6075</v>
      </c>
      <c r="Y18" s="6" t="s">
        <v>60</v>
      </c>
      <c r="Z18" s="6" t="n">
        <v>0</v>
      </c>
      <c r="AA18" s="6" t="n">
        <v>0</v>
      </c>
      <c r="AB18" s="6" t="n">
        <v>0</v>
      </c>
      <c r="AC18" s="6" t="n">
        <v>0</v>
      </c>
      <c r="AD18" s="6" t="n">
        <v>0</v>
      </c>
      <c r="AE18" s="6" t="n">
        <v>0</v>
      </c>
      <c r="AF18" s="6" t="n">
        <v>0</v>
      </c>
      <c r="AG18" s="6" t="n">
        <v>0</v>
      </c>
      <c r="AH18" s="6" t="n">
        <v>0</v>
      </c>
      <c r="AI18" s="6" t="s">
        <v>84</v>
      </c>
    </row>
    <row r="19" customFormat="false" ht="15" hidden="false" customHeight="false" outlineLevel="0" collapsed="false">
      <c r="A19" s="6" t="n">
        <v>18</v>
      </c>
      <c r="B19" s="6" t="s">
        <v>6076</v>
      </c>
      <c r="C19" s="6" t="n">
        <v>1</v>
      </c>
      <c r="D19" s="6" t="s">
        <v>51</v>
      </c>
      <c r="E19" s="6" t="s">
        <v>55</v>
      </c>
      <c r="F19" s="6" t="n">
        <v>3</v>
      </c>
      <c r="G19" s="6" t="n">
        <v>33</v>
      </c>
      <c r="H19" s="6" t="s">
        <v>6077</v>
      </c>
      <c r="I19" s="22" t="n">
        <v>686800</v>
      </c>
      <c r="J19" s="22" t="n">
        <v>6000</v>
      </c>
      <c r="K19" s="22" t="n">
        <v>51960</v>
      </c>
      <c r="L19" s="22" t="n">
        <v>744760</v>
      </c>
      <c r="M19" s="6" t="s">
        <v>83</v>
      </c>
      <c r="N19" s="6" t="s">
        <v>84</v>
      </c>
      <c r="O19" s="6" t="s">
        <v>886</v>
      </c>
      <c r="P19" s="6" t="s">
        <v>85</v>
      </c>
      <c r="Q19" s="6" t="str">
        <f aca="false">IF(P19="pass","No","Yes")</f>
        <v>Yes</v>
      </c>
      <c r="R19" s="6" t="s">
        <v>86</v>
      </c>
      <c r="S19" s="6" t="s">
        <v>886</v>
      </c>
      <c r="T19" s="6" t="s">
        <v>488</v>
      </c>
      <c r="U19" s="23" t="n">
        <v>1.728</v>
      </c>
      <c r="V19" s="6" t="s">
        <v>6078</v>
      </c>
      <c r="W19" s="6" t="s">
        <v>6079</v>
      </c>
      <c r="X19" s="6" t="s">
        <v>6080</v>
      </c>
      <c r="Y19" s="6" t="s">
        <v>86</v>
      </c>
      <c r="Z19" s="6" t="n">
        <v>0</v>
      </c>
      <c r="AA19" s="6" t="n">
        <v>0</v>
      </c>
      <c r="AB19" s="6" t="n">
        <v>1</v>
      </c>
      <c r="AC19" s="6" t="n">
        <v>0</v>
      </c>
      <c r="AD19" s="6" t="n">
        <v>0</v>
      </c>
      <c r="AE19" s="6" t="n">
        <v>0</v>
      </c>
      <c r="AF19" s="6" t="n">
        <v>0</v>
      </c>
      <c r="AG19" s="6" t="n">
        <v>0</v>
      </c>
      <c r="AH19" s="6" t="n">
        <v>0</v>
      </c>
      <c r="AI19" s="6" t="s">
        <v>84</v>
      </c>
    </row>
    <row r="20" customFormat="false" ht="15" hidden="false" customHeight="false" outlineLevel="0" collapsed="false">
      <c r="A20" s="6" t="n">
        <v>19</v>
      </c>
      <c r="B20" s="6" t="s">
        <v>6081</v>
      </c>
      <c r="C20" s="6" t="n">
        <v>1</v>
      </c>
      <c r="D20" s="6" t="s">
        <v>186</v>
      </c>
      <c r="E20" s="6" t="s">
        <v>123</v>
      </c>
      <c r="F20" s="6" t="n">
        <v>3</v>
      </c>
      <c r="G20" s="6" t="n">
        <v>83</v>
      </c>
      <c r="H20" s="6" t="s">
        <v>6082</v>
      </c>
      <c r="I20" s="22" t="n">
        <v>1015300</v>
      </c>
      <c r="J20" s="22" t="n">
        <v>5000</v>
      </c>
      <c r="K20" s="22" t="n">
        <v>76522.5</v>
      </c>
      <c r="L20" s="22" t="n">
        <v>1096822.5</v>
      </c>
      <c r="M20" s="6" t="s">
        <v>57</v>
      </c>
      <c r="N20" s="6" t="s">
        <v>58</v>
      </c>
      <c r="O20" s="6"/>
      <c r="P20" s="6" t="s">
        <v>69</v>
      </c>
      <c r="Q20" s="6" t="str">
        <f aca="false">IF(P20="pass","No","Yes")</f>
        <v>No</v>
      </c>
      <c r="R20" s="6" t="s">
        <v>60</v>
      </c>
      <c r="S20" s="6"/>
      <c r="T20" s="6"/>
      <c r="U20" s="23" t="n">
        <v>2.107</v>
      </c>
      <c r="V20" s="6" t="s">
        <v>6083</v>
      </c>
      <c r="W20" s="6" t="s">
        <v>6084</v>
      </c>
      <c r="X20" s="6" t="s">
        <v>6085</v>
      </c>
      <c r="Y20" s="6" t="s">
        <v>60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0</v>
      </c>
      <c r="AF20" s="6" t="n">
        <v>0</v>
      </c>
      <c r="AG20" s="6" t="n">
        <v>0</v>
      </c>
      <c r="AH20" s="6" t="n">
        <v>0</v>
      </c>
      <c r="AI20" s="6" t="s">
        <v>84</v>
      </c>
    </row>
    <row r="21" customFormat="false" ht="15" hidden="false" customHeight="false" outlineLevel="0" collapsed="false">
      <c r="A21" s="6" t="n">
        <v>20</v>
      </c>
      <c r="B21" s="6" t="s">
        <v>6086</v>
      </c>
      <c r="C21" s="6" t="n">
        <v>1</v>
      </c>
      <c r="D21" s="6" t="s">
        <v>63</v>
      </c>
      <c r="E21" s="6" t="s">
        <v>67</v>
      </c>
      <c r="F21" s="6" t="n">
        <v>2</v>
      </c>
      <c r="G21" s="6" t="n">
        <v>45</v>
      </c>
      <c r="H21" s="6" t="s">
        <v>6087</v>
      </c>
      <c r="I21" s="22" t="n">
        <v>324000</v>
      </c>
      <c r="J21" s="22" t="n">
        <v>4500</v>
      </c>
      <c r="K21" s="22" t="n">
        <v>24637.5</v>
      </c>
      <c r="L21" s="22" t="n">
        <v>353137.5</v>
      </c>
      <c r="M21" s="6" t="s">
        <v>152</v>
      </c>
      <c r="N21" s="6" t="s">
        <v>84</v>
      </c>
      <c r="O21" s="6" t="s">
        <v>886</v>
      </c>
      <c r="P21" s="6" t="s">
        <v>85</v>
      </c>
      <c r="Q21" s="6" t="str">
        <f aca="false">IF(P21="pass","No","Yes")</f>
        <v>Yes</v>
      </c>
      <c r="R21" s="6" t="s">
        <v>86</v>
      </c>
      <c r="S21" s="6" t="s">
        <v>1479</v>
      </c>
      <c r="T21" s="6" t="s">
        <v>6088</v>
      </c>
      <c r="U21" s="23" t="n">
        <v>1.913</v>
      </c>
      <c r="V21" s="6" t="s">
        <v>6089</v>
      </c>
      <c r="W21" s="6" t="s">
        <v>6090</v>
      </c>
      <c r="X21" s="6" t="s">
        <v>6091</v>
      </c>
      <c r="Y21" s="6" t="s">
        <v>86</v>
      </c>
      <c r="Z21" s="6" t="n">
        <v>0</v>
      </c>
      <c r="AA21" s="6" t="n">
        <v>0</v>
      </c>
      <c r="AB21" s="6" t="n">
        <v>1</v>
      </c>
      <c r="AC21" s="6" t="n">
        <v>0</v>
      </c>
      <c r="AD21" s="6" t="n">
        <v>0</v>
      </c>
      <c r="AE21" s="6" t="n">
        <v>0</v>
      </c>
      <c r="AF21" s="6" t="n">
        <v>0</v>
      </c>
      <c r="AG21" s="6" t="n">
        <v>0</v>
      </c>
      <c r="AH21" s="6" t="n">
        <v>1</v>
      </c>
      <c r="AI21" s="6" t="s">
        <v>84</v>
      </c>
    </row>
    <row r="22" customFormat="false" ht="15" hidden="false" customHeight="false" outlineLevel="0" collapsed="false">
      <c r="A22" s="6" t="n">
        <v>21</v>
      </c>
      <c r="B22" s="6" t="s">
        <v>6092</v>
      </c>
      <c r="C22" s="6" t="n">
        <v>1</v>
      </c>
      <c r="D22" s="6" t="s">
        <v>237</v>
      </c>
      <c r="E22" s="6" t="s">
        <v>116</v>
      </c>
      <c r="F22" s="6" t="n">
        <v>3</v>
      </c>
      <c r="G22" s="6" t="n">
        <v>46</v>
      </c>
      <c r="H22" s="6" t="s">
        <v>6093</v>
      </c>
      <c r="I22" s="22" t="n">
        <v>1734000</v>
      </c>
      <c r="J22" s="22" t="n">
        <v>15000</v>
      </c>
      <c r="K22" s="22" t="n">
        <v>131175</v>
      </c>
      <c r="L22" s="22" t="n">
        <v>1880175</v>
      </c>
      <c r="M22" s="6" t="s">
        <v>94</v>
      </c>
      <c r="N22" s="6" t="s">
        <v>84</v>
      </c>
      <c r="O22" s="6" t="s">
        <v>909</v>
      </c>
      <c r="P22" s="6" t="s">
        <v>85</v>
      </c>
      <c r="Q22" s="6" t="str">
        <f aca="false">IF(P22="pass","No","Yes")</f>
        <v>Yes</v>
      </c>
      <c r="R22" s="6" t="s">
        <v>86</v>
      </c>
      <c r="S22" s="6" t="s">
        <v>909</v>
      </c>
      <c r="T22" s="6" t="s">
        <v>254</v>
      </c>
      <c r="U22" s="23" t="n">
        <v>1.819</v>
      </c>
      <c r="V22" s="6" t="s">
        <v>6094</v>
      </c>
      <c r="W22" s="6" t="s">
        <v>6095</v>
      </c>
      <c r="X22" s="6" t="s">
        <v>6096</v>
      </c>
      <c r="Y22" s="6" t="s">
        <v>86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  <c r="AF22" s="6" t="n">
        <v>1</v>
      </c>
      <c r="AG22" s="6" t="n">
        <v>0</v>
      </c>
      <c r="AH22" s="6" t="n">
        <v>0</v>
      </c>
      <c r="AI22" s="6" t="s">
        <v>84</v>
      </c>
    </row>
    <row r="23" customFormat="false" ht="15" hidden="false" customHeight="false" outlineLevel="0" collapsed="false">
      <c r="A23" s="6" t="n">
        <v>22</v>
      </c>
      <c r="B23" s="6" t="s">
        <v>6097</v>
      </c>
      <c r="C23" s="6" t="n">
        <v>1</v>
      </c>
      <c r="D23" s="6" t="s">
        <v>177</v>
      </c>
      <c r="E23" s="6" t="s">
        <v>81</v>
      </c>
      <c r="F23" s="6" t="n">
        <v>2</v>
      </c>
      <c r="G23" s="6" t="n">
        <v>152</v>
      </c>
      <c r="H23" s="6" t="s">
        <v>6098</v>
      </c>
      <c r="I23" s="22" t="n">
        <v>1587200</v>
      </c>
      <c r="J23" s="22" t="n">
        <v>4000</v>
      </c>
      <c r="K23" s="22" t="n">
        <v>119340</v>
      </c>
      <c r="L23" s="22" t="n">
        <v>1710540</v>
      </c>
      <c r="M23" s="6" t="s">
        <v>57</v>
      </c>
      <c r="N23" s="6" t="s">
        <v>58</v>
      </c>
      <c r="O23" s="6"/>
      <c r="P23" s="6" t="s">
        <v>59</v>
      </c>
      <c r="Q23" s="6" t="str">
        <f aca="false">IF(P23="pass","No","Yes")</f>
        <v>Yes</v>
      </c>
      <c r="R23" s="6" t="s">
        <v>60</v>
      </c>
      <c r="S23" s="6" t="s">
        <v>915</v>
      </c>
      <c r="T23" s="6" t="s">
        <v>6099</v>
      </c>
      <c r="U23" s="23" t="n">
        <v>2.233</v>
      </c>
      <c r="V23" s="6" t="s">
        <v>6100</v>
      </c>
      <c r="W23" s="6" t="s">
        <v>6101</v>
      </c>
      <c r="X23" s="6" t="s">
        <v>6102</v>
      </c>
      <c r="Y23" s="6" t="s">
        <v>60</v>
      </c>
      <c r="Z23" s="6" t="n">
        <v>0</v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0</v>
      </c>
      <c r="AF23" s="6" t="n">
        <v>0</v>
      </c>
      <c r="AG23" s="6" t="n">
        <v>0</v>
      </c>
      <c r="AH23" s="6" t="n">
        <v>1</v>
      </c>
      <c r="AI23" s="6" t="s">
        <v>84</v>
      </c>
    </row>
    <row r="24" customFormat="false" ht="15" hidden="false" customHeight="false" outlineLevel="0" collapsed="false">
      <c r="A24" s="6" t="n">
        <v>23</v>
      </c>
      <c r="B24" s="6" t="s">
        <v>6103</v>
      </c>
      <c r="C24" s="6" t="n">
        <v>1</v>
      </c>
      <c r="D24" s="6" t="s">
        <v>112</v>
      </c>
      <c r="E24" s="6" t="s">
        <v>116</v>
      </c>
      <c r="F24" s="6" t="n">
        <v>3</v>
      </c>
      <c r="G24" s="6" t="n">
        <v>103</v>
      </c>
      <c r="H24" s="6" t="s">
        <v>6104</v>
      </c>
      <c r="I24" s="22" t="n">
        <v>1698200</v>
      </c>
      <c r="J24" s="22" t="n">
        <v>15000</v>
      </c>
      <c r="K24" s="22" t="n">
        <v>128490</v>
      </c>
      <c r="L24" s="22" t="n">
        <v>1841690</v>
      </c>
      <c r="M24" s="6" t="s">
        <v>57</v>
      </c>
      <c r="N24" s="6" t="s">
        <v>58</v>
      </c>
      <c r="O24" s="6"/>
      <c r="P24" s="6" t="s">
        <v>69</v>
      </c>
      <c r="Q24" s="6" t="str">
        <f aca="false">IF(P24="pass","No","Yes")</f>
        <v>No</v>
      </c>
      <c r="R24" s="6" t="s">
        <v>60</v>
      </c>
      <c r="S24" s="6"/>
      <c r="T24" s="6"/>
      <c r="U24" s="23" t="n">
        <v>2.174</v>
      </c>
      <c r="V24" s="6" t="s">
        <v>6105</v>
      </c>
      <c r="W24" s="6" t="s">
        <v>6106</v>
      </c>
      <c r="X24" s="6" t="s">
        <v>6107</v>
      </c>
      <c r="Y24" s="6" t="s">
        <v>60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0</v>
      </c>
      <c r="AF24" s="6" t="n">
        <v>0</v>
      </c>
      <c r="AG24" s="6" t="n">
        <v>0</v>
      </c>
      <c r="AH24" s="6" t="n">
        <v>0</v>
      </c>
      <c r="AI24" s="6" t="s">
        <v>84</v>
      </c>
    </row>
    <row r="25" customFormat="false" ht="15" hidden="false" customHeight="false" outlineLevel="0" collapsed="false">
      <c r="A25" s="6" t="n">
        <v>24</v>
      </c>
      <c r="B25" s="6" t="s">
        <v>6108</v>
      </c>
      <c r="C25" s="6" t="n">
        <v>1</v>
      </c>
      <c r="D25" s="6" t="s">
        <v>198</v>
      </c>
      <c r="E25" s="6" t="s">
        <v>81</v>
      </c>
      <c r="F25" s="6" t="n">
        <v>3</v>
      </c>
      <c r="G25" s="6" t="n">
        <v>1044</v>
      </c>
      <c r="H25" s="6" t="s">
        <v>6109</v>
      </c>
      <c r="I25" s="22" t="n">
        <v>14361500</v>
      </c>
      <c r="J25" s="22" t="n">
        <v>4000</v>
      </c>
      <c r="K25" s="22" t="n">
        <v>1077412.5</v>
      </c>
      <c r="L25" s="22" t="n">
        <v>15442912.5</v>
      </c>
      <c r="M25" s="6" t="s">
        <v>159</v>
      </c>
      <c r="N25" s="6" t="s">
        <v>84</v>
      </c>
      <c r="O25" s="6" t="s">
        <v>886</v>
      </c>
      <c r="P25" s="6" t="s">
        <v>85</v>
      </c>
      <c r="Q25" s="6" t="str">
        <f aca="false">IF(P25="pass","No","Yes")</f>
        <v>Yes</v>
      </c>
      <c r="R25" s="6" t="s">
        <v>86</v>
      </c>
      <c r="S25" s="6" t="s">
        <v>992</v>
      </c>
      <c r="T25" s="6" t="s">
        <v>6110</v>
      </c>
      <c r="U25" s="23" t="n">
        <v>2.174</v>
      </c>
      <c r="V25" s="6" t="s">
        <v>6111</v>
      </c>
      <c r="W25" s="6" t="s">
        <v>6112</v>
      </c>
      <c r="X25" s="6" t="s">
        <v>6113</v>
      </c>
      <c r="Y25" s="6" t="s">
        <v>86</v>
      </c>
      <c r="Z25" s="6" t="n">
        <v>0</v>
      </c>
      <c r="AA25" s="6" t="n">
        <v>0</v>
      </c>
      <c r="AB25" s="6" t="n">
        <v>1</v>
      </c>
      <c r="AC25" s="6" t="n">
        <v>1</v>
      </c>
      <c r="AD25" s="6" t="n">
        <v>0</v>
      </c>
      <c r="AE25" s="6" t="n">
        <v>0</v>
      </c>
      <c r="AF25" s="6" t="n">
        <v>0</v>
      </c>
      <c r="AG25" s="6" t="n">
        <v>0</v>
      </c>
      <c r="AH25" s="6" t="n">
        <v>1</v>
      </c>
      <c r="AI25" s="6" t="s">
        <v>84</v>
      </c>
    </row>
    <row r="26" customFormat="false" ht="15" hidden="false" customHeight="false" outlineLevel="0" collapsed="false">
      <c r="A26" s="6" t="n">
        <v>25</v>
      </c>
      <c r="B26" s="6" t="s">
        <v>6114</v>
      </c>
      <c r="C26" s="6" t="n">
        <v>1</v>
      </c>
      <c r="D26" s="6" t="s">
        <v>191</v>
      </c>
      <c r="E26" s="6" t="s">
        <v>116</v>
      </c>
      <c r="F26" s="6" t="n">
        <v>3</v>
      </c>
      <c r="G26" s="6" t="n">
        <v>39</v>
      </c>
      <c r="H26" s="6" t="s">
        <v>6115</v>
      </c>
      <c r="I26" s="22" t="n">
        <v>1204000</v>
      </c>
      <c r="J26" s="22" t="n">
        <v>15000</v>
      </c>
      <c r="K26" s="22" t="n">
        <v>91425</v>
      </c>
      <c r="L26" s="22" t="n">
        <v>1310425</v>
      </c>
      <c r="M26" s="6" t="s">
        <v>960</v>
      </c>
      <c r="N26" s="6" t="s">
        <v>84</v>
      </c>
      <c r="O26" s="6" t="s">
        <v>961</v>
      </c>
      <c r="P26" s="6" t="s">
        <v>85</v>
      </c>
      <c r="Q26" s="6" t="str">
        <f aca="false">IF(P26="pass","No","Yes")</f>
        <v>Yes</v>
      </c>
      <c r="R26" s="6" t="s">
        <v>86</v>
      </c>
      <c r="S26" s="6" t="s">
        <v>961</v>
      </c>
      <c r="T26" s="6" t="s">
        <v>962</v>
      </c>
      <c r="U26" s="23" t="n">
        <v>2.236</v>
      </c>
      <c r="V26" s="6" t="s">
        <v>6116</v>
      </c>
      <c r="W26" s="6" t="s">
        <v>6117</v>
      </c>
      <c r="X26" s="6" t="s">
        <v>6118</v>
      </c>
      <c r="Y26" s="6" t="s">
        <v>86</v>
      </c>
      <c r="Z26" s="6" t="n">
        <v>0</v>
      </c>
      <c r="AA26" s="6" t="n">
        <v>0</v>
      </c>
      <c r="AB26" s="6" t="n">
        <v>0</v>
      </c>
      <c r="AC26" s="6" t="n">
        <v>0</v>
      </c>
      <c r="AD26" s="6" t="n">
        <v>1</v>
      </c>
      <c r="AE26" s="6" t="n">
        <v>0</v>
      </c>
      <c r="AF26" s="6" t="n">
        <v>0</v>
      </c>
      <c r="AG26" s="6" t="n">
        <v>0</v>
      </c>
      <c r="AH26" s="6" t="n">
        <v>0</v>
      </c>
      <c r="AI26" s="6" t="s">
        <v>84</v>
      </c>
    </row>
    <row r="27" customFormat="false" ht="15" hidden="false" customHeight="false" outlineLevel="0" collapsed="false">
      <c r="A27" s="6" t="n">
        <v>26</v>
      </c>
      <c r="B27" s="6" t="s">
        <v>6119</v>
      </c>
      <c r="C27" s="6" t="n">
        <v>1</v>
      </c>
      <c r="D27" s="6" t="s">
        <v>77</v>
      </c>
      <c r="E27" s="6" t="s">
        <v>81</v>
      </c>
      <c r="F27" s="6" t="n">
        <v>3</v>
      </c>
      <c r="G27" s="6" t="n">
        <v>131</v>
      </c>
      <c r="H27" s="6" t="s">
        <v>6120</v>
      </c>
      <c r="I27" s="22" t="n">
        <v>1045400</v>
      </c>
      <c r="J27" s="22" t="n">
        <v>4000</v>
      </c>
      <c r="K27" s="22" t="n">
        <v>78705</v>
      </c>
      <c r="L27" s="22" t="n">
        <v>1128105</v>
      </c>
      <c r="M27" s="6" t="s">
        <v>1042</v>
      </c>
      <c r="N27" s="6" t="s">
        <v>58</v>
      </c>
      <c r="O27" s="6"/>
      <c r="P27" s="6" t="s">
        <v>59</v>
      </c>
      <c r="Q27" s="6" t="str">
        <f aca="false">IF(P27="pass","No","Yes")</f>
        <v>Yes</v>
      </c>
      <c r="R27" s="6" t="s">
        <v>60</v>
      </c>
      <c r="S27" s="6" t="s">
        <v>915</v>
      </c>
      <c r="T27" s="6" t="s">
        <v>563</v>
      </c>
      <c r="U27" s="23" t="n">
        <v>2.21</v>
      </c>
      <c r="V27" s="6" t="s">
        <v>6121</v>
      </c>
      <c r="W27" s="6" t="s">
        <v>6122</v>
      </c>
      <c r="X27" s="6" t="s">
        <v>6123</v>
      </c>
      <c r="Y27" s="6" t="s">
        <v>60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0</v>
      </c>
      <c r="AF27" s="6" t="n">
        <v>0</v>
      </c>
      <c r="AG27" s="6" t="n">
        <v>0</v>
      </c>
      <c r="AH27" s="6" t="n">
        <v>1</v>
      </c>
      <c r="AI27" s="6" t="s">
        <v>84</v>
      </c>
    </row>
    <row r="28" customFormat="false" ht="15" hidden="false" customHeight="false" outlineLevel="0" collapsed="false">
      <c r="A28" s="6" t="n">
        <v>27</v>
      </c>
      <c r="B28" s="6" t="s">
        <v>6124</v>
      </c>
      <c r="C28" s="6" t="n">
        <v>1</v>
      </c>
      <c r="D28" s="6" t="s">
        <v>142</v>
      </c>
      <c r="E28" s="6" t="s">
        <v>74</v>
      </c>
      <c r="F28" s="6" t="n">
        <v>3</v>
      </c>
      <c r="G28" s="6" t="n">
        <v>67</v>
      </c>
      <c r="H28" s="6" t="s">
        <v>6125</v>
      </c>
      <c r="I28" s="22" t="n">
        <v>1008800</v>
      </c>
      <c r="J28" s="22" t="n">
        <v>9000</v>
      </c>
      <c r="K28" s="22" t="n">
        <v>76335</v>
      </c>
      <c r="L28" s="22" t="n">
        <v>1094135</v>
      </c>
      <c r="M28" s="6" t="s">
        <v>57</v>
      </c>
      <c r="N28" s="6" t="s">
        <v>58</v>
      </c>
      <c r="O28" s="6"/>
      <c r="P28" s="6" t="s">
        <v>59</v>
      </c>
      <c r="Q28" s="6" t="str">
        <f aca="false">IF(P28="pass","No","Yes")</f>
        <v>Yes</v>
      </c>
      <c r="R28" s="6" t="s">
        <v>60</v>
      </c>
      <c r="S28" s="6" t="s">
        <v>915</v>
      </c>
      <c r="T28" s="6" t="s">
        <v>6126</v>
      </c>
      <c r="U28" s="23" t="n">
        <v>2.41</v>
      </c>
      <c r="V28" s="6" t="s">
        <v>6127</v>
      </c>
      <c r="W28" s="6" t="s">
        <v>6128</v>
      </c>
      <c r="X28" s="6" t="s">
        <v>6129</v>
      </c>
      <c r="Y28" s="6" t="s">
        <v>60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0</v>
      </c>
      <c r="AF28" s="6" t="n">
        <v>0</v>
      </c>
      <c r="AG28" s="6" t="n">
        <v>0</v>
      </c>
      <c r="AH28" s="6" t="n">
        <v>1</v>
      </c>
      <c r="AI28" s="6" t="s">
        <v>84</v>
      </c>
    </row>
    <row r="29" customFormat="false" ht="15" hidden="false" customHeight="false" outlineLevel="0" collapsed="false">
      <c r="A29" s="6" t="n">
        <v>28</v>
      </c>
      <c r="B29" s="6" t="s">
        <v>6130</v>
      </c>
      <c r="C29" s="6" t="n">
        <v>1</v>
      </c>
      <c r="D29" s="6" t="s">
        <v>70</v>
      </c>
      <c r="E29" s="6" t="s">
        <v>74</v>
      </c>
      <c r="F29" s="6" t="n">
        <v>1</v>
      </c>
      <c r="G29" s="6" t="n">
        <v>2</v>
      </c>
      <c r="H29" s="6" t="s">
        <v>959</v>
      </c>
      <c r="I29" s="22" t="n">
        <v>8200</v>
      </c>
      <c r="J29" s="22" t="n">
        <v>9000</v>
      </c>
      <c r="K29" s="22" t="n">
        <v>1290</v>
      </c>
      <c r="L29" s="22" t="n">
        <v>18490</v>
      </c>
      <c r="M29" s="6" t="s">
        <v>984</v>
      </c>
      <c r="N29" s="6" t="s">
        <v>84</v>
      </c>
      <c r="O29" s="6" t="s">
        <v>985</v>
      </c>
      <c r="P29" s="6" t="s">
        <v>85</v>
      </c>
      <c r="Q29" s="6" t="str">
        <f aca="false">IF(P29="pass","No","Yes")</f>
        <v>Yes</v>
      </c>
      <c r="R29" s="6" t="s">
        <v>86</v>
      </c>
      <c r="S29" s="6" t="s">
        <v>985</v>
      </c>
      <c r="T29" s="6" t="s">
        <v>3244</v>
      </c>
      <c r="U29" s="23" t="n">
        <v>1.875</v>
      </c>
      <c r="V29" s="6" t="s">
        <v>6131</v>
      </c>
      <c r="W29" s="6" t="s">
        <v>6132</v>
      </c>
      <c r="X29" s="6" t="s">
        <v>6133</v>
      </c>
      <c r="Y29" s="6" t="s">
        <v>86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1</v>
      </c>
      <c r="AF29" s="6" t="n">
        <v>0</v>
      </c>
      <c r="AG29" s="6" t="n">
        <v>0</v>
      </c>
      <c r="AH29" s="6" t="n">
        <v>0</v>
      </c>
      <c r="AI29" s="6" t="s">
        <v>84</v>
      </c>
    </row>
    <row r="30" customFormat="false" ht="15" hidden="false" customHeight="false" outlineLevel="0" collapsed="false">
      <c r="A30" s="6" t="n">
        <v>29</v>
      </c>
      <c r="B30" s="6" t="s">
        <v>6134</v>
      </c>
      <c r="C30" s="6" t="n">
        <v>1</v>
      </c>
      <c r="D30" s="6" t="s">
        <v>112</v>
      </c>
      <c r="E30" s="6" t="s">
        <v>116</v>
      </c>
      <c r="F30" s="6" t="n">
        <v>1</v>
      </c>
      <c r="G30" s="6" t="n">
        <v>9</v>
      </c>
      <c r="H30" s="6" t="s">
        <v>1300</v>
      </c>
      <c r="I30" s="22" t="n">
        <v>468000</v>
      </c>
      <c r="J30" s="22" t="n">
        <v>15000</v>
      </c>
      <c r="K30" s="22" t="n">
        <v>36225</v>
      </c>
      <c r="L30" s="22" t="n">
        <v>519225</v>
      </c>
      <c r="M30" s="6" t="s">
        <v>94</v>
      </c>
      <c r="N30" s="6" t="s">
        <v>84</v>
      </c>
      <c r="O30" s="6" t="s">
        <v>909</v>
      </c>
      <c r="P30" s="6" t="s">
        <v>85</v>
      </c>
      <c r="Q30" s="6" t="str">
        <f aca="false">IF(P30="pass","No","Yes")</f>
        <v>Yes</v>
      </c>
      <c r="R30" s="6" t="s">
        <v>86</v>
      </c>
      <c r="S30" s="6" t="s">
        <v>909</v>
      </c>
      <c r="T30" s="6" t="s">
        <v>254</v>
      </c>
      <c r="U30" s="23" t="n">
        <v>1.76</v>
      </c>
      <c r="V30" s="6" t="s">
        <v>6135</v>
      </c>
      <c r="W30" s="6" t="s">
        <v>6136</v>
      </c>
      <c r="X30" s="6" t="s">
        <v>6137</v>
      </c>
      <c r="Y30" s="6" t="s">
        <v>86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0</v>
      </c>
      <c r="AF30" s="6" t="n">
        <v>1</v>
      </c>
      <c r="AG30" s="6" t="n">
        <v>0</v>
      </c>
      <c r="AH30" s="6" t="n">
        <v>0</v>
      </c>
      <c r="AI30" s="6" t="s">
        <v>84</v>
      </c>
    </row>
    <row r="31" customFormat="false" ht="15" hidden="false" customHeight="false" outlineLevel="0" collapsed="false">
      <c r="A31" s="6" t="n">
        <v>30</v>
      </c>
      <c r="B31" s="6" t="s">
        <v>6138</v>
      </c>
      <c r="C31" s="6" t="n">
        <v>1</v>
      </c>
      <c r="D31" s="6" t="s">
        <v>198</v>
      </c>
      <c r="E31" s="6" t="s">
        <v>81</v>
      </c>
      <c r="F31" s="6" t="n">
        <v>3</v>
      </c>
      <c r="G31" s="6" t="n">
        <v>34</v>
      </c>
      <c r="H31" s="6" t="s">
        <v>6139</v>
      </c>
      <c r="I31" s="22" t="n">
        <v>238600</v>
      </c>
      <c r="J31" s="22" t="n">
        <v>4000</v>
      </c>
      <c r="K31" s="22" t="n">
        <v>18195</v>
      </c>
      <c r="L31" s="22" t="n">
        <v>260795</v>
      </c>
      <c r="M31" s="6" t="s">
        <v>152</v>
      </c>
      <c r="N31" s="6" t="s">
        <v>84</v>
      </c>
      <c r="O31" s="6" t="s">
        <v>886</v>
      </c>
      <c r="P31" s="6" t="s">
        <v>85</v>
      </c>
      <c r="Q31" s="6" t="str">
        <f aca="false">IF(P31="pass","No","Yes")</f>
        <v>Yes</v>
      </c>
      <c r="R31" s="6" t="s">
        <v>86</v>
      </c>
      <c r="S31" s="6" t="s">
        <v>886</v>
      </c>
      <c r="T31" s="6" t="s">
        <v>153</v>
      </c>
      <c r="U31" s="23" t="n">
        <v>1.765</v>
      </c>
      <c r="V31" s="6" t="s">
        <v>6140</v>
      </c>
      <c r="W31" s="6" t="s">
        <v>6141</v>
      </c>
      <c r="X31" s="6" t="s">
        <v>6142</v>
      </c>
      <c r="Y31" s="6" t="s">
        <v>86</v>
      </c>
      <c r="Z31" s="6" t="n">
        <v>0</v>
      </c>
      <c r="AA31" s="6" t="n">
        <v>0</v>
      </c>
      <c r="AB31" s="6" t="n">
        <v>1</v>
      </c>
      <c r="AC31" s="6" t="n">
        <v>0</v>
      </c>
      <c r="AD31" s="6" t="n">
        <v>0</v>
      </c>
      <c r="AE31" s="6" t="n">
        <v>0</v>
      </c>
      <c r="AF31" s="6" t="n">
        <v>0</v>
      </c>
      <c r="AG31" s="6" t="n">
        <v>0</v>
      </c>
      <c r="AH31" s="6" t="n">
        <v>0</v>
      </c>
      <c r="AI31" s="6" t="s">
        <v>84</v>
      </c>
    </row>
    <row r="32" customFormat="false" ht="15" hidden="false" customHeight="false" outlineLevel="0" collapsed="false">
      <c r="A32" s="6" t="n">
        <v>31</v>
      </c>
      <c r="B32" s="6" t="s">
        <v>6143</v>
      </c>
      <c r="C32" s="6" t="n">
        <v>1</v>
      </c>
      <c r="D32" s="6" t="s">
        <v>186</v>
      </c>
      <c r="E32" s="6" t="s">
        <v>123</v>
      </c>
      <c r="F32" s="6" t="n">
        <v>1</v>
      </c>
      <c r="G32" s="6" t="n">
        <v>37</v>
      </c>
      <c r="H32" s="6" t="s">
        <v>6144</v>
      </c>
      <c r="I32" s="22" t="n">
        <v>536500</v>
      </c>
      <c r="J32" s="22" t="n">
        <v>5000</v>
      </c>
      <c r="K32" s="22" t="n">
        <v>40612.5</v>
      </c>
      <c r="L32" s="22" t="n">
        <v>582112.5</v>
      </c>
      <c r="M32" s="6" t="s">
        <v>1042</v>
      </c>
      <c r="N32" s="6" t="s">
        <v>58</v>
      </c>
      <c r="O32" s="6"/>
      <c r="P32" s="6" t="s">
        <v>69</v>
      </c>
      <c r="Q32" s="6" t="str">
        <f aca="false">IF(P32="pass","No","Yes")</f>
        <v>No</v>
      </c>
      <c r="R32" s="6" t="s">
        <v>60</v>
      </c>
      <c r="S32" s="6"/>
      <c r="T32" s="6"/>
      <c r="U32" s="23" t="n">
        <v>2.245</v>
      </c>
      <c r="V32" s="6" t="s">
        <v>6145</v>
      </c>
      <c r="W32" s="6" t="s">
        <v>6146</v>
      </c>
      <c r="X32" s="6" t="s">
        <v>6147</v>
      </c>
      <c r="Y32" s="6" t="s">
        <v>60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  <c r="AH32" s="6" t="n">
        <v>0</v>
      </c>
      <c r="AI32" s="6" t="s">
        <v>84</v>
      </c>
    </row>
    <row r="33" customFormat="false" ht="15" hidden="false" customHeight="false" outlineLevel="0" collapsed="false">
      <c r="A33" s="6" t="n">
        <v>32</v>
      </c>
      <c r="B33" s="6" t="s">
        <v>6148</v>
      </c>
      <c r="C33" s="6" t="n">
        <v>1</v>
      </c>
      <c r="D33" s="6" t="s">
        <v>186</v>
      </c>
      <c r="E33" s="6" t="s">
        <v>123</v>
      </c>
      <c r="F33" s="6" t="n">
        <v>2</v>
      </c>
      <c r="G33" s="6" t="n">
        <v>67</v>
      </c>
      <c r="H33" s="6" t="s">
        <v>6149</v>
      </c>
      <c r="I33" s="22" t="n">
        <v>694600</v>
      </c>
      <c r="J33" s="22" t="n">
        <v>5000</v>
      </c>
      <c r="K33" s="22" t="n">
        <v>52470</v>
      </c>
      <c r="L33" s="22" t="n">
        <v>752070</v>
      </c>
      <c r="M33" s="6" t="s">
        <v>984</v>
      </c>
      <c r="N33" s="6" t="s">
        <v>84</v>
      </c>
      <c r="O33" s="6" t="s">
        <v>985</v>
      </c>
      <c r="P33" s="6" t="s">
        <v>85</v>
      </c>
      <c r="Q33" s="6" t="str">
        <f aca="false">IF(P33="pass","No","Yes")</f>
        <v>Yes</v>
      </c>
      <c r="R33" s="6" t="s">
        <v>86</v>
      </c>
      <c r="S33" s="6" t="s">
        <v>985</v>
      </c>
      <c r="T33" s="6" t="s">
        <v>3809</v>
      </c>
      <c r="U33" s="23" t="n">
        <v>1.764</v>
      </c>
      <c r="V33" s="6" t="s">
        <v>6150</v>
      </c>
      <c r="W33" s="6" t="s">
        <v>6151</v>
      </c>
      <c r="X33" s="6" t="s">
        <v>6152</v>
      </c>
      <c r="Y33" s="6" t="s">
        <v>86</v>
      </c>
      <c r="Z33" s="6" t="n">
        <v>0</v>
      </c>
      <c r="AA33" s="6" t="n">
        <v>0</v>
      </c>
      <c r="AB33" s="6" t="n">
        <v>0</v>
      </c>
      <c r="AC33" s="6" t="n">
        <v>0</v>
      </c>
      <c r="AD33" s="6" t="n">
        <v>0</v>
      </c>
      <c r="AE33" s="6" t="n">
        <v>1</v>
      </c>
      <c r="AF33" s="6" t="n">
        <v>0</v>
      </c>
      <c r="AG33" s="6" t="n">
        <v>0</v>
      </c>
      <c r="AH33" s="6" t="n">
        <v>0</v>
      </c>
      <c r="AI33" s="6" t="s">
        <v>84</v>
      </c>
    </row>
    <row r="34" customFormat="false" ht="15" hidden="false" customHeight="false" outlineLevel="0" collapsed="false">
      <c r="A34" s="6" t="n">
        <v>33</v>
      </c>
      <c r="B34" s="6" t="s">
        <v>6153</v>
      </c>
      <c r="C34" s="6" t="n">
        <v>1</v>
      </c>
      <c r="D34" s="6" t="s">
        <v>142</v>
      </c>
      <c r="E34" s="6" t="s">
        <v>74</v>
      </c>
      <c r="F34" s="6" t="n">
        <v>4</v>
      </c>
      <c r="G34" s="6" t="n">
        <v>1749</v>
      </c>
      <c r="H34" s="6" t="s">
        <v>6154</v>
      </c>
      <c r="I34" s="22" t="n">
        <v>13807200</v>
      </c>
      <c r="J34" s="22" t="n">
        <v>9000</v>
      </c>
      <c r="K34" s="22" t="n">
        <v>1036215</v>
      </c>
      <c r="L34" s="22" t="n">
        <v>14852415</v>
      </c>
      <c r="M34" s="6" t="s">
        <v>159</v>
      </c>
      <c r="N34" s="6" t="s">
        <v>84</v>
      </c>
      <c r="O34" s="6" t="s">
        <v>886</v>
      </c>
      <c r="P34" s="6" t="s">
        <v>85</v>
      </c>
      <c r="Q34" s="6" t="str">
        <f aca="false">IF(P34="pass","No","Yes")</f>
        <v>Yes</v>
      </c>
      <c r="R34" s="6" t="s">
        <v>86</v>
      </c>
      <c r="S34" s="6" t="s">
        <v>992</v>
      </c>
      <c r="T34" s="6" t="s">
        <v>6155</v>
      </c>
      <c r="U34" s="23" t="n">
        <v>2.326</v>
      </c>
      <c r="V34" s="6" t="s">
        <v>6156</v>
      </c>
      <c r="W34" s="6" t="s">
        <v>6157</v>
      </c>
      <c r="X34" s="6" t="s">
        <v>6158</v>
      </c>
      <c r="Y34" s="6" t="s">
        <v>86</v>
      </c>
      <c r="Z34" s="6" t="n">
        <v>0</v>
      </c>
      <c r="AA34" s="6" t="n">
        <v>0</v>
      </c>
      <c r="AB34" s="6" t="n">
        <v>1</v>
      </c>
      <c r="AC34" s="6" t="n">
        <v>1</v>
      </c>
      <c r="AD34" s="6" t="n">
        <v>0</v>
      </c>
      <c r="AE34" s="6" t="n">
        <v>0</v>
      </c>
      <c r="AF34" s="6" t="n">
        <v>0</v>
      </c>
      <c r="AG34" s="6" t="n">
        <v>0</v>
      </c>
      <c r="AH34" s="6" t="n">
        <v>1</v>
      </c>
      <c r="AI34" s="6" t="s">
        <v>84</v>
      </c>
    </row>
    <row r="35" customFormat="false" ht="15" hidden="false" customHeight="false" outlineLevel="0" collapsed="false">
      <c r="A35" s="6" t="n">
        <v>34</v>
      </c>
      <c r="B35" s="6" t="s">
        <v>6159</v>
      </c>
      <c r="C35" s="6" t="n">
        <v>1</v>
      </c>
      <c r="D35" s="6" t="s">
        <v>63</v>
      </c>
      <c r="E35" s="6" t="s">
        <v>67</v>
      </c>
      <c r="F35" s="6" t="n">
        <v>2</v>
      </c>
      <c r="G35" s="6" t="n">
        <v>425</v>
      </c>
      <c r="H35" s="6" t="s">
        <v>6160</v>
      </c>
      <c r="I35" s="22" t="n">
        <v>6030200</v>
      </c>
      <c r="J35" s="22" t="n">
        <v>4500</v>
      </c>
      <c r="K35" s="22" t="n">
        <v>452602.5</v>
      </c>
      <c r="L35" s="22" t="n">
        <v>6487302.5</v>
      </c>
      <c r="M35" s="6" t="s">
        <v>171</v>
      </c>
      <c r="N35" s="6" t="s">
        <v>84</v>
      </c>
      <c r="O35" s="6" t="s">
        <v>892</v>
      </c>
      <c r="P35" s="6" t="s">
        <v>85</v>
      </c>
      <c r="Q35" s="6" t="str">
        <f aca="false">IF(P35="pass","No","Yes")</f>
        <v>Yes</v>
      </c>
      <c r="R35" s="6" t="s">
        <v>86</v>
      </c>
      <c r="S35" s="6" t="s">
        <v>892</v>
      </c>
      <c r="T35" s="6" t="s">
        <v>1902</v>
      </c>
      <c r="U35" s="23" t="n">
        <v>1.822</v>
      </c>
      <c r="V35" s="6" t="s">
        <v>6161</v>
      </c>
      <c r="W35" s="6" t="s">
        <v>6162</v>
      </c>
      <c r="X35" s="6" t="s">
        <v>6163</v>
      </c>
      <c r="Y35" s="6" t="s">
        <v>86</v>
      </c>
      <c r="Z35" s="6" t="n">
        <v>0</v>
      </c>
      <c r="AA35" s="6" t="n">
        <v>0</v>
      </c>
      <c r="AB35" s="6" t="n">
        <v>0</v>
      </c>
      <c r="AC35" s="6" t="n">
        <v>1</v>
      </c>
      <c r="AD35" s="6" t="n">
        <v>0</v>
      </c>
      <c r="AE35" s="6" t="n">
        <v>0</v>
      </c>
      <c r="AF35" s="6" t="n">
        <v>0</v>
      </c>
      <c r="AG35" s="6" t="n">
        <v>0</v>
      </c>
      <c r="AH35" s="6" t="n">
        <v>0</v>
      </c>
      <c r="AI35" s="6" t="s">
        <v>84</v>
      </c>
    </row>
    <row r="36" customFormat="false" ht="15" hidden="false" customHeight="false" outlineLevel="0" collapsed="false">
      <c r="A36" s="6" t="n">
        <v>35</v>
      </c>
      <c r="B36" s="6" t="s">
        <v>6164</v>
      </c>
      <c r="C36" s="6" t="n">
        <v>1</v>
      </c>
      <c r="D36" s="6" t="s">
        <v>112</v>
      </c>
      <c r="E36" s="6" t="s">
        <v>116</v>
      </c>
      <c r="F36" s="6" t="n">
        <v>2</v>
      </c>
      <c r="G36" s="6" t="n">
        <v>36</v>
      </c>
      <c r="H36" s="6" t="s">
        <v>6165</v>
      </c>
      <c r="I36" s="22" t="n">
        <v>1368000</v>
      </c>
      <c r="J36" s="22" t="n">
        <v>15000</v>
      </c>
      <c r="K36" s="22" t="n">
        <v>103725</v>
      </c>
      <c r="L36" s="22" t="n">
        <v>1486725</v>
      </c>
      <c r="M36" s="6" t="s">
        <v>57</v>
      </c>
      <c r="N36" s="6" t="s">
        <v>58</v>
      </c>
      <c r="O36" s="6"/>
      <c r="P36" s="6" t="s">
        <v>69</v>
      </c>
      <c r="Q36" s="6" t="str">
        <f aca="false">IF(P36="pass","No","Yes")</f>
        <v>No</v>
      </c>
      <c r="R36" s="6" t="s">
        <v>60</v>
      </c>
      <c r="S36" s="6"/>
      <c r="T36" s="6"/>
      <c r="U36" s="23" t="n">
        <v>2.187</v>
      </c>
      <c r="V36" s="6" t="s">
        <v>6166</v>
      </c>
      <c r="W36" s="6" t="s">
        <v>6167</v>
      </c>
      <c r="X36" s="6" t="s">
        <v>6168</v>
      </c>
      <c r="Y36" s="6" t="s">
        <v>60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0</v>
      </c>
      <c r="AF36" s="6" t="n">
        <v>0</v>
      </c>
      <c r="AG36" s="6" t="n">
        <v>0</v>
      </c>
      <c r="AH36" s="6" t="n">
        <v>0</v>
      </c>
      <c r="AI36" s="6" t="s">
        <v>84</v>
      </c>
    </row>
    <row r="37" customFormat="false" ht="15" hidden="false" customHeight="false" outlineLevel="0" collapsed="false">
      <c r="A37" s="6" t="n">
        <v>36</v>
      </c>
      <c r="B37" s="6" t="s">
        <v>6169</v>
      </c>
      <c r="C37" s="6" t="n">
        <v>1</v>
      </c>
      <c r="D37" s="6" t="s">
        <v>63</v>
      </c>
      <c r="E37" s="6" t="s">
        <v>67</v>
      </c>
      <c r="F37" s="6" t="n">
        <v>1</v>
      </c>
      <c r="G37" s="6" t="n">
        <v>12</v>
      </c>
      <c r="H37" s="6" t="s">
        <v>3147</v>
      </c>
      <c r="I37" s="22" t="n">
        <v>372000</v>
      </c>
      <c r="J37" s="22" t="n">
        <v>4500</v>
      </c>
      <c r="K37" s="22" t="n">
        <v>28237.5</v>
      </c>
      <c r="L37" s="22" t="n">
        <v>404737.5</v>
      </c>
      <c r="M37" s="6" t="s">
        <v>57</v>
      </c>
      <c r="N37" s="6" t="s">
        <v>58</v>
      </c>
      <c r="O37" s="6"/>
      <c r="P37" s="6" t="s">
        <v>69</v>
      </c>
      <c r="Q37" s="6" t="str">
        <f aca="false">IF(P37="pass","No","Yes")</f>
        <v>No</v>
      </c>
      <c r="R37" s="6" t="s">
        <v>60</v>
      </c>
      <c r="S37" s="6"/>
      <c r="T37" s="6"/>
      <c r="U37" s="23" t="n">
        <v>2.182</v>
      </c>
      <c r="V37" s="6" t="s">
        <v>6170</v>
      </c>
      <c r="W37" s="6" t="s">
        <v>6171</v>
      </c>
      <c r="X37" s="6" t="s">
        <v>6172</v>
      </c>
      <c r="Y37" s="6" t="s">
        <v>60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0</v>
      </c>
      <c r="AF37" s="6" t="n">
        <v>0</v>
      </c>
      <c r="AG37" s="6" t="n">
        <v>0</v>
      </c>
      <c r="AH37" s="6" t="n">
        <v>0</v>
      </c>
      <c r="AI37" s="6" t="s">
        <v>84</v>
      </c>
    </row>
    <row r="38" customFormat="false" ht="15" hidden="false" customHeight="false" outlineLevel="0" collapsed="false">
      <c r="A38" s="6" t="n">
        <v>37</v>
      </c>
      <c r="B38" s="6" t="s">
        <v>6173</v>
      </c>
      <c r="C38" s="6" t="n">
        <v>1</v>
      </c>
      <c r="D38" s="6" t="s">
        <v>119</v>
      </c>
      <c r="E38" s="6" t="s">
        <v>123</v>
      </c>
      <c r="F38" s="6" t="n">
        <v>3</v>
      </c>
      <c r="G38" s="6" t="n">
        <v>10</v>
      </c>
      <c r="H38" s="6" t="s">
        <v>6174</v>
      </c>
      <c r="I38" s="22" t="n">
        <v>359000</v>
      </c>
      <c r="J38" s="22" t="n">
        <v>5000</v>
      </c>
      <c r="K38" s="22" t="n">
        <v>27300</v>
      </c>
      <c r="L38" s="22" t="n">
        <v>391300</v>
      </c>
      <c r="M38" s="6" t="s">
        <v>272</v>
      </c>
      <c r="N38" s="6" t="s">
        <v>84</v>
      </c>
      <c r="O38" s="6" t="s">
        <v>879</v>
      </c>
      <c r="P38" s="6" t="s">
        <v>85</v>
      </c>
      <c r="Q38" s="6" t="str">
        <f aca="false">IF(P38="pass","No","Yes")</f>
        <v>Yes</v>
      </c>
      <c r="R38" s="6" t="s">
        <v>86</v>
      </c>
      <c r="S38" s="6" t="s">
        <v>879</v>
      </c>
      <c r="T38" s="6" t="s">
        <v>6175</v>
      </c>
      <c r="U38" s="23" t="n">
        <v>1.814</v>
      </c>
      <c r="V38" s="6" t="s">
        <v>6176</v>
      </c>
      <c r="W38" s="6" t="s">
        <v>6177</v>
      </c>
      <c r="X38" s="6" t="s">
        <v>6178</v>
      </c>
      <c r="Y38" s="6" t="s">
        <v>86</v>
      </c>
      <c r="Z38" s="6" t="n">
        <v>0</v>
      </c>
      <c r="AA38" s="6" t="n">
        <v>1</v>
      </c>
      <c r="AB38" s="6" t="n">
        <v>0</v>
      </c>
      <c r="AC38" s="6" t="n">
        <v>0</v>
      </c>
      <c r="AD38" s="6" t="n">
        <v>0</v>
      </c>
      <c r="AE38" s="6" t="n">
        <v>0</v>
      </c>
      <c r="AF38" s="6" t="n">
        <v>0</v>
      </c>
      <c r="AG38" s="6" t="n">
        <v>0</v>
      </c>
      <c r="AH38" s="6" t="n">
        <v>0</v>
      </c>
      <c r="AI38" s="6" t="s">
        <v>84</v>
      </c>
    </row>
    <row r="39" customFormat="false" ht="15" hidden="false" customHeight="false" outlineLevel="0" collapsed="false">
      <c r="A39" s="6" t="n">
        <v>38</v>
      </c>
      <c r="B39" s="6" t="s">
        <v>6179</v>
      </c>
      <c r="C39" s="6" t="n">
        <v>1</v>
      </c>
      <c r="D39" s="6" t="s">
        <v>198</v>
      </c>
      <c r="E39" s="6" t="s">
        <v>81</v>
      </c>
      <c r="F39" s="6" t="n">
        <v>3</v>
      </c>
      <c r="G39" s="6" t="n">
        <v>289</v>
      </c>
      <c r="H39" s="6" t="s">
        <v>6180</v>
      </c>
      <c r="I39" s="22" t="n">
        <v>2544900</v>
      </c>
      <c r="J39" s="22" t="n">
        <v>4000</v>
      </c>
      <c r="K39" s="22" t="n">
        <v>191167.5</v>
      </c>
      <c r="L39" s="22" t="n">
        <v>2740067.5</v>
      </c>
      <c r="M39" s="6" t="s">
        <v>57</v>
      </c>
      <c r="N39" s="6" t="s">
        <v>58</v>
      </c>
      <c r="O39" s="6"/>
      <c r="P39" s="6" t="s">
        <v>59</v>
      </c>
      <c r="Q39" s="6" t="str">
        <f aca="false">IF(P39="pass","No","Yes")</f>
        <v>Yes</v>
      </c>
      <c r="R39" s="6" t="s">
        <v>60</v>
      </c>
      <c r="S39" s="6" t="s">
        <v>915</v>
      </c>
      <c r="T39" s="6" t="s">
        <v>6181</v>
      </c>
      <c r="U39" s="23" t="n">
        <v>2.413</v>
      </c>
      <c r="V39" s="6" t="s">
        <v>6182</v>
      </c>
      <c r="W39" s="6" t="s">
        <v>6183</v>
      </c>
      <c r="X39" s="6" t="s">
        <v>6184</v>
      </c>
      <c r="Y39" s="6" t="s">
        <v>60</v>
      </c>
      <c r="Z39" s="6" t="n">
        <v>0</v>
      </c>
      <c r="AA39" s="6" t="n">
        <v>0</v>
      </c>
      <c r="AB39" s="6" t="n">
        <v>0</v>
      </c>
      <c r="AC39" s="6" t="n">
        <v>0</v>
      </c>
      <c r="AD39" s="6" t="n">
        <v>0</v>
      </c>
      <c r="AE39" s="6" t="n">
        <v>0</v>
      </c>
      <c r="AF39" s="6" t="n">
        <v>0</v>
      </c>
      <c r="AG39" s="6" t="n">
        <v>0</v>
      </c>
      <c r="AH39" s="6" t="n">
        <v>1</v>
      </c>
      <c r="AI39" s="6" t="s">
        <v>84</v>
      </c>
    </row>
    <row r="40" customFormat="false" ht="15" hidden="false" customHeight="false" outlineLevel="0" collapsed="false">
      <c r="A40" s="6" t="n">
        <v>39</v>
      </c>
      <c r="B40" s="6" t="s">
        <v>6185</v>
      </c>
      <c r="C40" s="6" t="n">
        <v>1</v>
      </c>
      <c r="D40" s="6" t="s">
        <v>51</v>
      </c>
      <c r="E40" s="6" t="s">
        <v>55</v>
      </c>
      <c r="F40" s="6" t="n">
        <v>1</v>
      </c>
      <c r="G40" s="6" t="n">
        <v>2</v>
      </c>
      <c r="H40" s="6" t="s">
        <v>2836</v>
      </c>
      <c r="I40" s="22" t="n">
        <v>62000</v>
      </c>
      <c r="J40" s="22" t="n">
        <v>6000</v>
      </c>
      <c r="K40" s="22" t="n">
        <v>5100</v>
      </c>
      <c r="L40" s="22" t="n">
        <v>73100</v>
      </c>
      <c r="M40" s="6" t="s">
        <v>57</v>
      </c>
      <c r="N40" s="6" t="s">
        <v>58</v>
      </c>
      <c r="O40" s="6"/>
      <c r="P40" s="6" t="s">
        <v>69</v>
      </c>
      <c r="Q40" s="6" t="str">
        <f aca="false">IF(P40="pass","No","Yes")</f>
        <v>No</v>
      </c>
      <c r="R40" s="6" t="s">
        <v>60</v>
      </c>
      <c r="S40" s="6"/>
      <c r="T40" s="6"/>
      <c r="U40" s="23" t="n">
        <v>2.143</v>
      </c>
      <c r="V40" s="6" t="s">
        <v>6186</v>
      </c>
      <c r="W40" s="6" t="s">
        <v>6187</v>
      </c>
      <c r="X40" s="6" t="s">
        <v>6188</v>
      </c>
      <c r="Y40" s="6" t="s">
        <v>60</v>
      </c>
      <c r="Z40" s="6" t="n">
        <v>0</v>
      </c>
      <c r="AA40" s="6" t="n">
        <v>0</v>
      </c>
      <c r="AB40" s="6" t="n">
        <v>0</v>
      </c>
      <c r="AC40" s="6" t="n">
        <v>0</v>
      </c>
      <c r="AD40" s="6" t="n">
        <v>0</v>
      </c>
      <c r="AE40" s="6" t="n">
        <v>0</v>
      </c>
      <c r="AF40" s="6" t="n">
        <v>0</v>
      </c>
      <c r="AG40" s="6" t="n">
        <v>0</v>
      </c>
      <c r="AH40" s="6" t="n">
        <v>0</v>
      </c>
      <c r="AI40" s="6" t="s">
        <v>84</v>
      </c>
    </row>
    <row r="41" customFormat="false" ht="15" hidden="false" customHeight="false" outlineLevel="0" collapsed="false">
      <c r="A41" s="6" t="n">
        <v>40</v>
      </c>
      <c r="B41" s="6" t="s">
        <v>6189</v>
      </c>
      <c r="C41" s="6" t="n">
        <v>1</v>
      </c>
      <c r="D41" s="6" t="s">
        <v>77</v>
      </c>
      <c r="E41" s="6" t="s">
        <v>146</v>
      </c>
      <c r="F41" s="6" t="n">
        <v>1</v>
      </c>
      <c r="G41" s="6" t="n">
        <v>10</v>
      </c>
      <c r="H41" s="6" t="s">
        <v>865</v>
      </c>
      <c r="I41" s="22" t="n">
        <v>520000</v>
      </c>
      <c r="J41" s="22" t="n">
        <v>0</v>
      </c>
      <c r="K41" s="22" t="n">
        <v>39000</v>
      </c>
      <c r="L41" s="22" t="n">
        <v>559000</v>
      </c>
      <c r="M41" s="6" t="s">
        <v>148</v>
      </c>
      <c r="N41" s="6" t="s">
        <v>84</v>
      </c>
      <c r="O41" s="6" t="s">
        <v>866</v>
      </c>
      <c r="P41" s="6" t="s">
        <v>85</v>
      </c>
      <c r="Q41" s="6" t="str">
        <f aca="false">IF(P41="pass","No","Yes")</f>
        <v>Yes</v>
      </c>
      <c r="R41" s="6" t="s">
        <v>86</v>
      </c>
      <c r="S41" s="6" t="s">
        <v>866</v>
      </c>
      <c r="T41" s="6" t="s">
        <v>150</v>
      </c>
      <c r="U41" s="23" t="n">
        <v>1.693</v>
      </c>
      <c r="V41" s="6" t="s">
        <v>6190</v>
      </c>
      <c r="W41" s="6" t="s">
        <v>6191</v>
      </c>
      <c r="X41" s="6" t="s">
        <v>6192</v>
      </c>
      <c r="Y41" s="6" t="s">
        <v>86</v>
      </c>
      <c r="Z41" s="6" t="n">
        <v>1</v>
      </c>
      <c r="AA41" s="6" t="n">
        <v>0</v>
      </c>
      <c r="AB41" s="6" t="n">
        <v>0</v>
      </c>
      <c r="AC41" s="6" t="n">
        <v>0</v>
      </c>
      <c r="AD41" s="6" t="n">
        <v>0</v>
      </c>
      <c r="AE41" s="6" t="n">
        <v>0</v>
      </c>
      <c r="AF41" s="6" t="n">
        <v>0</v>
      </c>
      <c r="AG41" s="6" t="n">
        <v>0</v>
      </c>
      <c r="AH41" s="6" t="n">
        <v>0</v>
      </c>
      <c r="AI41" s="6" t="s">
        <v>84</v>
      </c>
    </row>
    <row r="42" customFormat="false" ht="15" hidden="false" customHeight="false" outlineLevel="0" collapsed="false">
      <c r="A42" s="6" t="n">
        <v>41</v>
      </c>
      <c r="B42" s="6" t="s">
        <v>6193</v>
      </c>
      <c r="C42" s="6" t="n">
        <v>1</v>
      </c>
      <c r="D42" s="6" t="s">
        <v>166</v>
      </c>
      <c r="E42" s="6" t="s">
        <v>74</v>
      </c>
      <c r="F42" s="6" t="n">
        <v>1</v>
      </c>
      <c r="G42" s="6" t="n">
        <v>43</v>
      </c>
      <c r="H42" s="6" t="s">
        <v>6194</v>
      </c>
      <c r="I42" s="22" t="n">
        <v>537500</v>
      </c>
      <c r="J42" s="22" t="n">
        <v>9000</v>
      </c>
      <c r="K42" s="22" t="n">
        <v>40987.5</v>
      </c>
      <c r="L42" s="22" t="n">
        <v>587487.5</v>
      </c>
      <c r="M42" s="6" t="s">
        <v>57</v>
      </c>
      <c r="N42" s="6" t="s">
        <v>58</v>
      </c>
      <c r="O42" s="6"/>
      <c r="P42" s="6" t="s">
        <v>69</v>
      </c>
      <c r="Q42" s="6" t="str">
        <f aca="false">IF(P42="pass","No","Yes")</f>
        <v>No</v>
      </c>
      <c r="R42" s="6" t="s">
        <v>60</v>
      </c>
      <c r="S42" s="6"/>
      <c r="T42" s="6"/>
      <c r="U42" s="23" t="n">
        <v>2.147</v>
      </c>
      <c r="V42" s="6" t="s">
        <v>6195</v>
      </c>
      <c r="W42" s="6" t="s">
        <v>6196</v>
      </c>
      <c r="X42" s="6" t="s">
        <v>6197</v>
      </c>
      <c r="Y42" s="6" t="s">
        <v>60</v>
      </c>
      <c r="Z42" s="6" t="n">
        <v>0</v>
      </c>
      <c r="AA42" s="6" t="n">
        <v>0</v>
      </c>
      <c r="AB42" s="6" t="n">
        <v>0</v>
      </c>
      <c r="AC42" s="6" t="n">
        <v>0</v>
      </c>
      <c r="AD42" s="6" t="n">
        <v>0</v>
      </c>
      <c r="AE42" s="6" t="n">
        <v>0</v>
      </c>
      <c r="AF42" s="6" t="n">
        <v>0</v>
      </c>
      <c r="AG42" s="6" t="n">
        <v>0</v>
      </c>
      <c r="AH42" s="6" t="n">
        <v>0</v>
      </c>
      <c r="AI42" s="6" t="s">
        <v>84</v>
      </c>
    </row>
    <row r="43" customFormat="false" ht="15" hidden="false" customHeight="false" outlineLevel="0" collapsed="false">
      <c r="A43" s="6" t="n">
        <v>42</v>
      </c>
      <c r="B43" s="6" t="s">
        <v>6198</v>
      </c>
      <c r="C43" s="6" t="n">
        <v>1</v>
      </c>
      <c r="D43" s="6" t="s">
        <v>70</v>
      </c>
      <c r="E43" s="6" t="s">
        <v>74</v>
      </c>
      <c r="F43" s="6" t="n">
        <v>3</v>
      </c>
      <c r="G43" s="6" t="n">
        <v>50</v>
      </c>
      <c r="H43" s="6" t="s">
        <v>6199</v>
      </c>
      <c r="I43" s="22" t="n">
        <v>761100</v>
      </c>
      <c r="J43" s="22" t="n">
        <v>9000</v>
      </c>
      <c r="K43" s="22" t="n">
        <v>57757.5</v>
      </c>
      <c r="L43" s="22" t="n">
        <v>827857.5</v>
      </c>
      <c r="M43" s="6" t="s">
        <v>57</v>
      </c>
      <c r="N43" s="6" t="s">
        <v>58</v>
      </c>
      <c r="O43" s="6"/>
      <c r="P43" s="6" t="s">
        <v>69</v>
      </c>
      <c r="Q43" s="6" t="str">
        <f aca="false">IF(P43="pass","No","Yes")</f>
        <v>No</v>
      </c>
      <c r="R43" s="6" t="s">
        <v>60</v>
      </c>
      <c r="S43" s="6"/>
      <c r="T43" s="6"/>
      <c r="U43" s="23" t="n">
        <v>2.273</v>
      </c>
      <c r="V43" s="6" t="s">
        <v>6200</v>
      </c>
      <c r="W43" s="6" t="s">
        <v>6201</v>
      </c>
      <c r="X43" s="6" t="s">
        <v>6202</v>
      </c>
      <c r="Y43" s="6" t="s">
        <v>60</v>
      </c>
      <c r="Z43" s="6" t="n">
        <v>0</v>
      </c>
      <c r="AA43" s="6" t="n">
        <v>0</v>
      </c>
      <c r="AB43" s="6" t="n">
        <v>0</v>
      </c>
      <c r="AC43" s="6" t="n">
        <v>0</v>
      </c>
      <c r="AD43" s="6" t="n">
        <v>0</v>
      </c>
      <c r="AE43" s="6" t="n">
        <v>0</v>
      </c>
      <c r="AF43" s="6" t="n">
        <v>0</v>
      </c>
      <c r="AG43" s="6" t="n">
        <v>0</v>
      </c>
      <c r="AH43" s="6" t="n">
        <v>0</v>
      </c>
      <c r="AI43" s="6" t="s">
        <v>84</v>
      </c>
    </row>
    <row r="44" customFormat="false" ht="15" hidden="false" customHeight="false" outlineLevel="0" collapsed="false">
      <c r="A44" s="6" t="n">
        <v>43</v>
      </c>
      <c r="B44" s="6" t="s">
        <v>6203</v>
      </c>
      <c r="C44" s="6" t="n">
        <v>1</v>
      </c>
      <c r="D44" s="6" t="s">
        <v>105</v>
      </c>
      <c r="E44" s="6" t="s">
        <v>81</v>
      </c>
      <c r="F44" s="6" t="n">
        <v>3</v>
      </c>
      <c r="G44" s="6" t="n">
        <v>7</v>
      </c>
      <c r="H44" s="6" t="s">
        <v>6204</v>
      </c>
      <c r="I44" s="22" t="n">
        <v>80700</v>
      </c>
      <c r="J44" s="22" t="n">
        <v>4000</v>
      </c>
      <c r="K44" s="22" t="n">
        <v>6352.5</v>
      </c>
      <c r="L44" s="22" t="n">
        <v>91052.5</v>
      </c>
      <c r="M44" s="6" t="s">
        <v>152</v>
      </c>
      <c r="N44" s="6" t="s">
        <v>84</v>
      </c>
      <c r="O44" s="6" t="s">
        <v>886</v>
      </c>
      <c r="P44" s="6" t="s">
        <v>85</v>
      </c>
      <c r="Q44" s="6" t="str">
        <f aca="false">IF(P44="pass","No","Yes")</f>
        <v>Yes</v>
      </c>
      <c r="R44" s="6" t="s">
        <v>86</v>
      </c>
      <c r="S44" s="6" t="s">
        <v>886</v>
      </c>
      <c r="T44" s="6" t="s">
        <v>262</v>
      </c>
      <c r="U44" s="23" t="n">
        <v>1.926</v>
      </c>
      <c r="V44" s="6" t="s">
        <v>6205</v>
      </c>
      <c r="W44" s="6" t="s">
        <v>6206</v>
      </c>
      <c r="X44" s="6" t="s">
        <v>6207</v>
      </c>
      <c r="Y44" s="6" t="s">
        <v>86</v>
      </c>
      <c r="Z44" s="6" t="n">
        <v>0</v>
      </c>
      <c r="AA44" s="6" t="n">
        <v>0</v>
      </c>
      <c r="AB44" s="6" t="n">
        <v>1</v>
      </c>
      <c r="AC44" s="6" t="n">
        <v>0</v>
      </c>
      <c r="AD44" s="6" t="n">
        <v>0</v>
      </c>
      <c r="AE44" s="6" t="n">
        <v>0</v>
      </c>
      <c r="AF44" s="6" t="n">
        <v>0</v>
      </c>
      <c r="AG44" s="6" t="n">
        <v>0</v>
      </c>
      <c r="AH44" s="6" t="n">
        <v>0</v>
      </c>
      <c r="AI44" s="6" t="s">
        <v>84</v>
      </c>
    </row>
    <row r="45" customFormat="false" ht="15" hidden="false" customHeight="false" outlineLevel="0" collapsed="false">
      <c r="A45" s="6" t="n">
        <v>44</v>
      </c>
      <c r="B45" s="6" t="s">
        <v>6208</v>
      </c>
      <c r="C45" s="6" t="n">
        <v>1</v>
      </c>
      <c r="D45" s="6" t="s">
        <v>213</v>
      </c>
      <c r="E45" s="6" t="s">
        <v>67</v>
      </c>
      <c r="F45" s="6" t="n">
        <v>3</v>
      </c>
      <c r="G45" s="6" t="n">
        <v>130</v>
      </c>
      <c r="H45" s="6" t="s">
        <v>6209</v>
      </c>
      <c r="I45" s="22" t="n">
        <v>1894900</v>
      </c>
      <c r="J45" s="22" t="n">
        <v>4500</v>
      </c>
      <c r="K45" s="22" t="n">
        <v>142455</v>
      </c>
      <c r="L45" s="22" t="n">
        <v>2041855</v>
      </c>
      <c r="M45" s="6" t="s">
        <v>57</v>
      </c>
      <c r="N45" s="6" t="s">
        <v>58</v>
      </c>
      <c r="O45" s="6"/>
      <c r="P45" s="6" t="s">
        <v>59</v>
      </c>
      <c r="Q45" s="6" t="str">
        <f aca="false">IF(P45="pass","No","Yes")</f>
        <v>Yes</v>
      </c>
      <c r="R45" s="6" t="s">
        <v>60</v>
      </c>
      <c r="S45" s="6" t="s">
        <v>915</v>
      </c>
      <c r="T45" s="6" t="s">
        <v>6210</v>
      </c>
      <c r="U45" s="23" t="n">
        <v>2.32</v>
      </c>
      <c r="V45" s="6" t="s">
        <v>6211</v>
      </c>
      <c r="W45" s="6" t="s">
        <v>6212</v>
      </c>
      <c r="X45" s="6" t="s">
        <v>6213</v>
      </c>
      <c r="Y45" s="6" t="s">
        <v>60</v>
      </c>
      <c r="Z45" s="6" t="n">
        <v>0</v>
      </c>
      <c r="AA45" s="6" t="n">
        <v>0</v>
      </c>
      <c r="AB45" s="6" t="n">
        <v>0</v>
      </c>
      <c r="AC45" s="6" t="n">
        <v>0</v>
      </c>
      <c r="AD45" s="6" t="n">
        <v>0</v>
      </c>
      <c r="AE45" s="6" t="n">
        <v>0</v>
      </c>
      <c r="AF45" s="6" t="n">
        <v>0</v>
      </c>
      <c r="AG45" s="6" t="n">
        <v>0</v>
      </c>
      <c r="AH45" s="6" t="n">
        <v>1</v>
      </c>
      <c r="AI45" s="6" t="s">
        <v>84</v>
      </c>
    </row>
    <row r="46" customFormat="false" ht="15" hidden="false" customHeight="false" outlineLevel="0" collapsed="false">
      <c r="A46" s="6" t="n">
        <v>45</v>
      </c>
      <c r="B46" s="6" t="s">
        <v>6214</v>
      </c>
      <c r="C46" s="6" t="n">
        <v>1</v>
      </c>
      <c r="D46" s="6" t="s">
        <v>119</v>
      </c>
      <c r="E46" s="6" t="s">
        <v>146</v>
      </c>
      <c r="F46" s="6" t="n">
        <v>3</v>
      </c>
      <c r="G46" s="6" t="n">
        <v>138</v>
      </c>
      <c r="H46" s="6" t="s">
        <v>6215</v>
      </c>
      <c r="I46" s="22" t="n">
        <v>1704400</v>
      </c>
      <c r="J46" s="22" t="n">
        <v>0</v>
      </c>
      <c r="K46" s="22" t="n">
        <v>127830</v>
      </c>
      <c r="L46" s="22" t="n">
        <v>1832230</v>
      </c>
      <c r="M46" s="6" t="s">
        <v>148</v>
      </c>
      <c r="N46" s="6" t="s">
        <v>84</v>
      </c>
      <c r="O46" s="6" t="s">
        <v>866</v>
      </c>
      <c r="P46" s="6" t="s">
        <v>85</v>
      </c>
      <c r="Q46" s="6" t="str">
        <f aca="false">IF(P46="pass","No","Yes")</f>
        <v>Yes</v>
      </c>
      <c r="R46" s="6" t="s">
        <v>86</v>
      </c>
      <c r="S46" s="6" t="s">
        <v>872</v>
      </c>
      <c r="T46" s="6" t="s">
        <v>6216</v>
      </c>
      <c r="U46" s="23" t="n">
        <v>1.949</v>
      </c>
      <c r="V46" s="6" t="s">
        <v>6217</v>
      </c>
      <c r="W46" s="6" t="s">
        <v>6218</v>
      </c>
      <c r="X46" s="6" t="s">
        <v>6219</v>
      </c>
      <c r="Y46" s="6" t="s">
        <v>86</v>
      </c>
      <c r="Z46" s="6" t="n">
        <v>1</v>
      </c>
      <c r="AA46" s="6" t="n">
        <v>0</v>
      </c>
      <c r="AB46" s="6" t="n">
        <v>0</v>
      </c>
      <c r="AC46" s="6" t="n">
        <v>0</v>
      </c>
      <c r="AD46" s="6" t="n">
        <v>0</v>
      </c>
      <c r="AE46" s="6" t="n">
        <v>0</v>
      </c>
      <c r="AF46" s="6" t="n">
        <v>0</v>
      </c>
      <c r="AG46" s="6" t="n">
        <v>0</v>
      </c>
      <c r="AH46" s="6" t="n">
        <v>1</v>
      </c>
      <c r="AI46" s="6" t="s">
        <v>84</v>
      </c>
    </row>
    <row r="47" customFormat="false" ht="15" hidden="false" customHeight="false" outlineLevel="0" collapsed="false">
      <c r="A47" s="6" t="n">
        <v>46</v>
      </c>
      <c r="B47" s="6" t="s">
        <v>6220</v>
      </c>
      <c r="C47" s="6" t="n">
        <v>1</v>
      </c>
      <c r="D47" s="6" t="s">
        <v>105</v>
      </c>
      <c r="E47" s="6" t="s">
        <v>81</v>
      </c>
      <c r="F47" s="6" t="n">
        <v>1</v>
      </c>
      <c r="G47" s="6" t="n">
        <v>48</v>
      </c>
      <c r="H47" s="6" t="s">
        <v>5977</v>
      </c>
      <c r="I47" s="22" t="n">
        <v>566400</v>
      </c>
      <c r="J47" s="22" t="n">
        <v>4000</v>
      </c>
      <c r="K47" s="22" t="n">
        <v>42780</v>
      </c>
      <c r="L47" s="22" t="n">
        <v>613180</v>
      </c>
      <c r="M47" s="6" t="s">
        <v>57</v>
      </c>
      <c r="N47" s="6" t="s">
        <v>58</v>
      </c>
      <c r="O47" s="6"/>
      <c r="P47" s="6" t="s">
        <v>69</v>
      </c>
      <c r="Q47" s="6" t="str">
        <f aca="false">IF(P47="pass","No","Yes")</f>
        <v>No</v>
      </c>
      <c r="R47" s="6" t="s">
        <v>60</v>
      </c>
      <c r="S47" s="6"/>
      <c r="T47" s="6"/>
      <c r="U47" s="23" t="n">
        <v>2.195</v>
      </c>
      <c r="V47" s="6" t="s">
        <v>6221</v>
      </c>
      <c r="W47" s="6" t="s">
        <v>6222</v>
      </c>
      <c r="X47" s="6" t="s">
        <v>6223</v>
      </c>
      <c r="Y47" s="6" t="s">
        <v>60</v>
      </c>
      <c r="Z47" s="6" t="n">
        <v>0</v>
      </c>
      <c r="AA47" s="6" t="n">
        <v>0</v>
      </c>
      <c r="AB47" s="6" t="n">
        <v>0</v>
      </c>
      <c r="AC47" s="6" t="n">
        <v>0</v>
      </c>
      <c r="AD47" s="6" t="n">
        <v>0</v>
      </c>
      <c r="AE47" s="6" t="n">
        <v>0</v>
      </c>
      <c r="AF47" s="6" t="n">
        <v>0</v>
      </c>
      <c r="AG47" s="6" t="n">
        <v>0</v>
      </c>
      <c r="AH47" s="6" t="n">
        <v>0</v>
      </c>
      <c r="AI47" s="6" t="s">
        <v>84</v>
      </c>
    </row>
    <row r="48" customFormat="false" ht="15" hidden="false" customHeight="false" outlineLevel="0" collapsed="false">
      <c r="A48" s="6" t="n">
        <v>47</v>
      </c>
      <c r="B48" s="6" t="s">
        <v>6224</v>
      </c>
      <c r="C48" s="6" t="n">
        <v>1</v>
      </c>
      <c r="D48" s="6" t="s">
        <v>51</v>
      </c>
      <c r="E48" s="6" t="s">
        <v>55</v>
      </c>
      <c r="F48" s="6" t="n">
        <v>1</v>
      </c>
      <c r="G48" s="6" t="n">
        <v>4</v>
      </c>
      <c r="H48" s="6" t="s">
        <v>4044</v>
      </c>
      <c r="I48" s="22" t="n">
        <v>152000</v>
      </c>
      <c r="J48" s="22" t="n">
        <v>6000</v>
      </c>
      <c r="K48" s="22" t="n">
        <v>11850</v>
      </c>
      <c r="L48" s="22" t="n">
        <v>169850</v>
      </c>
      <c r="M48" s="6" t="s">
        <v>57</v>
      </c>
      <c r="N48" s="6" t="s">
        <v>58</v>
      </c>
      <c r="O48" s="6"/>
      <c r="P48" s="6" t="s">
        <v>69</v>
      </c>
      <c r="Q48" s="6" t="str">
        <f aca="false">IF(P48="pass","No","Yes")</f>
        <v>No</v>
      </c>
      <c r="R48" s="6" t="s">
        <v>60</v>
      </c>
      <c r="S48" s="6"/>
      <c r="T48" s="6"/>
      <c r="U48" s="23" t="n">
        <v>2.102</v>
      </c>
      <c r="V48" s="6" t="s">
        <v>6225</v>
      </c>
      <c r="W48" s="6" t="s">
        <v>6226</v>
      </c>
      <c r="X48" s="6" t="s">
        <v>6227</v>
      </c>
      <c r="Y48" s="6" t="s">
        <v>60</v>
      </c>
      <c r="Z48" s="6" t="n">
        <v>0</v>
      </c>
      <c r="AA48" s="6" t="n">
        <v>0</v>
      </c>
      <c r="AB48" s="6" t="n">
        <v>0</v>
      </c>
      <c r="AC48" s="6" t="n">
        <v>0</v>
      </c>
      <c r="AD48" s="6" t="n">
        <v>0</v>
      </c>
      <c r="AE48" s="6" t="n">
        <v>0</v>
      </c>
      <c r="AF48" s="6" t="n">
        <v>0</v>
      </c>
      <c r="AG48" s="6" t="n">
        <v>0</v>
      </c>
      <c r="AH48" s="6" t="n">
        <v>0</v>
      </c>
      <c r="AI48" s="6" t="s">
        <v>84</v>
      </c>
    </row>
    <row r="49" customFormat="false" ht="15" hidden="false" customHeight="false" outlineLevel="0" collapsed="false">
      <c r="A49" s="6" t="n">
        <v>48</v>
      </c>
      <c r="B49" s="6" t="s">
        <v>6228</v>
      </c>
      <c r="C49" s="6" t="n">
        <v>1</v>
      </c>
      <c r="D49" s="6" t="s">
        <v>213</v>
      </c>
      <c r="E49" s="6" t="s">
        <v>67</v>
      </c>
      <c r="F49" s="6" t="n">
        <v>3</v>
      </c>
      <c r="G49" s="6" t="n">
        <v>78</v>
      </c>
      <c r="H49" s="6" t="s">
        <v>6229</v>
      </c>
      <c r="I49" s="22" t="n">
        <v>939300</v>
      </c>
      <c r="J49" s="22" t="n">
        <v>4500</v>
      </c>
      <c r="K49" s="22" t="n">
        <v>70785</v>
      </c>
      <c r="L49" s="22" t="n">
        <v>1014585</v>
      </c>
      <c r="M49" s="6" t="s">
        <v>57</v>
      </c>
      <c r="N49" s="6" t="s">
        <v>58</v>
      </c>
      <c r="O49" s="6"/>
      <c r="P49" s="6" t="s">
        <v>69</v>
      </c>
      <c r="Q49" s="6" t="str">
        <f aca="false">IF(P49="pass","No","Yes")</f>
        <v>No</v>
      </c>
      <c r="R49" s="6" t="s">
        <v>60</v>
      </c>
      <c r="S49" s="6"/>
      <c r="T49" s="6"/>
      <c r="U49" s="23" t="n">
        <v>2.184</v>
      </c>
      <c r="V49" s="6" t="s">
        <v>6230</v>
      </c>
      <c r="W49" s="6" t="s">
        <v>6231</v>
      </c>
      <c r="X49" s="6" t="s">
        <v>6232</v>
      </c>
      <c r="Y49" s="6" t="s">
        <v>60</v>
      </c>
      <c r="Z49" s="6" t="n">
        <v>0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0</v>
      </c>
      <c r="AF49" s="6" t="n">
        <v>0</v>
      </c>
      <c r="AG49" s="6" t="n">
        <v>0</v>
      </c>
      <c r="AH49" s="6" t="n">
        <v>0</v>
      </c>
      <c r="AI49" s="6" t="s">
        <v>84</v>
      </c>
    </row>
    <row r="50" customFormat="false" ht="15" hidden="false" customHeight="false" outlineLevel="0" collapsed="false">
      <c r="A50" s="6" t="n">
        <v>49</v>
      </c>
      <c r="B50" s="6" t="s">
        <v>6233</v>
      </c>
      <c r="C50" s="6" t="n">
        <v>1</v>
      </c>
      <c r="D50" s="6" t="s">
        <v>177</v>
      </c>
      <c r="E50" s="6" t="s">
        <v>81</v>
      </c>
      <c r="F50" s="6" t="n">
        <v>3</v>
      </c>
      <c r="G50" s="6" t="n">
        <v>371</v>
      </c>
      <c r="H50" s="6" t="s">
        <v>6234</v>
      </c>
      <c r="I50" s="22" t="n">
        <v>4730500</v>
      </c>
      <c r="J50" s="22" t="n">
        <v>4000</v>
      </c>
      <c r="K50" s="22" t="n">
        <v>355087.5</v>
      </c>
      <c r="L50" s="22" t="n">
        <v>5089587.5</v>
      </c>
      <c r="M50" s="6" t="s">
        <v>171</v>
      </c>
      <c r="N50" s="6" t="s">
        <v>84</v>
      </c>
      <c r="O50" s="6" t="s">
        <v>892</v>
      </c>
      <c r="P50" s="6" t="s">
        <v>85</v>
      </c>
      <c r="Q50" s="6" t="str">
        <f aca="false">IF(P50="pass","No","Yes")</f>
        <v>Yes</v>
      </c>
      <c r="R50" s="6" t="s">
        <v>86</v>
      </c>
      <c r="S50" s="6" t="s">
        <v>892</v>
      </c>
      <c r="T50" s="6" t="s">
        <v>618</v>
      </c>
      <c r="U50" s="23" t="n">
        <v>1.981</v>
      </c>
      <c r="V50" s="6" t="s">
        <v>6235</v>
      </c>
      <c r="W50" s="6" t="s">
        <v>6236</v>
      </c>
      <c r="X50" s="6" t="s">
        <v>6237</v>
      </c>
      <c r="Y50" s="6" t="s">
        <v>86</v>
      </c>
      <c r="Z50" s="6" t="n">
        <v>0</v>
      </c>
      <c r="AA50" s="6" t="n">
        <v>0</v>
      </c>
      <c r="AB50" s="6" t="n">
        <v>0</v>
      </c>
      <c r="AC50" s="6" t="n">
        <v>1</v>
      </c>
      <c r="AD50" s="6" t="n">
        <v>0</v>
      </c>
      <c r="AE50" s="6" t="n">
        <v>0</v>
      </c>
      <c r="AF50" s="6" t="n">
        <v>0</v>
      </c>
      <c r="AG50" s="6" t="n">
        <v>0</v>
      </c>
      <c r="AH50" s="6" t="n">
        <v>0</v>
      </c>
      <c r="AI50" s="6" t="s">
        <v>84</v>
      </c>
    </row>
    <row r="51" customFormat="false" ht="15" hidden="false" customHeight="false" outlineLevel="0" collapsed="false">
      <c r="A51" s="6" t="n">
        <v>50</v>
      </c>
      <c r="B51" s="6" t="s">
        <v>6238</v>
      </c>
      <c r="C51" s="6" t="n">
        <v>1</v>
      </c>
      <c r="D51" s="6" t="s">
        <v>63</v>
      </c>
      <c r="E51" s="6" t="s">
        <v>67</v>
      </c>
      <c r="F51" s="6" t="n">
        <v>3</v>
      </c>
      <c r="G51" s="6" t="n">
        <v>78</v>
      </c>
      <c r="H51" s="6" t="s">
        <v>6239</v>
      </c>
      <c r="I51" s="22" t="n">
        <v>1036600</v>
      </c>
      <c r="J51" s="22" t="n">
        <v>4500</v>
      </c>
      <c r="K51" s="22" t="n">
        <v>78082.5</v>
      </c>
      <c r="L51" s="22" t="n">
        <v>1119182.5</v>
      </c>
      <c r="M51" s="6" t="s">
        <v>57</v>
      </c>
      <c r="N51" s="6" t="s">
        <v>58</v>
      </c>
      <c r="O51" s="6"/>
      <c r="P51" s="6" t="s">
        <v>69</v>
      </c>
      <c r="Q51" s="6" t="str">
        <f aca="false">IF(P51="pass","No","Yes")</f>
        <v>No</v>
      </c>
      <c r="R51" s="6" t="s">
        <v>60</v>
      </c>
      <c r="S51" s="6"/>
      <c r="T51" s="6"/>
      <c r="U51" s="23" t="n">
        <v>2.474</v>
      </c>
      <c r="V51" s="6" t="s">
        <v>6240</v>
      </c>
      <c r="W51" s="6" t="s">
        <v>6241</v>
      </c>
      <c r="X51" s="6" t="s">
        <v>6242</v>
      </c>
      <c r="Y51" s="6" t="s">
        <v>60</v>
      </c>
      <c r="Z51" s="6" t="n">
        <v>0</v>
      </c>
      <c r="AA51" s="6" t="n">
        <v>0</v>
      </c>
      <c r="AB51" s="6" t="n">
        <v>0</v>
      </c>
      <c r="AC51" s="6" t="n">
        <v>0</v>
      </c>
      <c r="AD51" s="6" t="n">
        <v>0</v>
      </c>
      <c r="AE51" s="6" t="n">
        <v>0</v>
      </c>
      <c r="AF51" s="6" t="n">
        <v>0</v>
      </c>
      <c r="AG51" s="6" t="n">
        <v>0</v>
      </c>
      <c r="AH51" s="6" t="n">
        <v>0</v>
      </c>
      <c r="AI51" s="6" t="s">
        <v>84</v>
      </c>
    </row>
    <row r="52" customFormat="false" ht="15" hidden="false" customHeight="false" outlineLevel="0" collapsed="false">
      <c r="A52" s="6" t="n">
        <v>51</v>
      </c>
      <c r="B52" s="6" t="s">
        <v>6243</v>
      </c>
      <c r="C52" s="6" t="n">
        <v>2</v>
      </c>
      <c r="D52" s="6" t="s">
        <v>142</v>
      </c>
      <c r="E52" s="6" t="s">
        <v>74</v>
      </c>
      <c r="F52" s="6" t="n">
        <v>3</v>
      </c>
      <c r="G52" s="6" t="n">
        <v>151</v>
      </c>
      <c r="H52" s="6" t="s">
        <v>6244</v>
      </c>
      <c r="I52" s="22" t="n">
        <v>1922500</v>
      </c>
      <c r="J52" s="22" t="n">
        <v>9000</v>
      </c>
      <c r="K52" s="22" t="n">
        <v>144862.5</v>
      </c>
      <c r="L52" s="22" t="n">
        <v>2076362.5</v>
      </c>
      <c r="M52" s="6" t="s">
        <v>57</v>
      </c>
      <c r="N52" s="6" t="s">
        <v>58</v>
      </c>
      <c r="O52" s="6"/>
      <c r="P52" s="6" t="s">
        <v>59</v>
      </c>
      <c r="Q52" s="6" t="str">
        <f aca="false">IF(P52="pass","No","Yes")</f>
        <v>Yes</v>
      </c>
      <c r="R52" s="6" t="s">
        <v>60</v>
      </c>
      <c r="S52" s="6" t="s">
        <v>915</v>
      </c>
      <c r="T52" s="6" t="s">
        <v>6245</v>
      </c>
      <c r="U52" s="23" t="n">
        <v>2.373</v>
      </c>
      <c r="V52" s="6" t="s">
        <v>6246</v>
      </c>
      <c r="W52" s="6" t="s">
        <v>6247</v>
      </c>
      <c r="X52" s="6" t="s">
        <v>6248</v>
      </c>
      <c r="Y52" s="6" t="s">
        <v>60</v>
      </c>
      <c r="Z52" s="6" t="n">
        <v>0</v>
      </c>
      <c r="AA52" s="6" t="n">
        <v>0</v>
      </c>
      <c r="AB52" s="6" t="n">
        <v>0</v>
      </c>
      <c r="AC52" s="6" t="n">
        <v>0</v>
      </c>
      <c r="AD52" s="6" t="n">
        <v>0</v>
      </c>
      <c r="AE52" s="6" t="n">
        <v>0</v>
      </c>
      <c r="AF52" s="6" t="n">
        <v>0</v>
      </c>
      <c r="AG52" s="6" t="n">
        <v>0</v>
      </c>
      <c r="AH52" s="6" t="n">
        <v>1</v>
      </c>
      <c r="AI52" s="6" t="s">
        <v>84</v>
      </c>
    </row>
    <row r="53" customFormat="false" ht="15" hidden="false" customHeight="false" outlineLevel="0" collapsed="false">
      <c r="A53" s="6" t="n">
        <v>52</v>
      </c>
      <c r="B53" s="6" t="s">
        <v>6249</v>
      </c>
      <c r="C53" s="6" t="n">
        <v>2</v>
      </c>
      <c r="D53" s="6" t="s">
        <v>142</v>
      </c>
      <c r="E53" s="6" t="s">
        <v>74</v>
      </c>
      <c r="F53" s="6" t="n">
        <v>2</v>
      </c>
      <c r="G53" s="6" t="n">
        <v>29</v>
      </c>
      <c r="H53" s="6" t="s">
        <v>6250</v>
      </c>
      <c r="I53" s="22" t="n">
        <v>612000</v>
      </c>
      <c r="J53" s="22" t="n">
        <v>9000</v>
      </c>
      <c r="K53" s="22" t="n">
        <v>46575</v>
      </c>
      <c r="L53" s="22" t="n">
        <v>667575</v>
      </c>
      <c r="M53" s="6" t="s">
        <v>1009</v>
      </c>
      <c r="N53" s="6" t="s">
        <v>58</v>
      </c>
      <c r="O53" s="6"/>
      <c r="P53" s="6" t="s">
        <v>69</v>
      </c>
      <c r="Q53" s="6" t="str">
        <f aca="false">IF(P53="pass","No","Yes")</f>
        <v>No</v>
      </c>
      <c r="R53" s="6" t="s">
        <v>60</v>
      </c>
      <c r="S53" s="6"/>
      <c r="T53" s="6"/>
      <c r="U53" s="23" t="n">
        <v>2.412</v>
      </c>
      <c r="V53" s="6" t="s">
        <v>6251</v>
      </c>
      <c r="W53" s="6" t="s">
        <v>6252</v>
      </c>
      <c r="X53" s="6" t="s">
        <v>6253</v>
      </c>
      <c r="Y53" s="6" t="s">
        <v>60</v>
      </c>
      <c r="Z53" s="6" t="n">
        <v>0</v>
      </c>
      <c r="AA53" s="6" t="n">
        <v>0</v>
      </c>
      <c r="AB53" s="6" t="n">
        <v>0</v>
      </c>
      <c r="AC53" s="6" t="n">
        <v>0</v>
      </c>
      <c r="AD53" s="6" t="n">
        <v>0</v>
      </c>
      <c r="AE53" s="6" t="n">
        <v>0</v>
      </c>
      <c r="AF53" s="6" t="n">
        <v>0</v>
      </c>
      <c r="AG53" s="6" t="n">
        <v>0</v>
      </c>
      <c r="AH53" s="6" t="n">
        <v>0</v>
      </c>
      <c r="AI53" s="6" t="s">
        <v>84</v>
      </c>
    </row>
    <row r="54" customFormat="false" ht="15" hidden="false" customHeight="false" outlineLevel="0" collapsed="false">
      <c r="A54" s="6" t="n">
        <v>53</v>
      </c>
      <c r="B54" s="6" t="s">
        <v>6254</v>
      </c>
      <c r="C54" s="6" t="n">
        <v>2</v>
      </c>
      <c r="D54" s="6" t="s">
        <v>89</v>
      </c>
      <c r="E54" s="6" t="s">
        <v>67</v>
      </c>
      <c r="F54" s="6" t="n">
        <v>2</v>
      </c>
      <c r="G54" s="6" t="n">
        <v>211</v>
      </c>
      <c r="H54" s="6" t="s">
        <v>6255</v>
      </c>
      <c r="I54" s="22" t="n">
        <v>1895500</v>
      </c>
      <c r="J54" s="22" t="n">
        <v>4500</v>
      </c>
      <c r="K54" s="22" t="n">
        <v>142500</v>
      </c>
      <c r="L54" s="22" t="n">
        <v>2042500</v>
      </c>
      <c r="M54" s="6" t="s">
        <v>927</v>
      </c>
      <c r="N54" s="6" t="s">
        <v>58</v>
      </c>
      <c r="O54" s="6"/>
      <c r="P54" s="6" t="s">
        <v>59</v>
      </c>
      <c r="Q54" s="6" t="str">
        <f aca="false">IF(P54="pass","No","Yes")</f>
        <v>Yes</v>
      </c>
      <c r="R54" s="6" t="s">
        <v>60</v>
      </c>
      <c r="S54" s="6" t="s">
        <v>915</v>
      </c>
      <c r="T54" s="6" t="s">
        <v>6256</v>
      </c>
      <c r="U54" s="23" t="n">
        <v>2.391</v>
      </c>
      <c r="V54" s="6" t="s">
        <v>6257</v>
      </c>
      <c r="W54" s="6" t="s">
        <v>6258</v>
      </c>
      <c r="X54" s="6" t="s">
        <v>6259</v>
      </c>
      <c r="Y54" s="6" t="s">
        <v>60</v>
      </c>
      <c r="Z54" s="6" t="n">
        <v>0</v>
      </c>
      <c r="AA54" s="6" t="n">
        <v>0</v>
      </c>
      <c r="AB54" s="6" t="n">
        <v>0</v>
      </c>
      <c r="AC54" s="6" t="n">
        <v>0</v>
      </c>
      <c r="AD54" s="6" t="n">
        <v>0</v>
      </c>
      <c r="AE54" s="6" t="n">
        <v>0</v>
      </c>
      <c r="AF54" s="6" t="n">
        <v>0</v>
      </c>
      <c r="AG54" s="6" t="n">
        <v>0</v>
      </c>
      <c r="AH54" s="6" t="n">
        <v>1</v>
      </c>
      <c r="AI54" s="6" t="s">
        <v>84</v>
      </c>
    </row>
    <row r="55" customFormat="false" ht="15" hidden="false" customHeight="false" outlineLevel="0" collapsed="false">
      <c r="A55" s="6" t="n">
        <v>54</v>
      </c>
      <c r="B55" s="6" t="s">
        <v>6260</v>
      </c>
      <c r="C55" s="6" t="n">
        <v>2</v>
      </c>
      <c r="D55" s="6" t="s">
        <v>100</v>
      </c>
      <c r="E55" s="6" t="s">
        <v>67</v>
      </c>
      <c r="F55" s="6" t="n">
        <v>2</v>
      </c>
      <c r="G55" s="6" t="n">
        <v>251</v>
      </c>
      <c r="H55" s="6" t="s">
        <v>6261</v>
      </c>
      <c r="I55" s="22" t="n">
        <v>2585500</v>
      </c>
      <c r="J55" s="22" t="n">
        <v>4500</v>
      </c>
      <c r="K55" s="22" t="n">
        <v>194250</v>
      </c>
      <c r="L55" s="22" t="n">
        <v>2784250</v>
      </c>
      <c r="M55" s="6" t="s">
        <v>57</v>
      </c>
      <c r="N55" s="6" t="s">
        <v>58</v>
      </c>
      <c r="O55" s="6"/>
      <c r="P55" s="6" t="s">
        <v>59</v>
      </c>
      <c r="Q55" s="6" t="str">
        <f aca="false">IF(P55="pass","No","Yes")</f>
        <v>Yes</v>
      </c>
      <c r="R55" s="6" t="s">
        <v>60</v>
      </c>
      <c r="S55" s="6" t="s">
        <v>915</v>
      </c>
      <c r="T55" s="6" t="s">
        <v>6262</v>
      </c>
      <c r="U55" s="23" t="n">
        <v>2.229</v>
      </c>
      <c r="V55" s="6" t="s">
        <v>6263</v>
      </c>
      <c r="W55" s="6" t="s">
        <v>6264</v>
      </c>
      <c r="X55" s="6" t="s">
        <v>6265</v>
      </c>
      <c r="Y55" s="6" t="s">
        <v>60</v>
      </c>
      <c r="Z55" s="6" t="n">
        <v>0</v>
      </c>
      <c r="AA55" s="6" t="n">
        <v>0</v>
      </c>
      <c r="AB55" s="6" t="n">
        <v>0</v>
      </c>
      <c r="AC55" s="6" t="n">
        <v>0</v>
      </c>
      <c r="AD55" s="6" t="n">
        <v>0</v>
      </c>
      <c r="AE55" s="6" t="n">
        <v>0</v>
      </c>
      <c r="AF55" s="6" t="n">
        <v>0</v>
      </c>
      <c r="AG55" s="6" t="n">
        <v>0</v>
      </c>
      <c r="AH55" s="6" t="n">
        <v>1</v>
      </c>
      <c r="AI55" s="6" t="s">
        <v>84</v>
      </c>
    </row>
    <row r="56" customFormat="false" ht="15" hidden="false" customHeight="false" outlineLevel="0" collapsed="false">
      <c r="A56" s="6" t="n">
        <v>55</v>
      </c>
      <c r="B56" s="6" t="s">
        <v>6266</v>
      </c>
      <c r="C56" s="6" t="n">
        <v>2</v>
      </c>
      <c r="D56" s="6" t="s">
        <v>119</v>
      </c>
      <c r="E56" s="6" t="s">
        <v>123</v>
      </c>
      <c r="F56" s="6" t="n">
        <v>2</v>
      </c>
      <c r="G56" s="6" t="n">
        <v>858</v>
      </c>
      <c r="H56" s="6" t="s">
        <v>6267</v>
      </c>
      <c r="I56" s="22" t="n">
        <v>12966000</v>
      </c>
      <c r="J56" s="22" t="n">
        <v>5000</v>
      </c>
      <c r="K56" s="22" t="n">
        <v>972825</v>
      </c>
      <c r="L56" s="22" t="n">
        <v>13943825</v>
      </c>
      <c r="M56" s="6" t="s">
        <v>159</v>
      </c>
      <c r="N56" s="6" t="s">
        <v>84</v>
      </c>
      <c r="O56" s="6" t="s">
        <v>886</v>
      </c>
      <c r="P56" s="6" t="s">
        <v>85</v>
      </c>
      <c r="Q56" s="6" t="str">
        <f aca="false">IF(P56="pass","No","Yes")</f>
        <v>Yes</v>
      </c>
      <c r="R56" s="6" t="s">
        <v>86</v>
      </c>
      <c r="S56" s="6" t="s">
        <v>934</v>
      </c>
      <c r="T56" s="6" t="s">
        <v>161</v>
      </c>
      <c r="U56" s="23" t="n">
        <v>1.966</v>
      </c>
      <c r="V56" s="6" t="s">
        <v>6268</v>
      </c>
      <c r="W56" s="6" t="s">
        <v>6269</v>
      </c>
      <c r="X56" s="6" t="s">
        <v>6270</v>
      </c>
      <c r="Y56" s="6" t="s">
        <v>86</v>
      </c>
      <c r="Z56" s="6" t="n">
        <v>0</v>
      </c>
      <c r="AA56" s="6" t="n">
        <v>0</v>
      </c>
      <c r="AB56" s="6" t="n">
        <v>1</v>
      </c>
      <c r="AC56" s="6" t="n">
        <v>1</v>
      </c>
      <c r="AD56" s="6" t="n">
        <v>0</v>
      </c>
      <c r="AE56" s="6" t="n">
        <v>0</v>
      </c>
      <c r="AF56" s="6" t="n">
        <v>0</v>
      </c>
      <c r="AG56" s="6" t="n">
        <v>0</v>
      </c>
      <c r="AH56" s="6" t="n">
        <v>0</v>
      </c>
      <c r="AI56" s="6" t="s">
        <v>84</v>
      </c>
    </row>
    <row r="57" customFormat="false" ht="15" hidden="false" customHeight="false" outlineLevel="0" collapsed="false">
      <c r="A57" s="6" t="n">
        <v>56</v>
      </c>
      <c r="B57" s="6" t="s">
        <v>6271</v>
      </c>
      <c r="C57" s="6" t="n">
        <v>2</v>
      </c>
      <c r="D57" s="6" t="s">
        <v>177</v>
      </c>
      <c r="E57" s="6" t="s">
        <v>81</v>
      </c>
      <c r="F57" s="6" t="n">
        <v>1</v>
      </c>
      <c r="G57" s="6" t="n">
        <v>16</v>
      </c>
      <c r="H57" s="6" t="s">
        <v>6272</v>
      </c>
      <c r="I57" s="22" t="n">
        <v>115200</v>
      </c>
      <c r="J57" s="22" t="n">
        <v>4000</v>
      </c>
      <c r="K57" s="22" t="n">
        <v>8940</v>
      </c>
      <c r="L57" s="22" t="n">
        <v>128140</v>
      </c>
      <c r="M57" s="6" t="s">
        <v>57</v>
      </c>
      <c r="N57" s="6" t="s">
        <v>58</v>
      </c>
      <c r="O57" s="6"/>
      <c r="P57" s="6" t="s">
        <v>69</v>
      </c>
      <c r="Q57" s="6" t="str">
        <f aca="false">IF(P57="pass","No","Yes")</f>
        <v>No</v>
      </c>
      <c r="R57" s="6" t="s">
        <v>60</v>
      </c>
      <c r="S57" s="6"/>
      <c r="T57" s="6"/>
      <c r="U57" s="23" t="n">
        <v>2.363</v>
      </c>
      <c r="V57" s="6" t="s">
        <v>6273</v>
      </c>
      <c r="W57" s="6" t="s">
        <v>6274</v>
      </c>
      <c r="X57" s="6" t="s">
        <v>6275</v>
      </c>
      <c r="Y57" s="6" t="s">
        <v>60</v>
      </c>
      <c r="Z57" s="6" t="n">
        <v>0</v>
      </c>
      <c r="AA57" s="6" t="n">
        <v>0</v>
      </c>
      <c r="AB57" s="6" t="n">
        <v>0</v>
      </c>
      <c r="AC57" s="6" t="n">
        <v>0</v>
      </c>
      <c r="AD57" s="6" t="n">
        <v>0</v>
      </c>
      <c r="AE57" s="6" t="n">
        <v>0</v>
      </c>
      <c r="AF57" s="6" t="n">
        <v>0</v>
      </c>
      <c r="AG57" s="6" t="n">
        <v>0</v>
      </c>
      <c r="AH57" s="6" t="n">
        <v>0</v>
      </c>
      <c r="AI57" s="6" t="s">
        <v>84</v>
      </c>
    </row>
    <row r="58" customFormat="false" ht="15" hidden="false" customHeight="false" outlineLevel="0" collapsed="false">
      <c r="A58" s="6" t="n">
        <v>57</v>
      </c>
      <c r="B58" s="6" t="s">
        <v>6276</v>
      </c>
      <c r="C58" s="6" t="n">
        <v>2</v>
      </c>
      <c r="D58" s="6" t="s">
        <v>213</v>
      </c>
      <c r="E58" s="6" t="s">
        <v>67</v>
      </c>
      <c r="F58" s="6" t="n">
        <v>2</v>
      </c>
      <c r="G58" s="6" t="n">
        <v>16</v>
      </c>
      <c r="H58" s="6" t="s">
        <v>6277</v>
      </c>
      <c r="I58" s="22" t="n">
        <v>227000</v>
      </c>
      <c r="J58" s="22" t="n">
        <v>4500</v>
      </c>
      <c r="K58" s="22" t="n">
        <v>17362.5</v>
      </c>
      <c r="L58" s="22" t="n">
        <v>248862.5</v>
      </c>
      <c r="M58" s="6" t="s">
        <v>171</v>
      </c>
      <c r="N58" s="6" t="s">
        <v>84</v>
      </c>
      <c r="O58" s="6" t="s">
        <v>892</v>
      </c>
      <c r="P58" s="6" t="s">
        <v>85</v>
      </c>
      <c r="Q58" s="6" t="str">
        <f aca="false">IF(P58="pass","No","Yes")</f>
        <v>Yes</v>
      </c>
      <c r="R58" s="6" t="s">
        <v>86</v>
      </c>
      <c r="S58" s="6" t="s">
        <v>892</v>
      </c>
      <c r="T58" s="6" t="s">
        <v>242</v>
      </c>
      <c r="U58" s="23" t="n">
        <v>1.91</v>
      </c>
      <c r="V58" s="6" t="s">
        <v>6278</v>
      </c>
      <c r="W58" s="6" t="s">
        <v>6279</v>
      </c>
      <c r="X58" s="6" t="s">
        <v>6280</v>
      </c>
      <c r="Y58" s="6" t="s">
        <v>86</v>
      </c>
      <c r="Z58" s="6" t="n">
        <v>0</v>
      </c>
      <c r="AA58" s="6" t="n">
        <v>0</v>
      </c>
      <c r="AB58" s="6" t="n">
        <v>0</v>
      </c>
      <c r="AC58" s="6" t="n">
        <v>1</v>
      </c>
      <c r="AD58" s="6" t="n">
        <v>0</v>
      </c>
      <c r="AE58" s="6" t="n">
        <v>0</v>
      </c>
      <c r="AF58" s="6" t="n">
        <v>0</v>
      </c>
      <c r="AG58" s="6" t="n">
        <v>0</v>
      </c>
      <c r="AH58" s="6" t="n">
        <v>0</v>
      </c>
      <c r="AI58" s="6" t="s">
        <v>84</v>
      </c>
    </row>
    <row r="59" customFormat="false" ht="15" hidden="false" customHeight="false" outlineLevel="0" collapsed="false">
      <c r="A59" s="6" t="n">
        <v>58</v>
      </c>
      <c r="B59" s="6" t="s">
        <v>6281</v>
      </c>
      <c r="C59" s="6" t="n">
        <v>2</v>
      </c>
      <c r="D59" s="6" t="s">
        <v>119</v>
      </c>
      <c r="E59" s="6" t="s">
        <v>123</v>
      </c>
      <c r="F59" s="6" t="n">
        <v>2</v>
      </c>
      <c r="G59" s="6" t="n">
        <v>14</v>
      </c>
      <c r="H59" s="6" t="s">
        <v>6282</v>
      </c>
      <c r="I59" s="22" t="n">
        <v>417500</v>
      </c>
      <c r="J59" s="22" t="n">
        <v>5000</v>
      </c>
      <c r="K59" s="22" t="n">
        <v>31687.5</v>
      </c>
      <c r="L59" s="22" t="n">
        <v>454187.5</v>
      </c>
      <c r="M59" s="6" t="s">
        <v>83</v>
      </c>
      <c r="N59" s="6" t="s">
        <v>84</v>
      </c>
      <c r="O59" s="6" t="s">
        <v>886</v>
      </c>
      <c r="P59" s="6" t="s">
        <v>85</v>
      </c>
      <c r="Q59" s="6" t="str">
        <f aca="false">IF(P59="pass","No","Yes")</f>
        <v>Yes</v>
      </c>
      <c r="R59" s="6" t="s">
        <v>86</v>
      </c>
      <c r="S59" s="6" t="s">
        <v>886</v>
      </c>
      <c r="T59" s="6" t="s">
        <v>517</v>
      </c>
      <c r="U59" s="23" t="n">
        <v>1.788</v>
      </c>
      <c r="V59" s="6" t="s">
        <v>6283</v>
      </c>
      <c r="W59" s="6" t="s">
        <v>6284</v>
      </c>
      <c r="X59" s="6" t="s">
        <v>6285</v>
      </c>
      <c r="Y59" s="6" t="s">
        <v>86</v>
      </c>
      <c r="Z59" s="6" t="n">
        <v>0</v>
      </c>
      <c r="AA59" s="6" t="n">
        <v>0</v>
      </c>
      <c r="AB59" s="6" t="n">
        <v>1</v>
      </c>
      <c r="AC59" s="6" t="n">
        <v>0</v>
      </c>
      <c r="AD59" s="6" t="n">
        <v>0</v>
      </c>
      <c r="AE59" s="6" t="n">
        <v>0</v>
      </c>
      <c r="AF59" s="6" t="n">
        <v>0</v>
      </c>
      <c r="AG59" s="6" t="n">
        <v>0</v>
      </c>
      <c r="AH59" s="6" t="n">
        <v>0</v>
      </c>
      <c r="AI59" s="6" t="s">
        <v>84</v>
      </c>
    </row>
    <row r="60" customFormat="false" ht="15" hidden="false" customHeight="false" outlineLevel="0" collapsed="false">
      <c r="A60" s="6" t="n">
        <v>59</v>
      </c>
      <c r="B60" s="6" t="s">
        <v>6286</v>
      </c>
      <c r="C60" s="6" t="n">
        <v>2</v>
      </c>
      <c r="D60" s="6" t="s">
        <v>77</v>
      </c>
      <c r="E60" s="6" t="s">
        <v>81</v>
      </c>
      <c r="F60" s="6" t="n">
        <v>1</v>
      </c>
      <c r="G60" s="6" t="n">
        <v>23</v>
      </c>
      <c r="H60" s="6" t="s">
        <v>6287</v>
      </c>
      <c r="I60" s="22" t="n">
        <v>874000</v>
      </c>
      <c r="J60" s="22" t="n">
        <v>4000</v>
      </c>
      <c r="K60" s="22" t="n">
        <v>65850</v>
      </c>
      <c r="L60" s="22" t="n">
        <v>943850</v>
      </c>
      <c r="M60" s="6" t="s">
        <v>94</v>
      </c>
      <c r="N60" s="6" t="s">
        <v>84</v>
      </c>
      <c r="O60" s="6" t="s">
        <v>909</v>
      </c>
      <c r="P60" s="6" t="s">
        <v>85</v>
      </c>
      <c r="Q60" s="6" t="str">
        <f aca="false">IF(P60="pass","No","Yes")</f>
        <v>Yes</v>
      </c>
      <c r="R60" s="6" t="s">
        <v>86</v>
      </c>
      <c r="S60" s="6" t="s">
        <v>909</v>
      </c>
      <c r="T60" s="6" t="s">
        <v>254</v>
      </c>
      <c r="U60" s="23" t="n">
        <v>1.773</v>
      </c>
      <c r="V60" s="6" t="s">
        <v>6288</v>
      </c>
      <c r="W60" s="6" t="s">
        <v>6289</v>
      </c>
      <c r="X60" s="6" t="s">
        <v>6290</v>
      </c>
      <c r="Y60" s="6" t="s">
        <v>86</v>
      </c>
      <c r="Z60" s="6" t="n">
        <v>0</v>
      </c>
      <c r="AA60" s="6" t="n">
        <v>0</v>
      </c>
      <c r="AB60" s="6" t="n">
        <v>0</v>
      </c>
      <c r="AC60" s="6" t="n">
        <v>0</v>
      </c>
      <c r="AD60" s="6" t="n">
        <v>0</v>
      </c>
      <c r="AE60" s="6" t="n">
        <v>0</v>
      </c>
      <c r="AF60" s="6" t="n">
        <v>1</v>
      </c>
      <c r="AG60" s="6" t="n">
        <v>0</v>
      </c>
      <c r="AH60" s="6" t="n">
        <v>0</v>
      </c>
      <c r="AI60" s="6" t="s">
        <v>84</v>
      </c>
    </row>
    <row r="61" customFormat="false" ht="15" hidden="false" customHeight="false" outlineLevel="0" collapsed="false">
      <c r="A61" s="6" t="n">
        <v>60</v>
      </c>
      <c r="B61" s="6" t="s">
        <v>6291</v>
      </c>
      <c r="C61" s="6" t="n">
        <v>2</v>
      </c>
      <c r="D61" s="6" t="s">
        <v>198</v>
      </c>
      <c r="E61" s="6" t="s">
        <v>81</v>
      </c>
      <c r="F61" s="6" t="n">
        <v>4</v>
      </c>
      <c r="G61" s="6" t="n">
        <v>94</v>
      </c>
      <c r="H61" s="6" t="s">
        <v>6292</v>
      </c>
      <c r="I61" s="22" t="n">
        <v>1286400</v>
      </c>
      <c r="J61" s="22" t="n">
        <v>4000</v>
      </c>
      <c r="K61" s="22" t="n">
        <v>96780</v>
      </c>
      <c r="L61" s="22" t="n">
        <v>1387180</v>
      </c>
      <c r="M61" s="6" t="s">
        <v>1009</v>
      </c>
      <c r="N61" s="6" t="s">
        <v>58</v>
      </c>
      <c r="O61" s="6"/>
      <c r="P61" s="6" t="s">
        <v>69</v>
      </c>
      <c r="Q61" s="6" t="str">
        <f aca="false">IF(P61="pass","No","Yes")</f>
        <v>No</v>
      </c>
      <c r="R61" s="6" t="s">
        <v>60</v>
      </c>
      <c r="S61" s="6"/>
      <c r="T61" s="6"/>
      <c r="U61" s="23" t="n">
        <v>2.339</v>
      </c>
      <c r="V61" s="6" t="s">
        <v>6293</v>
      </c>
      <c r="W61" s="6" t="s">
        <v>6294</v>
      </c>
      <c r="X61" s="6" t="s">
        <v>6295</v>
      </c>
      <c r="Y61" s="6" t="s">
        <v>60</v>
      </c>
      <c r="Z61" s="6" t="n">
        <v>0</v>
      </c>
      <c r="AA61" s="6" t="n">
        <v>0</v>
      </c>
      <c r="AB61" s="6" t="n">
        <v>0</v>
      </c>
      <c r="AC61" s="6" t="n">
        <v>0</v>
      </c>
      <c r="AD61" s="6" t="n">
        <v>0</v>
      </c>
      <c r="AE61" s="6" t="n">
        <v>0</v>
      </c>
      <c r="AF61" s="6" t="n">
        <v>0</v>
      </c>
      <c r="AG61" s="6" t="n">
        <v>0</v>
      </c>
      <c r="AH61" s="6" t="n">
        <v>0</v>
      </c>
      <c r="AI61" s="6" t="s">
        <v>84</v>
      </c>
    </row>
    <row r="62" customFormat="false" ht="15" hidden="false" customHeight="false" outlineLevel="0" collapsed="false">
      <c r="A62" s="6" t="n">
        <v>61</v>
      </c>
      <c r="B62" s="6" t="s">
        <v>6296</v>
      </c>
      <c r="C62" s="6" t="n">
        <v>2</v>
      </c>
      <c r="D62" s="6" t="s">
        <v>186</v>
      </c>
      <c r="E62" s="6" t="s">
        <v>123</v>
      </c>
      <c r="F62" s="6" t="n">
        <v>2</v>
      </c>
      <c r="G62" s="6" t="n">
        <v>3</v>
      </c>
      <c r="H62" s="6" t="s">
        <v>1287</v>
      </c>
      <c r="I62" s="22" t="n">
        <v>193200</v>
      </c>
      <c r="J62" s="22" t="n">
        <v>5000</v>
      </c>
      <c r="K62" s="22" t="n">
        <v>14865</v>
      </c>
      <c r="L62" s="22" t="n">
        <v>213065</v>
      </c>
      <c r="M62" s="6" t="s">
        <v>132</v>
      </c>
      <c r="N62" s="6" t="s">
        <v>84</v>
      </c>
      <c r="O62" s="6" t="s">
        <v>879</v>
      </c>
      <c r="P62" s="6" t="s">
        <v>85</v>
      </c>
      <c r="Q62" s="6" t="str">
        <f aca="false">IF(P62="pass","No","Yes")</f>
        <v>Yes</v>
      </c>
      <c r="R62" s="6" t="s">
        <v>86</v>
      </c>
      <c r="S62" s="6" t="s">
        <v>880</v>
      </c>
      <c r="T62" s="6" t="s">
        <v>134</v>
      </c>
      <c r="U62" s="23" t="n">
        <v>2.127</v>
      </c>
      <c r="V62" s="6" t="s">
        <v>6297</v>
      </c>
      <c r="W62" s="6" t="s">
        <v>6298</v>
      </c>
      <c r="X62" s="6" t="s">
        <v>6299</v>
      </c>
      <c r="Y62" s="6" t="s">
        <v>86</v>
      </c>
      <c r="Z62" s="6" t="n">
        <v>0</v>
      </c>
      <c r="AA62" s="6" t="n">
        <v>1</v>
      </c>
      <c r="AB62" s="6" t="n">
        <v>0</v>
      </c>
      <c r="AC62" s="6" t="n">
        <v>1</v>
      </c>
      <c r="AD62" s="6" t="n">
        <v>0</v>
      </c>
      <c r="AE62" s="6" t="n">
        <v>0</v>
      </c>
      <c r="AF62" s="6" t="n">
        <v>0</v>
      </c>
      <c r="AG62" s="6" t="n">
        <v>0</v>
      </c>
      <c r="AH62" s="6" t="n">
        <v>0</v>
      </c>
      <c r="AI62" s="6" t="s">
        <v>84</v>
      </c>
    </row>
    <row r="63" customFormat="false" ht="15" hidden="false" customHeight="false" outlineLevel="0" collapsed="false">
      <c r="A63" s="6" t="n">
        <v>62</v>
      </c>
      <c r="B63" s="6" t="s">
        <v>6300</v>
      </c>
      <c r="C63" s="6" t="n">
        <v>2</v>
      </c>
      <c r="D63" s="6" t="s">
        <v>105</v>
      </c>
      <c r="E63" s="6" t="s">
        <v>146</v>
      </c>
      <c r="F63" s="6" t="n">
        <v>3</v>
      </c>
      <c r="G63" s="6" t="n">
        <v>63</v>
      </c>
      <c r="H63" s="6" t="s">
        <v>6301</v>
      </c>
      <c r="I63" s="22" t="n">
        <v>982800</v>
      </c>
      <c r="J63" s="22" t="n">
        <v>0</v>
      </c>
      <c r="K63" s="22" t="n">
        <v>73710</v>
      </c>
      <c r="L63" s="22" t="n">
        <v>1056510</v>
      </c>
      <c r="M63" s="6" t="s">
        <v>148</v>
      </c>
      <c r="N63" s="6" t="s">
        <v>84</v>
      </c>
      <c r="O63" s="6" t="s">
        <v>866</v>
      </c>
      <c r="P63" s="6" t="s">
        <v>85</v>
      </c>
      <c r="Q63" s="6" t="str">
        <f aca="false">IF(P63="pass","No","Yes")</f>
        <v>Yes</v>
      </c>
      <c r="R63" s="6" t="s">
        <v>86</v>
      </c>
      <c r="S63" s="6" t="s">
        <v>872</v>
      </c>
      <c r="T63" s="6" t="s">
        <v>6302</v>
      </c>
      <c r="U63" s="23" t="n">
        <v>1.909</v>
      </c>
      <c r="V63" s="6" t="s">
        <v>6303</v>
      </c>
      <c r="W63" s="6" t="s">
        <v>6304</v>
      </c>
      <c r="X63" s="6" t="s">
        <v>6305</v>
      </c>
      <c r="Y63" s="6" t="s">
        <v>86</v>
      </c>
      <c r="Z63" s="6" t="n">
        <v>1</v>
      </c>
      <c r="AA63" s="6" t="n">
        <v>0</v>
      </c>
      <c r="AB63" s="6" t="n">
        <v>0</v>
      </c>
      <c r="AC63" s="6" t="n">
        <v>0</v>
      </c>
      <c r="AD63" s="6" t="n">
        <v>0</v>
      </c>
      <c r="AE63" s="6" t="n">
        <v>0</v>
      </c>
      <c r="AF63" s="6" t="n">
        <v>0</v>
      </c>
      <c r="AG63" s="6" t="n">
        <v>0</v>
      </c>
      <c r="AH63" s="6" t="n">
        <v>1</v>
      </c>
      <c r="AI63" s="6" t="s">
        <v>84</v>
      </c>
    </row>
    <row r="64" customFormat="false" ht="15" hidden="false" customHeight="false" outlineLevel="0" collapsed="false">
      <c r="A64" s="6" t="n">
        <v>63</v>
      </c>
      <c r="B64" s="6" t="s">
        <v>6306</v>
      </c>
      <c r="C64" s="6" t="n">
        <v>2</v>
      </c>
      <c r="D64" s="6" t="s">
        <v>177</v>
      </c>
      <c r="E64" s="6" t="s">
        <v>81</v>
      </c>
      <c r="F64" s="6" t="n">
        <v>1</v>
      </c>
      <c r="G64" s="6" t="n">
        <v>16</v>
      </c>
      <c r="H64" s="6" t="s">
        <v>6272</v>
      </c>
      <c r="I64" s="22" t="n">
        <v>115200</v>
      </c>
      <c r="J64" s="22" t="n">
        <v>4000</v>
      </c>
      <c r="K64" s="22" t="n">
        <v>8940</v>
      </c>
      <c r="L64" s="22" t="n">
        <v>128140</v>
      </c>
      <c r="M64" s="6" t="s">
        <v>97</v>
      </c>
      <c r="N64" s="6" t="s">
        <v>84</v>
      </c>
      <c r="O64" s="6" t="s">
        <v>1185</v>
      </c>
      <c r="P64" s="6" t="s">
        <v>59</v>
      </c>
      <c r="Q64" s="6" t="str">
        <f aca="false">IF(P64="pass","No","Yes")</f>
        <v>Yes</v>
      </c>
      <c r="R64" s="6" t="s">
        <v>98</v>
      </c>
      <c r="S64" s="6" t="s">
        <v>1185</v>
      </c>
      <c r="T64" s="6" t="s">
        <v>6307</v>
      </c>
      <c r="U64" s="23" t="n">
        <v>1.14</v>
      </c>
      <c r="V64" s="6" t="s">
        <v>6308</v>
      </c>
      <c r="W64" s="6"/>
      <c r="X64" s="6" t="s">
        <v>6308</v>
      </c>
      <c r="Y64" s="6" t="s">
        <v>98</v>
      </c>
      <c r="Z64" s="6" t="n">
        <v>0</v>
      </c>
      <c r="AA64" s="6" t="n">
        <v>0</v>
      </c>
      <c r="AB64" s="6" t="n">
        <v>0</v>
      </c>
      <c r="AC64" s="6" t="n">
        <v>0</v>
      </c>
      <c r="AD64" s="6" t="n">
        <v>0</v>
      </c>
      <c r="AE64" s="6" t="n">
        <v>0</v>
      </c>
      <c r="AF64" s="6" t="n">
        <v>0</v>
      </c>
      <c r="AG64" s="6" t="n">
        <v>1</v>
      </c>
      <c r="AH64" s="6" t="n">
        <v>0</v>
      </c>
      <c r="AI64" s="6" t="s">
        <v>84</v>
      </c>
    </row>
    <row r="65" customFormat="false" ht="15" hidden="false" customHeight="false" outlineLevel="0" collapsed="false">
      <c r="A65" s="6" t="n">
        <v>64</v>
      </c>
      <c r="B65" s="6" t="s">
        <v>6309</v>
      </c>
      <c r="C65" s="6" t="n">
        <v>2</v>
      </c>
      <c r="D65" s="6" t="s">
        <v>51</v>
      </c>
      <c r="E65" s="6" t="s">
        <v>55</v>
      </c>
      <c r="F65" s="6" t="n">
        <v>2</v>
      </c>
      <c r="G65" s="6" t="n">
        <v>17</v>
      </c>
      <c r="H65" s="6" t="s">
        <v>6310</v>
      </c>
      <c r="I65" s="22" t="n">
        <v>788200</v>
      </c>
      <c r="J65" s="22" t="n">
        <v>6000</v>
      </c>
      <c r="K65" s="22" t="n">
        <v>59565</v>
      </c>
      <c r="L65" s="22" t="n">
        <v>853765</v>
      </c>
      <c r="M65" s="6" t="s">
        <v>57</v>
      </c>
      <c r="N65" s="6" t="s">
        <v>58</v>
      </c>
      <c r="O65" s="6"/>
      <c r="P65" s="6" t="s">
        <v>69</v>
      </c>
      <c r="Q65" s="6" t="str">
        <f aca="false">IF(P65="pass","No","Yes")</f>
        <v>No</v>
      </c>
      <c r="R65" s="6" t="s">
        <v>60</v>
      </c>
      <c r="S65" s="6"/>
      <c r="T65" s="6"/>
      <c r="U65" s="23" t="n">
        <v>2.189</v>
      </c>
      <c r="V65" s="6" t="s">
        <v>6311</v>
      </c>
      <c r="W65" s="6" t="s">
        <v>6312</v>
      </c>
      <c r="X65" s="6" t="s">
        <v>6313</v>
      </c>
      <c r="Y65" s="6" t="s">
        <v>60</v>
      </c>
      <c r="Z65" s="6" t="n">
        <v>0</v>
      </c>
      <c r="AA65" s="6" t="n">
        <v>0</v>
      </c>
      <c r="AB65" s="6" t="n">
        <v>0</v>
      </c>
      <c r="AC65" s="6" t="n">
        <v>0</v>
      </c>
      <c r="AD65" s="6" t="n">
        <v>0</v>
      </c>
      <c r="AE65" s="6" t="n">
        <v>0</v>
      </c>
      <c r="AF65" s="6" t="n">
        <v>0</v>
      </c>
      <c r="AG65" s="6" t="n">
        <v>0</v>
      </c>
      <c r="AH65" s="6" t="n">
        <v>0</v>
      </c>
      <c r="AI65" s="6" t="s">
        <v>84</v>
      </c>
    </row>
    <row r="66" customFormat="false" ht="15" hidden="false" customHeight="false" outlineLevel="0" collapsed="false">
      <c r="A66" s="6" t="n">
        <v>65</v>
      </c>
      <c r="B66" s="6" t="s">
        <v>6314</v>
      </c>
      <c r="C66" s="6" t="n">
        <v>2</v>
      </c>
      <c r="D66" s="6" t="s">
        <v>213</v>
      </c>
      <c r="E66" s="6" t="s">
        <v>67</v>
      </c>
      <c r="F66" s="6" t="n">
        <v>3</v>
      </c>
      <c r="G66" s="6" t="n">
        <v>77</v>
      </c>
      <c r="H66" s="6" t="s">
        <v>6315</v>
      </c>
      <c r="I66" s="22" t="n">
        <v>1415500</v>
      </c>
      <c r="J66" s="22" t="n">
        <v>4500</v>
      </c>
      <c r="K66" s="22" t="n">
        <v>106500</v>
      </c>
      <c r="L66" s="22" t="n">
        <v>1526500</v>
      </c>
      <c r="M66" s="6" t="s">
        <v>57</v>
      </c>
      <c r="N66" s="6" t="s">
        <v>58</v>
      </c>
      <c r="O66" s="6"/>
      <c r="P66" s="6" t="s">
        <v>69</v>
      </c>
      <c r="Q66" s="6" t="str">
        <f aca="false">IF(P66="pass","No","Yes")</f>
        <v>No</v>
      </c>
      <c r="R66" s="6" t="s">
        <v>60</v>
      </c>
      <c r="S66" s="6"/>
      <c r="T66" s="6"/>
      <c r="U66" s="23" t="n">
        <v>2.282</v>
      </c>
      <c r="V66" s="6" t="s">
        <v>6316</v>
      </c>
      <c r="W66" s="6" t="s">
        <v>6317</v>
      </c>
      <c r="X66" s="6" t="s">
        <v>6318</v>
      </c>
      <c r="Y66" s="6" t="s">
        <v>60</v>
      </c>
      <c r="Z66" s="6" t="n">
        <v>0</v>
      </c>
      <c r="AA66" s="6" t="n">
        <v>0</v>
      </c>
      <c r="AB66" s="6" t="n">
        <v>0</v>
      </c>
      <c r="AC66" s="6" t="n">
        <v>0</v>
      </c>
      <c r="AD66" s="6" t="n">
        <v>0</v>
      </c>
      <c r="AE66" s="6" t="n">
        <v>0</v>
      </c>
      <c r="AF66" s="6" t="n">
        <v>0</v>
      </c>
      <c r="AG66" s="6" t="n">
        <v>0</v>
      </c>
      <c r="AH66" s="6" t="n">
        <v>0</v>
      </c>
      <c r="AI66" s="6" t="s">
        <v>84</v>
      </c>
    </row>
    <row r="67" customFormat="false" ht="15" hidden="false" customHeight="false" outlineLevel="0" collapsed="false">
      <c r="A67" s="6" t="n">
        <v>66</v>
      </c>
      <c r="B67" s="6" t="s">
        <v>6319</v>
      </c>
      <c r="C67" s="6" t="n">
        <v>2</v>
      </c>
      <c r="D67" s="6" t="s">
        <v>213</v>
      </c>
      <c r="E67" s="6" t="s">
        <v>67</v>
      </c>
      <c r="F67" s="6" t="n">
        <v>4</v>
      </c>
      <c r="G67" s="6" t="n">
        <v>147</v>
      </c>
      <c r="H67" s="6" t="s">
        <v>6320</v>
      </c>
      <c r="I67" s="22" t="n">
        <v>1493800</v>
      </c>
      <c r="J67" s="22" t="n">
        <v>4500</v>
      </c>
      <c r="K67" s="22" t="n">
        <v>112372.5</v>
      </c>
      <c r="L67" s="22" t="n">
        <v>1610672.5</v>
      </c>
      <c r="M67" s="6" t="s">
        <v>272</v>
      </c>
      <c r="N67" s="6" t="s">
        <v>84</v>
      </c>
      <c r="O67" s="6" t="s">
        <v>879</v>
      </c>
      <c r="P67" s="6" t="s">
        <v>85</v>
      </c>
      <c r="Q67" s="6" t="str">
        <f aca="false">IF(P67="pass","No","Yes")</f>
        <v>Yes</v>
      </c>
      <c r="R67" s="6" t="s">
        <v>86</v>
      </c>
      <c r="S67" s="6" t="s">
        <v>1233</v>
      </c>
      <c r="T67" s="6" t="s">
        <v>6321</v>
      </c>
      <c r="U67" s="23" t="n">
        <v>2.01</v>
      </c>
      <c r="V67" s="6" t="s">
        <v>6322</v>
      </c>
      <c r="W67" s="6" t="s">
        <v>6323</v>
      </c>
      <c r="X67" s="6" t="s">
        <v>6324</v>
      </c>
      <c r="Y67" s="6" t="s">
        <v>86</v>
      </c>
      <c r="Z67" s="6" t="n">
        <v>0</v>
      </c>
      <c r="AA67" s="6" t="n">
        <v>1</v>
      </c>
      <c r="AB67" s="6" t="n">
        <v>0</v>
      </c>
      <c r="AC67" s="6" t="n">
        <v>0</v>
      </c>
      <c r="AD67" s="6" t="n">
        <v>0</v>
      </c>
      <c r="AE67" s="6" t="n">
        <v>0</v>
      </c>
      <c r="AF67" s="6" t="n">
        <v>0</v>
      </c>
      <c r="AG67" s="6" t="n">
        <v>0</v>
      </c>
      <c r="AH67" s="6" t="n">
        <v>1</v>
      </c>
      <c r="AI67" s="6" t="s">
        <v>84</v>
      </c>
    </row>
    <row r="68" customFormat="false" ht="15" hidden="false" customHeight="false" outlineLevel="0" collapsed="false">
      <c r="A68" s="6" t="n">
        <v>67</v>
      </c>
      <c r="B68" s="6" t="s">
        <v>6325</v>
      </c>
      <c r="C68" s="6" t="n">
        <v>2</v>
      </c>
      <c r="D68" s="6" t="s">
        <v>177</v>
      </c>
      <c r="E68" s="6" t="s">
        <v>81</v>
      </c>
      <c r="F68" s="6" t="n">
        <v>4</v>
      </c>
      <c r="G68" s="6" t="n">
        <v>89</v>
      </c>
      <c r="H68" s="6" t="s">
        <v>6326</v>
      </c>
      <c r="I68" s="22" t="n">
        <v>1405000</v>
      </c>
      <c r="J68" s="22" t="n">
        <v>4000</v>
      </c>
      <c r="K68" s="22" t="n">
        <v>105675</v>
      </c>
      <c r="L68" s="22" t="n">
        <v>1514675</v>
      </c>
      <c r="M68" s="6" t="s">
        <v>132</v>
      </c>
      <c r="N68" s="6" t="s">
        <v>84</v>
      </c>
      <c r="O68" s="6" t="s">
        <v>879</v>
      </c>
      <c r="P68" s="6" t="s">
        <v>85</v>
      </c>
      <c r="Q68" s="6" t="str">
        <f aca="false">IF(P68="pass","No","Yes")</f>
        <v>Yes</v>
      </c>
      <c r="R68" s="6" t="s">
        <v>86</v>
      </c>
      <c r="S68" s="6" t="s">
        <v>880</v>
      </c>
      <c r="T68" s="6" t="s">
        <v>134</v>
      </c>
      <c r="U68" s="23" t="n">
        <v>2.104</v>
      </c>
      <c r="V68" s="6" t="s">
        <v>6327</v>
      </c>
      <c r="W68" s="6" t="s">
        <v>6328</v>
      </c>
      <c r="X68" s="6" t="s">
        <v>6329</v>
      </c>
      <c r="Y68" s="6" t="s">
        <v>86</v>
      </c>
      <c r="Z68" s="6" t="n">
        <v>0</v>
      </c>
      <c r="AA68" s="6" t="n">
        <v>1</v>
      </c>
      <c r="AB68" s="6" t="n">
        <v>0</v>
      </c>
      <c r="AC68" s="6" t="n">
        <v>1</v>
      </c>
      <c r="AD68" s="6" t="n">
        <v>0</v>
      </c>
      <c r="AE68" s="6" t="n">
        <v>0</v>
      </c>
      <c r="AF68" s="6" t="n">
        <v>0</v>
      </c>
      <c r="AG68" s="6" t="n">
        <v>0</v>
      </c>
      <c r="AH68" s="6" t="n">
        <v>0</v>
      </c>
      <c r="AI68" s="6" t="s">
        <v>84</v>
      </c>
    </row>
    <row r="69" customFormat="false" ht="15" hidden="false" customHeight="false" outlineLevel="0" collapsed="false">
      <c r="A69" s="6" t="n">
        <v>68</v>
      </c>
      <c r="B69" s="6" t="s">
        <v>6330</v>
      </c>
      <c r="C69" s="6" t="n">
        <v>2</v>
      </c>
      <c r="D69" s="6" t="s">
        <v>198</v>
      </c>
      <c r="E69" s="6" t="s">
        <v>81</v>
      </c>
      <c r="F69" s="6" t="n">
        <v>1</v>
      </c>
      <c r="G69" s="6" t="n">
        <v>9</v>
      </c>
      <c r="H69" s="6" t="s">
        <v>1369</v>
      </c>
      <c r="I69" s="22" t="n">
        <v>342000</v>
      </c>
      <c r="J69" s="22" t="n">
        <v>4000</v>
      </c>
      <c r="K69" s="22" t="n">
        <v>25950</v>
      </c>
      <c r="L69" s="22" t="n">
        <v>371950</v>
      </c>
      <c r="M69" s="6" t="s">
        <v>57</v>
      </c>
      <c r="N69" s="6" t="s">
        <v>58</v>
      </c>
      <c r="O69" s="6"/>
      <c r="P69" s="6" t="s">
        <v>69</v>
      </c>
      <c r="Q69" s="6" t="str">
        <f aca="false">IF(P69="pass","No","Yes")</f>
        <v>No</v>
      </c>
      <c r="R69" s="6" t="s">
        <v>60</v>
      </c>
      <c r="S69" s="6"/>
      <c r="T69" s="6"/>
      <c r="U69" s="23" t="n">
        <v>2.196</v>
      </c>
      <c r="V69" s="6" t="s">
        <v>6331</v>
      </c>
      <c r="W69" s="6" t="s">
        <v>6332</v>
      </c>
      <c r="X69" s="6" t="s">
        <v>6333</v>
      </c>
      <c r="Y69" s="6" t="s">
        <v>60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0</v>
      </c>
      <c r="AF69" s="6" t="n">
        <v>0</v>
      </c>
      <c r="AG69" s="6" t="n">
        <v>0</v>
      </c>
      <c r="AH69" s="6" t="n">
        <v>0</v>
      </c>
      <c r="AI69" s="6" t="s">
        <v>84</v>
      </c>
    </row>
    <row r="70" customFormat="false" ht="15" hidden="false" customHeight="false" outlineLevel="0" collapsed="false">
      <c r="A70" s="6" t="n">
        <v>69</v>
      </c>
      <c r="B70" s="6" t="s">
        <v>6334</v>
      </c>
      <c r="C70" s="6" t="n">
        <v>2</v>
      </c>
      <c r="D70" s="6" t="s">
        <v>154</v>
      </c>
      <c r="E70" s="6" t="s">
        <v>123</v>
      </c>
      <c r="F70" s="6" t="n">
        <v>1</v>
      </c>
      <c r="G70" s="6" t="n">
        <v>125</v>
      </c>
      <c r="H70" s="6" t="s">
        <v>2119</v>
      </c>
      <c r="I70" s="22" t="n">
        <v>1187500</v>
      </c>
      <c r="J70" s="22" t="n">
        <v>5000</v>
      </c>
      <c r="K70" s="22" t="n">
        <v>89437.5</v>
      </c>
      <c r="L70" s="22" t="n">
        <v>1281937.5</v>
      </c>
      <c r="M70" s="6" t="s">
        <v>57</v>
      </c>
      <c r="N70" s="6" t="s">
        <v>58</v>
      </c>
      <c r="O70" s="6"/>
      <c r="P70" s="6" t="s">
        <v>59</v>
      </c>
      <c r="Q70" s="6" t="str">
        <f aca="false">IF(P70="pass","No","Yes")</f>
        <v>Yes</v>
      </c>
      <c r="R70" s="6" t="s">
        <v>60</v>
      </c>
      <c r="S70" s="6" t="s">
        <v>915</v>
      </c>
      <c r="T70" s="6" t="s">
        <v>6335</v>
      </c>
      <c r="U70" s="23" t="n">
        <v>2.185</v>
      </c>
      <c r="V70" s="6" t="s">
        <v>6336</v>
      </c>
      <c r="W70" s="6" t="s">
        <v>6337</v>
      </c>
      <c r="X70" s="6" t="s">
        <v>6338</v>
      </c>
      <c r="Y70" s="6" t="s">
        <v>60</v>
      </c>
      <c r="Z70" s="6" t="n">
        <v>0</v>
      </c>
      <c r="AA70" s="6" t="n">
        <v>0</v>
      </c>
      <c r="AB70" s="6" t="n">
        <v>0</v>
      </c>
      <c r="AC70" s="6" t="n">
        <v>0</v>
      </c>
      <c r="AD70" s="6" t="n">
        <v>0</v>
      </c>
      <c r="AE70" s="6" t="n">
        <v>0</v>
      </c>
      <c r="AF70" s="6" t="n">
        <v>0</v>
      </c>
      <c r="AG70" s="6" t="n">
        <v>0</v>
      </c>
      <c r="AH70" s="6" t="n">
        <v>1</v>
      </c>
      <c r="AI70" s="6" t="s">
        <v>84</v>
      </c>
    </row>
    <row r="71" customFormat="false" ht="15" hidden="false" customHeight="false" outlineLevel="0" collapsed="false">
      <c r="A71" s="6" t="n">
        <v>70</v>
      </c>
      <c r="B71" s="6" t="s">
        <v>6339</v>
      </c>
      <c r="C71" s="6" t="n">
        <v>2</v>
      </c>
      <c r="D71" s="6" t="s">
        <v>112</v>
      </c>
      <c r="E71" s="6" t="s">
        <v>116</v>
      </c>
      <c r="F71" s="6" t="n">
        <v>2</v>
      </c>
      <c r="G71" s="6" t="n">
        <v>55</v>
      </c>
      <c r="H71" s="6" t="s">
        <v>6340</v>
      </c>
      <c r="I71" s="22" t="n">
        <v>930400</v>
      </c>
      <c r="J71" s="22" t="n">
        <v>15000</v>
      </c>
      <c r="K71" s="22" t="n">
        <v>70905</v>
      </c>
      <c r="L71" s="22" t="n">
        <v>1016305</v>
      </c>
      <c r="M71" s="6" t="s">
        <v>57</v>
      </c>
      <c r="N71" s="6" t="s">
        <v>58</v>
      </c>
      <c r="O71" s="6"/>
      <c r="P71" s="6" t="s">
        <v>69</v>
      </c>
      <c r="Q71" s="6" t="str">
        <f aca="false">IF(P71="pass","No","Yes")</f>
        <v>No</v>
      </c>
      <c r="R71" s="6" t="s">
        <v>60</v>
      </c>
      <c r="S71" s="6"/>
      <c r="T71" s="6"/>
      <c r="U71" s="23" t="n">
        <v>2.209</v>
      </c>
      <c r="V71" s="6" t="s">
        <v>6341</v>
      </c>
      <c r="W71" s="6" t="s">
        <v>6342</v>
      </c>
      <c r="X71" s="6" t="s">
        <v>6343</v>
      </c>
      <c r="Y71" s="6" t="s">
        <v>60</v>
      </c>
      <c r="Z71" s="6" t="n">
        <v>0</v>
      </c>
      <c r="AA71" s="6" t="n">
        <v>0</v>
      </c>
      <c r="AB71" s="6" t="n">
        <v>0</v>
      </c>
      <c r="AC71" s="6" t="n">
        <v>0</v>
      </c>
      <c r="AD71" s="6" t="n">
        <v>0</v>
      </c>
      <c r="AE71" s="6" t="n">
        <v>0</v>
      </c>
      <c r="AF71" s="6" t="n">
        <v>0</v>
      </c>
      <c r="AG71" s="6" t="n">
        <v>0</v>
      </c>
      <c r="AH71" s="6" t="n">
        <v>0</v>
      </c>
      <c r="AI71" s="6" t="s">
        <v>84</v>
      </c>
    </row>
    <row r="72" customFormat="false" ht="15" hidden="false" customHeight="false" outlineLevel="0" collapsed="false">
      <c r="A72" s="6" t="n">
        <v>71</v>
      </c>
      <c r="B72" s="6" t="s">
        <v>6344</v>
      </c>
      <c r="C72" s="6" t="n">
        <v>2</v>
      </c>
      <c r="D72" s="6" t="s">
        <v>119</v>
      </c>
      <c r="E72" s="6" t="s">
        <v>123</v>
      </c>
      <c r="F72" s="6" t="n">
        <v>2</v>
      </c>
      <c r="G72" s="6" t="n">
        <v>58</v>
      </c>
      <c r="H72" s="6" t="s">
        <v>6345</v>
      </c>
      <c r="I72" s="22" t="n">
        <v>805000</v>
      </c>
      <c r="J72" s="22" t="n">
        <v>5000</v>
      </c>
      <c r="K72" s="22" t="n">
        <v>60750</v>
      </c>
      <c r="L72" s="22" t="n">
        <v>870750</v>
      </c>
      <c r="M72" s="6" t="s">
        <v>984</v>
      </c>
      <c r="N72" s="6" t="s">
        <v>84</v>
      </c>
      <c r="O72" s="6" t="s">
        <v>985</v>
      </c>
      <c r="P72" s="6" t="s">
        <v>85</v>
      </c>
      <c r="Q72" s="6" t="str">
        <f aca="false">IF(P72="pass","No","Yes")</f>
        <v>Yes</v>
      </c>
      <c r="R72" s="6" t="s">
        <v>86</v>
      </c>
      <c r="S72" s="6" t="s">
        <v>985</v>
      </c>
      <c r="T72" s="6" t="s">
        <v>3809</v>
      </c>
      <c r="U72" s="23" t="n">
        <v>1.844</v>
      </c>
      <c r="V72" s="6" t="s">
        <v>6346</v>
      </c>
      <c r="W72" s="6" t="s">
        <v>6347</v>
      </c>
      <c r="X72" s="6" t="s">
        <v>6348</v>
      </c>
      <c r="Y72" s="6" t="s">
        <v>86</v>
      </c>
      <c r="Z72" s="6" t="n">
        <v>0</v>
      </c>
      <c r="AA72" s="6" t="n">
        <v>0</v>
      </c>
      <c r="AB72" s="6" t="n">
        <v>0</v>
      </c>
      <c r="AC72" s="6" t="n">
        <v>0</v>
      </c>
      <c r="AD72" s="6" t="n">
        <v>0</v>
      </c>
      <c r="AE72" s="6" t="n">
        <v>1</v>
      </c>
      <c r="AF72" s="6" t="n">
        <v>0</v>
      </c>
      <c r="AG72" s="6" t="n">
        <v>0</v>
      </c>
      <c r="AH72" s="6" t="n">
        <v>0</v>
      </c>
      <c r="AI72" s="6" t="s">
        <v>84</v>
      </c>
    </row>
    <row r="73" customFormat="false" ht="15" hidden="false" customHeight="false" outlineLevel="0" collapsed="false">
      <c r="A73" s="6" t="n">
        <v>72</v>
      </c>
      <c r="B73" s="6" t="s">
        <v>6349</v>
      </c>
      <c r="C73" s="6" t="n">
        <v>2</v>
      </c>
      <c r="D73" s="6" t="s">
        <v>51</v>
      </c>
      <c r="E73" s="6" t="s">
        <v>55</v>
      </c>
      <c r="F73" s="6" t="n">
        <v>3</v>
      </c>
      <c r="G73" s="6" t="n">
        <v>62</v>
      </c>
      <c r="H73" s="6" t="s">
        <v>6350</v>
      </c>
      <c r="I73" s="22" t="n">
        <v>1443500</v>
      </c>
      <c r="J73" s="22" t="n">
        <v>6000</v>
      </c>
      <c r="K73" s="22" t="n">
        <v>108712.5</v>
      </c>
      <c r="L73" s="22" t="n">
        <v>1558212.5</v>
      </c>
      <c r="M73" s="6" t="s">
        <v>224</v>
      </c>
      <c r="N73" s="6" t="s">
        <v>84</v>
      </c>
      <c r="O73" s="6" t="s">
        <v>866</v>
      </c>
      <c r="P73" s="6" t="s">
        <v>85</v>
      </c>
      <c r="Q73" s="6" t="str">
        <f aca="false">IF(P73="pass","No","Yes")</f>
        <v>Yes</v>
      </c>
      <c r="R73" s="6" t="s">
        <v>86</v>
      </c>
      <c r="S73" s="6" t="s">
        <v>866</v>
      </c>
      <c r="T73" s="6" t="s">
        <v>225</v>
      </c>
      <c r="U73" s="23" t="n">
        <v>1.897</v>
      </c>
      <c r="V73" s="6" t="s">
        <v>6351</v>
      </c>
      <c r="W73" s="6" t="s">
        <v>6352</v>
      </c>
      <c r="X73" s="6" t="s">
        <v>6353</v>
      </c>
      <c r="Y73" s="6" t="s">
        <v>86</v>
      </c>
      <c r="Z73" s="6" t="n">
        <v>1</v>
      </c>
      <c r="AA73" s="6" t="n">
        <v>0</v>
      </c>
      <c r="AB73" s="6" t="n">
        <v>0</v>
      </c>
      <c r="AC73" s="6" t="n">
        <v>0</v>
      </c>
      <c r="AD73" s="6" t="n">
        <v>0</v>
      </c>
      <c r="AE73" s="6" t="n">
        <v>0</v>
      </c>
      <c r="AF73" s="6" t="n">
        <v>0</v>
      </c>
      <c r="AG73" s="6" t="n">
        <v>0</v>
      </c>
      <c r="AH73" s="6" t="n">
        <v>0</v>
      </c>
      <c r="AI73" s="6" t="s">
        <v>58</v>
      </c>
    </row>
    <row r="74" customFormat="false" ht="15" hidden="false" customHeight="false" outlineLevel="0" collapsed="false">
      <c r="A74" s="6" t="n">
        <v>73</v>
      </c>
      <c r="B74" s="6" t="s">
        <v>6354</v>
      </c>
      <c r="C74" s="6" t="n">
        <v>2</v>
      </c>
      <c r="D74" s="6" t="s">
        <v>166</v>
      </c>
      <c r="E74" s="6" t="s">
        <v>74</v>
      </c>
      <c r="F74" s="6" t="n">
        <v>2</v>
      </c>
      <c r="G74" s="6" t="n">
        <v>114</v>
      </c>
      <c r="H74" s="6" t="s">
        <v>6355</v>
      </c>
      <c r="I74" s="22" t="n">
        <v>854400</v>
      </c>
      <c r="J74" s="22" t="n">
        <v>9000</v>
      </c>
      <c r="K74" s="22" t="n">
        <v>64755</v>
      </c>
      <c r="L74" s="22" t="n">
        <v>928155</v>
      </c>
      <c r="M74" s="6" t="s">
        <v>927</v>
      </c>
      <c r="N74" s="6" t="s">
        <v>58</v>
      </c>
      <c r="O74" s="6"/>
      <c r="P74" s="6" t="s">
        <v>59</v>
      </c>
      <c r="Q74" s="6" t="str">
        <f aca="false">IF(P74="pass","No","Yes")</f>
        <v>Yes</v>
      </c>
      <c r="R74" s="6" t="s">
        <v>60</v>
      </c>
      <c r="S74" s="6" t="s">
        <v>915</v>
      </c>
      <c r="T74" s="6" t="s">
        <v>1026</v>
      </c>
      <c r="U74" s="23" t="n">
        <v>2.255</v>
      </c>
      <c r="V74" s="6" t="s">
        <v>6356</v>
      </c>
      <c r="W74" s="6" t="s">
        <v>6357</v>
      </c>
      <c r="X74" s="6" t="s">
        <v>6358</v>
      </c>
      <c r="Y74" s="6" t="s">
        <v>60</v>
      </c>
      <c r="Z74" s="6" t="n">
        <v>0</v>
      </c>
      <c r="AA74" s="6" t="n">
        <v>0</v>
      </c>
      <c r="AB74" s="6" t="n">
        <v>0</v>
      </c>
      <c r="AC74" s="6" t="n">
        <v>0</v>
      </c>
      <c r="AD74" s="6" t="n">
        <v>0</v>
      </c>
      <c r="AE74" s="6" t="n">
        <v>0</v>
      </c>
      <c r="AF74" s="6" t="n">
        <v>0</v>
      </c>
      <c r="AG74" s="6" t="n">
        <v>0</v>
      </c>
      <c r="AH74" s="6" t="n">
        <v>1</v>
      </c>
      <c r="AI74" s="6" t="s">
        <v>84</v>
      </c>
    </row>
    <row r="75" customFormat="false" ht="15" hidden="false" customHeight="false" outlineLevel="0" collapsed="false">
      <c r="A75" s="6" t="n">
        <v>74</v>
      </c>
      <c r="B75" s="6" t="s">
        <v>6359</v>
      </c>
      <c r="C75" s="6" t="n">
        <v>2</v>
      </c>
      <c r="D75" s="6" t="s">
        <v>51</v>
      </c>
      <c r="E75" s="6" t="s">
        <v>55</v>
      </c>
      <c r="F75" s="6" t="n">
        <v>2</v>
      </c>
      <c r="G75" s="6" t="n">
        <v>80</v>
      </c>
      <c r="H75" s="6" t="s">
        <v>6360</v>
      </c>
      <c r="I75" s="22" t="n">
        <v>753800</v>
      </c>
      <c r="J75" s="22" t="n">
        <v>6000</v>
      </c>
      <c r="K75" s="22" t="n">
        <v>56985</v>
      </c>
      <c r="L75" s="22" t="n">
        <v>816785</v>
      </c>
      <c r="M75" s="6" t="s">
        <v>132</v>
      </c>
      <c r="N75" s="6" t="s">
        <v>84</v>
      </c>
      <c r="O75" s="6" t="s">
        <v>879</v>
      </c>
      <c r="P75" s="6" t="s">
        <v>85</v>
      </c>
      <c r="Q75" s="6" t="str">
        <f aca="false">IF(P75="pass","No","Yes")</f>
        <v>Yes</v>
      </c>
      <c r="R75" s="6" t="s">
        <v>86</v>
      </c>
      <c r="S75" s="6" t="s">
        <v>3637</v>
      </c>
      <c r="T75" s="6" t="s">
        <v>6361</v>
      </c>
      <c r="U75" s="23" t="n">
        <v>2.214</v>
      </c>
      <c r="V75" s="6" t="s">
        <v>6362</v>
      </c>
      <c r="W75" s="6" t="s">
        <v>6363</v>
      </c>
      <c r="X75" s="6" t="s">
        <v>6364</v>
      </c>
      <c r="Y75" s="6" t="s">
        <v>86</v>
      </c>
      <c r="Z75" s="6" t="n">
        <v>0</v>
      </c>
      <c r="AA75" s="6" t="n">
        <v>1</v>
      </c>
      <c r="AB75" s="6" t="n">
        <v>0</v>
      </c>
      <c r="AC75" s="6" t="n">
        <v>1</v>
      </c>
      <c r="AD75" s="6" t="n">
        <v>0</v>
      </c>
      <c r="AE75" s="6" t="n">
        <v>0</v>
      </c>
      <c r="AF75" s="6" t="n">
        <v>0</v>
      </c>
      <c r="AG75" s="6" t="n">
        <v>0</v>
      </c>
      <c r="AH75" s="6" t="n">
        <v>1</v>
      </c>
      <c r="AI75" s="6" t="s">
        <v>84</v>
      </c>
    </row>
    <row r="76" customFormat="false" ht="15" hidden="false" customHeight="false" outlineLevel="0" collapsed="false">
      <c r="A76" s="6" t="n">
        <v>75</v>
      </c>
      <c r="B76" s="6" t="s">
        <v>6365</v>
      </c>
      <c r="C76" s="6" t="n">
        <v>2</v>
      </c>
      <c r="D76" s="6" t="s">
        <v>137</v>
      </c>
      <c r="E76" s="6" t="s">
        <v>55</v>
      </c>
      <c r="F76" s="6" t="n">
        <v>1</v>
      </c>
      <c r="G76" s="6" t="n">
        <v>3</v>
      </c>
      <c r="H76" s="6" t="s">
        <v>3932</v>
      </c>
      <c r="I76" s="22" t="n">
        <v>156000</v>
      </c>
      <c r="J76" s="22" t="n">
        <v>6000</v>
      </c>
      <c r="K76" s="22" t="n">
        <v>12150</v>
      </c>
      <c r="L76" s="22" t="n">
        <v>174150</v>
      </c>
      <c r="M76" s="6" t="s">
        <v>57</v>
      </c>
      <c r="N76" s="6" t="s">
        <v>58</v>
      </c>
      <c r="O76" s="6"/>
      <c r="P76" s="6" t="s">
        <v>69</v>
      </c>
      <c r="Q76" s="6" t="str">
        <f aca="false">IF(P76="pass","No","Yes")</f>
        <v>No</v>
      </c>
      <c r="R76" s="6" t="s">
        <v>60</v>
      </c>
      <c r="S76" s="6"/>
      <c r="T76" s="6"/>
      <c r="U76" s="23" t="n">
        <v>2.093</v>
      </c>
      <c r="V76" s="6" t="s">
        <v>6366</v>
      </c>
      <c r="W76" s="6" t="s">
        <v>6367</v>
      </c>
      <c r="X76" s="6" t="s">
        <v>6368</v>
      </c>
      <c r="Y76" s="6" t="s">
        <v>60</v>
      </c>
      <c r="Z76" s="6" t="n">
        <v>0</v>
      </c>
      <c r="AA76" s="6" t="n">
        <v>0</v>
      </c>
      <c r="AB76" s="6" t="n">
        <v>0</v>
      </c>
      <c r="AC76" s="6" t="n">
        <v>0</v>
      </c>
      <c r="AD76" s="6" t="n">
        <v>0</v>
      </c>
      <c r="AE76" s="6" t="n">
        <v>0</v>
      </c>
      <c r="AF76" s="6" t="n">
        <v>0</v>
      </c>
      <c r="AG76" s="6" t="n">
        <v>0</v>
      </c>
      <c r="AH76" s="6" t="n">
        <v>0</v>
      </c>
      <c r="AI76" s="6" t="s">
        <v>84</v>
      </c>
    </row>
    <row r="77" customFormat="false" ht="15" hidden="false" customHeight="false" outlineLevel="0" collapsed="false">
      <c r="A77" s="6" t="n">
        <v>76</v>
      </c>
      <c r="B77" s="6" t="s">
        <v>6369</v>
      </c>
      <c r="C77" s="6" t="n">
        <v>2</v>
      </c>
      <c r="D77" s="6" t="s">
        <v>70</v>
      </c>
      <c r="E77" s="6" t="s">
        <v>74</v>
      </c>
      <c r="F77" s="6" t="n">
        <v>1</v>
      </c>
      <c r="G77" s="6" t="n">
        <v>12</v>
      </c>
      <c r="H77" s="6" t="s">
        <v>6370</v>
      </c>
      <c r="I77" s="22" t="n">
        <v>86400</v>
      </c>
      <c r="J77" s="22" t="n">
        <v>9000</v>
      </c>
      <c r="K77" s="22" t="n">
        <v>7155</v>
      </c>
      <c r="L77" s="22" t="n">
        <v>102555</v>
      </c>
      <c r="M77" s="6" t="s">
        <v>960</v>
      </c>
      <c r="N77" s="6" t="s">
        <v>84</v>
      </c>
      <c r="O77" s="6" t="s">
        <v>961</v>
      </c>
      <c r="P77" s="6" t="s">
        <v>85</v>
      </c>
      <c r="Q77" s="6" t="str">
        <f aca="false">IF(P77="pass","No","Yes")</f>
        <v>Yes</v>
      </c>
      <c r="R77" s="6" t="s">
        <v>86</v>
      </c>
      <c r="S77" s="6" t="s">
        <v>961</v>
      </c>
      <c r="T77" s="6" t="s">
        <v>962</v>
      </c>
      <c r="U77" s="23" t="n">
        <v>1.692</v>
      </c>
      <c r="V77" s="6" t="s">
        <v>6371</v>
      </c>
      <c r="W77" s="6" t="s">
        <v>6372</v>
      </c>
      <c r="X77" s="6" t="s">
        <v>6373</v>
      </c>
      <c r="Y77" s="6" t="s">
        <v>86</v>
      </c>
      <c r="Z77" s="6" t="n">
        <v>0</v>
      </c>
      <c r="AA77" s="6" t="n">
        <v>0</v>
      </c>
      <c r="AB77" s="6" t="n">
        <v>0</v>
      </c>
      <c r="AC77" s="6" t="n">
        <v>0</v>
      </c>
      <c r="AD77" s="6" t="n">
        <v>1</v>
      </c>
      <c r="AE77" s="6" t="n">
        <v>0</v>
      </c>
      <c r="AF77" s="6" t="n">
        <v>0</v>
      </c>
      <c r="AG77" s="6" t="n">
        <v>0</v>
      </c>
      <c r="AH77" s="6" t="n">
        <v>0</v>
      </c>
      <c r="AI77" s="6" t="s">
        <v>84</v>
      </c>
    </row>
    <row r="78" customFormat="false" ht="15" hidden="false" customHeight="false" outlineLevel="0" collapsed="false">
      <c r="A78" s="6" t="n">
        <v>77</v>
      </c>
      <c r="B78" s="6" t="s">
        <v>6374</v>
      </c>
      <c r="C78" s="6" t="n">
        <v>2</v>
      </c>
      <c r="D78" s="6" t="s">
        <v>154</v>
      </c>
      <c r="E78" s="6" t="s">
        <v>123</v>
      </c>
      <c r="F78" s="6" t="n">
        <v>2</v>
      </c>
      <c r="G78" s="6" t="n">
        <v>50</v>
      </c>
      <c r="H78" s="6" t="s">
        <v>6375</v>
      </c>
      <c r="I78" s="22" t="n">
        <v>360000</v>
      </c>
      <c r="J78" s="22" t="n">
        <v>5000</v>
      </c>
      <c r="K78" s="22" t="n">
        <v>27375</v>
      </c>
      <c r="L78" s="22" t="n">
        <v>392375</v>
      </c>
      <c r="M78" s="6" t="s">
        <v>272</v>
      </c>
      <c r="N78" s="6" t="s">
        <v>84</v>
      </c>
      <c r="O78" s="6" t="s">
        <v>879</v>
      </c>
      <c r="P78" s="6" t="s">
        <v>85</v>
      </c>
      <c r="Q78" s="6" t="str">
        <f aca="false">IF(P78="pass","No","Yes")</f>
        <v>Yes</v>
      </c>
      <c r="R78" s="6" t="s">
        <v>86</v>
      </c>
      <c r="S78" s="6" t="s">
        <v>1233</v>
      </c>
      <c r="T78" s="6" t="s">
        <v>6376</v>
      </c>
      <c r="U78" s="23" t="n">
        <v>1.946</v>
      </c>
      <c r="V78" s="6" t="s">
        <v>6377</v>
      </c>
      <c r="W78" s="6" t="s">
        <v>6378</v>
      </c>
      <c r="X78" s="6" t="s">
        <v>6379</v>
      </c>
      <c r="Y78" s="6" t="s">
        <v>86</v>
      </c>
      <c r="Z78" s="6" t="n">
        <v>0</v>
      </c>
      <c r="AA78" s="6" t="n">
        <v>1</v>
      </c>
      <c r="AB78" s="6" t="n">
        <v>0</v>
      </c>
      <c r="AC78" s="6" t="n">
        <v>0</v>
      </c>
      <c r="AD78" s="6" t="n">
        <v>0</v>
      </c>
      <c r="AE78" s="6" t="n">
        <v>0</v>
      </c>
      <c r="AF78" s="6" t="n">
        <v>0</v>
      </c>
      <c r="AG78" s="6" t="n">
        <v>0</v>
      </c>
      <c r="AH78" s="6" t="n">
        <v>1</v>
      </c>
      <c r="AI78" s="6" t="s">
        <v>84</v>
      </c>
    </row>
    <row r="79" customFormat="false" ht="15" hidden="false" customHeight="false" outlineLevel="0" collapsed="false">
      <c r="A79" s="6" t="n">
        <v>78</v>
      </c>
      <c r="B79" s="6" t="s">
        <v>6380</v>
      </c>
      <c r="C79" s="6" t="n">
        <v>2</v>
      </c>
      <c r="D79" s="6" t="s">
        <v>51</v>
      </c>
      <c r="E79" s="6" t="s">
        <v>55</v>
      </c>
      <c r="F79" s="6" t="n">
        <v>2</v>
      </c>
      <c r="G79" s="6" t="n">
        <v>34</v>
      </c>
      <c r="H79" s="6" t="s">
        <v>6381</v>
      </c>
      <c r="I79" s="22" t="n">
        <v>493000</v>
      </c>
      <c r="J79" s="22" t="n">
        <v>6000</v>
      </c>
      <c r="K79" s="22" t="n">
        <v>37425</v>
      </c>
      <c r="L79" s="22" t="n">
        <v>536425</v>
      </c>
      <c r="M79" s="6" t="s">
        <v>272</v>
      </c>
      <c r="N79" s="6" t="s">
        <v>84</v>
      </c>
      <c r="O79" s="6" t="s">
        <v>879</v>
      </c>
      <c r="P79" s="6" t="s">
        <v>85</v>
      </c>
      <c r="Q79" s="6" t="str">
        <f aca="false">IF(P79="pass","No","Yes")</f>
        <v>Yes</v>
      </c>
      <c r="R79" s="6" t="s">
        <v>86</v>
      </c>
      <c r="S79" s="6" t="s">
        <v>879</v>
      </c>
      <c r="T79" s="6" t="s">
        <v>6382</v>
      </c>
      <c r="U79" s="23" t="n">
        <v>1.785</v>
      </c>
      <c r="V79" s="6" t="s">
        <v>6383</v>
      </c>
      <c r="W79" s="6" t="s">
        <v>6384</v>
      </c>
      <c r="X79" s="6" t="s">
        <v>6385</v>
      </c>
      <c r="Y79" s="6" t="s">
        <v>86</v>
      </c>
      <c r="Z79" s="6" t="n">
        <v>0</v>
      </c>
      <c r="AA79" s="6" t="n">
        <v>1</v>
      </c>
      <c r="AB79" s="6" t="n">
        <v>0</v>
      </c>
      <c r="AC79" s="6" t="n">
        <v>0</v>
      </c>
      <c r="AD79" s="6" t="n">
        <v>0</v>
      </c>
      <c r="AE79" s="6" t="n">
        <v>0</v>
      </c>
      <c r="AF79" s="6" t="n">
        <v>0</v>
      </c>
      <c r="AG79" s="6" t="n">
        <v>0</v>
      </c>
      <c r="AH79" s="6" t="n">
        <v>0</v>
      </c>
      <c r="AI79" s="6" t="s">
        <v>84</v>
      </c>
    </row>
    <row r="80" customFormat="false" ht="15" hidden="false" customHeight="false" outlineLevel="0" collapsed="false">
      <c r="A80" s="6" t="n">
        <v>79</v>
      </c>
      <c r="B80" s="6" t="s">
        <v>6386</v>
      </c>
      <c r="C80" s="6" t="n">
        <v>2</v>
      </c>
      <c r="D80" s="6" t="s">
        <v>166</v>
      </c>
      <c r="E80" s="6" t="s">
        <v>74</v>
      </c>
      <c r="F80" s="6" t="n">
        <v>4</v>
      </c>
      <c r="G80" s="6" t="n">
        <v>474</v>
      </c>
      <c r="H80" s="6" t="s">
        <v>6387</v>
      </c>
      <c r="I80" s="22" t="n">
        <v>5249800</v>
      </c>
      <c r="J80" s="22" t="n">
        <v>9000</v>
      </c>
      <c r="K80" s="22" t="n">
        <v>394410</v>
      </c>
      <c r="L80" s="22" t="n">
        <v>5653210</v>
      </c>
      <c r="M80" s="6" t="s">
        <v>171</v>
      </c>
      <c r="N80" s="6" t="s">
        <v>84</v>
      </c>
      <c r="O80" s="6" t="s">
        <v>892</v>
      </c>
      <c r="P80" s="6" t="s">
        <v>85</v>
      </c>
      <c r="Q80" s="6" t="str">
        <f aca="false">IF(P80="pass","No","Yes")</f>
        <v>Yes</v>
      </c>
      <c r="R80" s="6" t="s">
        <v>86</v>
      </c>
      <c r="S80" s="6" t="s">
        <v>893</v>
      </c>
      <c r="T80" s="6" t="s">
        <v>6388</v>
      </c>
      <c r="U80" s="23" t="n">
        <v>2.068</v>
      </c>
      <c r="V80" s="6" t="s">
        <v>6389</v>
      </c>
      <c r="W80" s="6" t="s">
        <v>6390</v>
      </c>
      <c r="X80" s="6" t="s">
        <v>6391</v>
      </c>
      <c r="Y80" s="6" t="s">
        <v>86</v>
      </c>
      <c r="Z80" s="6" t="n">
        <v>0</v>
      </c>
      <c r="AA80" s="6" t="n">
        <v>0</v>
      </c>
      <c r="AB80" s="6" t="n">
        <v>0</v>
      </c>
      <c r="AC80" s="6" t="n">
        <v>1</v>
      </c>
      <c r="AD80" s="6" t="n">
        <v>0</v>
      </c>
      <c r="AE80" s="6" t="n">
        <v>0</v>
      </c>
      <c r="AF80" s="6" t="n">
        <v>0</v>
      </c>
      <c r="AG80" s="6" t="n">
        <v>0</v>
      </c>
      <c r="AH80" s="6" t="n">
        <v>1</v>
      </c>
      <c r="AI80" s="6" t="s">
        <v>84</v>
      </c>
    </row>
    <row r="81" customFormat="false" ht="15" hidden="false" customHeight="false" outlineLevel="0" collapsed="false">
      <c r="A81" s="6" t="n">
        <v>80</v>
      </c>
      <c r="B81" s="6" t="s">
        <v>6392</v>
      </c>
      <c r="C81" s="6" t="n">
        <v>2</v>
      </c>
      <c r="D81" s="6" t="s">
        <v>237</v>
      </c>
      <c r="E81" s="6" t="s">
        <v>116</v>
      </c>
      <c r="F81" s="6" t="n">
        <v>2</v>
      </c>
      <c r="G81" s="6" t="n">
        <v>97</v>
      </c>
      <c r="H81" s="6" t="s">
        <v>6393</v>
      </c>
      <c r="I81" s="22" t="n">
        <v>921500</v>
      </c>
      <c r="J81" s="22" t="n">
        <v>15000</v>
      </c>
      <c r="K81" s="22" t="n">
        <v>70237.5</v>
      </c>
      <c r="L81" s="22" t="n">
        <v>1006737.5</v>
      </c>
      <c r="M81" s="6" t="s">
        <v>272</v>
      </c>
      <c r="N81" s="6" t="s">
        <v>84</v>
      </c>
      <c r="O81" s="6" t="s">
        <v>879</v>
      </c>
      <c r="P81" s="6" t="s">
        <v>85</v>
      </c>
      <c r="Q81" s="6" t="str">
        <f aca="false">IF(P81="pass","No","Yes")</f>
        <v>Yes</v>
      </c>
      <c r="R81" s="6" t="s">
        <v>86</v>
      </c>
      <c r="S81" s="6" t="s">
        <v>879</v>
      </c>
      <c r="T81" s="6" t="s">
        <v>6394</v>
      </c>
      <c r="U81" s="23" t="n">
        <v>1.698</v>
      </c>
      <c r="V81" s="6" t="s">
        <v>6395</v>
      </c>
      <c r="W81" s="6" t="s">
        <v>6396</v>
      </c>
      <c r="X81" s="6" t="s">
        <v>6397</v>
      </c>
      <c r="Y81" s="6" t="s">
        <v>86</v>
      </c>
      <c r="Z81" s="6" t="n">
        <v>0</v>
      </c>
      <c r="AA81" s="6" t="n">
        <v>1</v>
      </c>
      <c r="AB81" s="6" t="n">
        <v>0</v>
      </c>
      <c r="AC81" s="6" t="n">
        <v>0</v>
      </c>
      <c r="AD81" s="6" t="n">
        <v>0</v>
      </c>
      <c r="AE81" s="6" t="n">
        <v>0</v>
      </c>
      <c r="AF81" s="6" t="n">
        <v>0</v>
      </c>
      <c r="AG81" s="6" t="n">
        <v>0</v>
      </c>
      <c r="AH81" s="6" t="n">
        <v>0</v>
      </c>
      <c r="AI81" s="6" t="s">
        <v>84</v>
      </c>
    </row>
    <row r="82" customFormat="false" ht="15" hidden="false" customHeight="false" outlineLevel="0" collapsed="false">
      <c r="A82" s="6" t="n">
        <v>81</v>
      </c>
      <c r="B82" s="6" t="s">
        <v>6398</v>
      </c>
      <c r="C82" s="6" t="n">
        <v>2</v>
      </c>
      <c r="D82" s="6" t="s">
        <v>51</v>
      </c>
      <c r="E82" s="6" t="s">
        <v>55</v>
      </c>
      <c r="F82" s="6" t="n">
        <v>3</v>
      </c>
      <c r="G82" s="6" t="n">
        <v>2108</v>
      </c>
      <c r="H82" s="6" t="s">
        <v>6399</v>
      </c>
      <c r="I82" s="22" t="n">
        <v>20415200</v>
      </c>
      <c r="J82" s="22" t="n">
        <v>6000</v>
      </c>
      <c r="K82" s="22" t="n">
        <v>1531590</v>
      </c>
      <c r="L82" s="22" t="n">
        <v>21952790</v>
      </c>
      <c r="M82" s="6" t="s">
        <v>159</v>
      </c>
      <c r="N82" s="6" t="s">
        <v>84</v>
      </c>
      <c r="O82" s="6" t="s">
        <v>886</v>
      </c>
      <c r="P82" s="6" t="s">
        <v>85</v>
      </c>
      <c r="Q82" s="6" t="str">
        <f aca="false">IF(P82="pass","No","Yes")</f>
        <v>Yes</v>
      </c>
      <c r="R82" s="6" t="s">
        <v>86</v>
      </c>
      <c r="S82" s="6" t="s">
        <v>992</v>
      </c>
      <c r="T82" s="6" t="s">
        <v>6400</v>
      </c>
      <c r="U82" s="23" t="n">
        <v>2.149</v>
      </c>
      <c r="V82" s="6" t="s">
        <v>6401</v>
      </c>
      <c r="W82" s="6" t="s">
        <v>6402</v>
      </c>
      <c r="X82" s="6" t="s">
        <v>6403</v>
      </c>
      <c r="Y82" s="6" t="s">
        <v>86</v>
      </c>
      <c r="Z82" s="6" t="n">
        <v>0</v>
      </c>
      <c r="AA82" s="6" t="n">
        <v>0</v>
      </c>
      <c r="AB82" s="6" t="n">
        <v>1</v>
      </c>
      <c r="AC82" s="6" t="n">
        <v>1</v>
      </c>
      <c r="AD82" s="6" t="n">
        <v>0</v>
      </c>
      <c r="AE82" s="6" t="n">
        <v>0</v>
      </c>
      <c r="AF82" s="6" t="n">
        <v>0</v>
      </c>
      <c r="AG82" s="6" t="n">
        <v>0</v>
      </c>
      <c r="AH82" s="6" t="n">
        <v>1</v>
      </c>
      <c r="AI82" s="6" t="s">
        <v>84</v>
      </c>
    </row>
    <row r="83" customFormat="false" ht="15" hidden="false" customHeight="false" outlineLevel="0" collapsed="false">
      <c r="A83" s="6" t="n">
        <v>82</v>
      </c>
      <c r="B83" s="6" t="s">
        <v>6404</v>
      </c>
      <c r="C83" s="6" t="n">
        <v>2</v>
      </c>
      <c r="D83" s="6" t="s">
        <v>137</v>
      </c>
      <c r="E83" s="6" t="s">
        <v>55</v>
      </c>
      <c r="F83" s="6" t="n">
        <v>1</v>
      </c>
      <c r="G83" s="6" t="n">
        <v>55</v>
      </c>
      <c r="H83" s="6" t="s">
        <v>2810</v>
      </c>
      <c r="I83" s="22" t="n">
        <v>396000</v>
      </c>
      <c r="J83" s="22" t="n">
        <v>6000</v>
      </c>
      <c r="K83" s="22" t="n">
        <v>30150</v>
      </c>
      <c r="L83" s="22" t="n">
        <v>432150</v>
      </c>
      <c r="M83" s="6" t="s">
        <v>960</v>
      </c>
      <c r="N83" s="6" t="s">
        <v>84</v>
      </c>
      <c r="O83" s="6" t="s">
        <v>961</v>
      </c>
      <c r="P83" s="6" t="s">
        <v>85</v>
      </c>
      <c r="Q83" s="6" t="str">
        <f aca="false">IF(P83="pass","No","Yes")</f>
        <v>Yes</v>
      </c>
      <c r="R83" s="6" t="s">
        <v>86</v>
      </c>
      <c r="S83" s="6" t="s">
        <v>961</v>
      </c>
      <c r="T83" s="6" t="s">
        <v>962</v>
      </c>
      <c r="U83" s="23" t="n">
        <v>1.761</v>
      </c>
      <c r="V83" s="6" t="s">
        <v>6405</v>
      </c>
      <c r="W83" s="6" t="s">
        <v>6406</v>
      </c>
      <c r="X83" s="6" t="s">
        <v>6407</v>
      </c>
      <c r="Y83" s="6" t="s">
        <v>86</v>
      </c>
      <c r="Z83" s="6" t="n">
        <v>0</v>
      </c>
      <c r="AA83" s="6" t="n">
        <v>0</v>
      </c>
      <c r="AB83" s="6" t="n">
        <v>0</v>
      </c>
      <c r="AC83" s="6" t="n">
        <v>0</v>
      </c>
      <c r="AD83" s="6" t="n">
        <v>1</v>
      </c>
      <c r="AE83" s="6" t="n">
        <v>0</v>
      </c>
      <c r="AF83" s="6" t="n">
        <v>0</v>
      </c>
      <c r="AG83" s="6" t="n">
        <v>0</v>
      </c>
      <c r="AH83" s="6" t="n">
        <v>0</v>
      </c>
      <c r="AI83" s="6" t="s">
        <v>84</v>
      </c>
    </row>
    <row r="84" customFormat="false" ht="15" hidden="false" customHeight="false" outlineLevel="0" collapsed="false">
      <c r="A84" s="6" t="n">
        <v>83</v>
      </c>
      <c r="B84" s="6" t="s">
        <v>6408</v>
      </c>
      <c r="C84" s="6" t="n">
        <v>2</v>
      </c>
      <c r="D84" s="6" t="s">
        <v>191</v>
      </c>
      <c r="E84" s="6" t="s">
        <v>116</v>
      </c>
      <c r="F84" s="6" t="n">
        <v>2</v>
      </c>
      <c r="G84" s="6" t="n">
        <v>154</v>
      </c>
      <c r="H84" s="6" t="s">
        <v>6409</v>
      </c>
      <c r="I84" s="22" t="n">
        <v>1346800</v>
      </c>
      <c r="J84" s="22" t="n">
        <v>15000</v>
      </c>
      <c r="K84" s="22" t="n">
        <v>102135</v>
      </c>
      <c r="L84" s="22" t="n">
        <v>1463935</v>
      </c>
      <c r="M84" s="6" t="s">
        <v>57</v>
      </c>
      <c r="N84" s="6" t="s">
        <v>58</v>
      </c>
      <c r="O84" s="6"/>
      <c r="P84" s="6" t="s">
        <v>59</v>
      </c>
      <c r="Q84" s="6" t="str">
        <f aca="false">IF(P84="pass","No","Yes")</f>
        <v>Yes</v>
      </c>
      <c r="R84" s="6" t="s">
        <v>60</v>
      </c>
      <c r="S84" s="6" t="s">
        <v>915</v>
      </c>
      <c r="T84" s="6" t="s">
        <v>4342</v>
      </c>
      <c r="U84" s="23" t="n">
        <v>2.225</v>
      </c>
      <c r="V84" s="6" t="s">
        <v>6410</v>
      </c>
      <c r="W84" s="6" t="s">
        <v>6411</v>
      </c>
      <c r="X84" s="6" t="s">
        <v>6412</v>
      </c>
      <c r="Y84" s="6" t="s">
        <v>60</v>
      </c>
      <c r="Z84" s="6" t="n">
        <v>0</v>
      </c>
      <c r="AA84" s="6" t="n">
        <v>0</v>
      </c>
      <c r="AB84" s="6" t="n">
        <v>0</v>
      </c>
      <c r="AC84" s="6" t="n">
        <v>0</v>
      </c>
      <c r="AD84" s="6" t="n">
        <v>0</v>
      </c>
      <c r="AE84" s="6" t="n">
        <v>0</v>
      </c>
      <c r="AF84" s="6" t="n">
        <v>0</v>
      </c>
      <c r="AG84" s="6" t="n">
        <v>0</v>
      </c>
      <c r="AH84" s="6" t="n">
        <v>1</v>
      </c>
      <c r="AI84" s="6" t="s">
        <v>84</v>
      </c>
    </row>
    <row r="85" customFormat="false" ht="15" hidden="false" customHeight="false" outlineLevel="0" collapsed="false">
      <c r="A85" s="6" t="n">
        <v>84</v>
      </c>
      <c r="B85" s="6" t="s">
        <v>6413</v>
      </c>
      <c r="C85" s="6" t="n">
        <v>2</v>
      </c>
      <c r="D85" s="6" t="s">
        <v>154</v>
      </c>
      <c r="E85" s="6" t="s">
        <v>123</v>
      </c>
      <c r="F85" s="6" t="n">
        <v>3</v>
      </c>
      <c r="G85" s="6" t="n">
        <v>74</v>
      </c>
      <c r="H85" s="6" t="s">
        <v>6414</v>
      </c>
      <c r="I85" s="22" t="n">
        <v>787400</v>
      </c>
      <c r="J85" s="22" t="n">
        <v>5000</v>
      </c>
      <c r="K85" s="22" t="n">
        <v>59430</v>
      </c>
      <c r="L85" s="22" t="n">
        <v>851830</v>
      </c>
      <c r="M85" s="6" t="s">
        <v>984</v>
      </c>
      <c r="N85" s="6" t="s">
        <v>84</v>
      </c>
      <c r="O85" s="6" t="s">
        <v>985</v>
      </c>
      <c r="P85" s="6" t="s">
        <v>85</v>
      </c>
      <c r="Q85" s="6" t="str">
        <f aca="false">IF(P85="pass","No","Yes")</f>
        <v>Yes</v>
      </c>
      <c r="R85" s="6" t="s">
        <v>86</v>
      </c>
      <c r="S85" s="6" t="s">
        <v>985</v>
      </c>
      <c r="T85" s="6" t="s">
        <v>3809</v>
      </c>
      <c r="U85" s="23" t="n">
        <v>1.851</v>
      </c>
      <c r="V85" s="6" t="s">
        <v>6415</v>
      </c>
      <c r="W85" s="6" t="s">
        <v>6416</v>
      </c>
      <c r="X85" s="6" t="s">
        <v>6417</v>
      </c>
      <c r="Y85" s="6" t="s">
        <v>86</v>
      </c>
      <c r="Z85" s="6" t="n">
        <v>0</v>
      </c>
      <c r="AA85" s="6" t="n">
        <v>0</v>
      </c>
      <c r="AB85" s="6" t="n">
        <v>0</v>
      </c>
      <c r="AC85" s="6" t="n">
        <v>0</v>
      </c>
      <c r="AD85" s="6" t="n">
        <v>0</v>
      </c>
      <c r="AE85" s="6" t="n">
        <v>1</v>
      </c>
      <c r="AF85" s="6" t="n">
        <v>0</v>
      </c>
      <c r="AG85" s="6" t="n">
        <v>0</v>
      </c>
      <c r="AH85" s="6" t="n">
        <v>0</v>
      </c>
      <c r="AI85" s="6" t="s">
        <v>84</v>
      </c>
    </row>
    <row r="86" customFormat="false" ht="15" hidden="false" customHeight="false" outlineLevel="0" collapsed="false">
      <c r="A86" s="6" t="n">
        <v>85</v>
      </c>
      <c r="B86" s="6" t="s">
        <v>6418</v>
      </c>
      <c r="C86" s="6" t="n">
        <v>2</v>
      </c>
      <c r="D86" s="6" t="s">
        <v>100</v>
      </c>
      <c r="E86" s="6" t="s">
        <v>67</v>
      </c>
      <c r="F86" s="6" t="n">
        <v>1</v>
      </c>
      <c r="G86" s="6" t="n">
        <v>4</v>
      </c>
      <c r="H86" s="6" t="s">
        <v>1075</v>
      </c>
      <c r="I86" s="22" t="n">
        <v>152000</v>
      </c>
      <c r="J86" s="22" t="n">
        <v>4500</v>
      </c>
      <c r="K86" s="22" t="n">
        <v>11737.5</v>
      </c>
      <c r="L86" s="22" t="n">
        <v>168237.5</v>
      </c>
      <c r="M86" s="6" t="s">
        <v>1042</v>
      </c>
      <c r="N86" s="6" t="s">
        <v>58</v>
      </c>
      <c r="O86" s="6"/>
      <c r="P86" s="6" t="s">
        <v>69</v>
      </c>
      <c r="Q86" s="6" t="str">
        <f aca="false">IF(P86="pass","No","Yes")</f>
        <v>No</v>
      </c>
      <c r="R86" s="6" t="s">
        <v>60</v>
      </c>
      <c r="S86" s="6"/>
      <c r="T86" s="6"/>
      <c r="U86" s="23" t="n">
        <v>2.31</v>
      </c>
      <c r="V86" s="6" t="s">
        <v>6419</v>
      </c>
      <c r="W86" s="6" t="s">
        <v>6420</v>
      </c>
      <c r="X86" s="6" t="s">
        <v>6421</v>
      </c>
      <c r="Y86" s="6" t="s">
        <v>60</v>
      </c>
      <c r="Z86" s="6" t="n">
        <v>0</v>
      </c>
      <c r="AA86" s="6" t="n">
        <v>0</v>
      </c>
      <c r="AB86" s="6" t="n">
        <v>0</v>
      </c>
      <c r="AC86" s="6" t="n">
        <v>0</v>
      </c>
      <c r="AD86" s="6" t="n">
        <v>0</v>
      </c>
      <c r="AE86" s="6" t="n">
        <v>0</v>
      </c>
      <c r="AF86" s="6" t="n">
        <v>0</v>
      </c>
      <c r="AG86" s="6" t="n">
        <v>0</v>
      </c>
      <c r="AH86" s="6" t="n">
        <v>0</v>
      </c>
      <c r="AI86" s="6" t="s">
        <v>84</v>
      </c>
    </row>
    <row r="87" customFormat="false" ht="15" hidden="false" customHeight="false" outlineLevel="0" collapsed="false">
      <c r="A87" s="6" t="n">
        <v>86</v>
      </c>
      <c r="B87" s="6" t="s">
        <v>6422</v>
      </c>
      <c r="C87" s="6" t="n">
        <v>2</v>
      </c>
      <c r="D87" s="6" t="s">
        <v>77</v>
      </c>
      <c r="E87" s="6" t="s">
        <v>81</v>
      </c>
      <c r="F87" s="6" t="n">
        <v>3</v>
      </c>
      <c r="G87" s="6" t="n">
        <v>66</v>
      </c>
      <c r="H87" s="6" t="s">
        <v>6423</v>
      </c>
      <c r="I87" s="22" t="n">
        <v>1014600</v>
      </c>
      <c r="J87" s="22" t="n">
        <v>4000</v>
      </c>
      <c r="K87" s="22" t="n">
        <v>76395</v>
      </c>
      <c r="L87" s="22" t="n">
        <v>1094995</v>
      </c>
      <c r="M87" s="6" t="s">
        <v>57</v>
      </c>
      <c r="N87" s="6" t="s">
        <v>58</v>
      </c>
      <c r="O87" s="6"/>
      <c r="P87" s="6" t="s">
        <v>69</v>
      </c>
      <c r="Q87" s="6" t="str">
        <f aca="false">IF(P87="pass","No","Yes")</f>
        <v>No</v>
      </c>
      <c r="R87" s="6" t="s">
        <v>60</v>
      </c>
      <c r="S87" s="6"/>
      <c r="T87" s="6"/>
      <c r="U87" s="23" t="n">
        <v>2.479</v>
      </c>
      <c r="V87" s="6" t="s">
        <v>6424</v>
      </c>
      <c r="W87" s="6" t="s">
        <v>6425</v>
      </c>
      <c r="X87" s="6" t="s">
        <v>6426</v>
      </c>
      <c r="Y87" s="6" t="s">
        <v>60</v>
      </c>
      <c r="Z87" s="6" t="n">
        <v>0</v>
      </c>
      <c r="AA87" s="6" t="n">
        <v>0</v>
      </c>
      <c r="AB87" s="6" t="n">
        <v>0</v>
      </c>
      <c r="AC87" s="6" t="n">
        <v>0</v>
      </c>
      <c r="AD87" s="6" t="n">
        <v>0</v>
      </c>
      <c r="AE87" s="6" t="n">
        <v>0</v>
      </c>
      <c r="AF87" s="6" t="n">
        <v>0</v>
      </c>
      <c r="AG87" s="6" t="n">
        <v>0</v>
      </c>
      <c r="AH87" s="6" t="n">
        <v>0</v>
      </c>
      <c r="AI87" s="6" t="s">
        <v>84</v>
      </c>
    </row>
    <row r="88" customFormat="false" ht="15" hidden="false" customHeight="false" outlineLevel="0" collapsed="false">
      <c r="A88" s="6" t="n">
        <v>87</v>
      </c>
      <c r="B88" s="6" t="s">
        <v>6427</v>
      </c>
      <c r="C88" s="6" t="n">
        <v>2</v>
      </c>
      <c r="D88" s="6" t="s">
        <v>112</v>
      </c>
      <c r="E88" s="6" t="s">
        <v>116</v>
      </c>
      <c r="F88" s="6" t="n">
        <v>1</v>
      </c>
      <c r="G88" s="6" t="n">
        <v>1</v>
      </c>
      <c r="H88" s="6" t="s">
        <v>3695</v>
      </c>
      <c r="I88" s="22" t="n">
        <v>52000</v>
      </c>
      <c r="J88" s="22" t="n">
        <v>15000</v>
      </c>
      <c r="K88" s="22" t="n">
        <v>5025</v>
      </c>
      <c r="L88" s="22" t="n">
        <v>72025</v>
      </c>
      <c r="M88" s="6" t="s">
        <v>57</v>
      </c>
      <c r="N88" s="6" t="s">
        <v>58</v>
      </c>
      <c r="O88" s="6"/>
      <c r="P88" s="6" t="s">
        <v>69</v>
      </c>
      <c r="Q88" s="6" t="str">
        <f aca="false">IF(P88="pass","No","Yes")</f>
        <v>No</v>
      </c>
      <c r="R88" s="6" t="s">
        <v>60</v>
      </c>
      <c r="S88" s="6"/>
      <c r="T88" s="6"/>
      <c r="U88" s="23" t="n">
        <v>2.396</v>
      </c>
      <c r="V88" s="6" t="s">
        <v>6428</v>
      </c>
      <c r="W88" s="6" t="s">
        <v>6429</v>
      </c>
      <c r="X88" s="6" t="s">
        <v>6430</v>
      </c>
      <c r="Y88" s="6" t="s">
        <v>60</v>
      </c>
      <c r="Z88" s="6" t="n">
        <v>0</v>
      </c>
      <c r="AA88" s="6" t="n">
        <v>0</v>
      </c>
      <c r="AB88" s="6" t="n">
        <v>0</v>
      </c>
      <c r="AC88" s="6" t="n">
        <v>0</v>
      </c>
      <c r="AD88" s="6" t="n">
        <v>0</v>
      </c>
      <c r="AE88" s="6" t="n">
        <v>0</v>
      </c>
      <c r="AF88" s="6" t="n">
        <v>0</v>
      </c>
      <c r="AG88" s="6" t="n">
        <v>0</v>
      </c>
      <c r="AH88" s="6" t="n">
        <v>0</v>
      </c>
      <c r="AI88" s="6" t="s">
        <v>84</v>
      </c>
    </row>
    <row r="89" customFormat="false" ht="15" hidden="false" customHeight="false" outlineLevel="0" collapsed="false">
      <c r="A89" s="6" t="n">
        <v>88</v>
      </c>
      <c r="B89" s="6" t="s">
        <v>6431</v>
      </c>
      <c r="C89" s="6" t="n">
        <v>2</v>
      </c>
      <c r="D89" s="6" t="s">
        <v>77</v>
      </c>
      <c r="E89" s="6" t="s">
        <v>81</v>
      </c>
      <c r="F89" s="6" t="n">
        <v>2</v>
      </c>
      <c r="G89" s="6" t="n">
        <v>313</v>
      </c>
      <c r="H89" s="6" t="s">
        <v>6432</v>
      </c>
      <c r="I89" s="22" t="n">
        <v>3895700</v>
      </c>
      <c r="J89" s="22" t="n">
        <v>4000</v>
      </c>
      <c r="K89" s="22" t="n">
        <v>292477.5</v>
      </c>
      <c r="L89" s="22" t="n">
        <v>4192177.5</v>
      </c>
      <c r="M89" s="6" t="s">
        <v>171</v>
      </c>
      <c r="N89" s="6" t="s">
        <v>84</v>
      </c>
      <c r="O89" s="6" t="s">
        <v>892</v>
      </c>
      <c r="P89" s="6" t="s">
        <v>85</v>
      </c>
      <c r="Q89" s="6" t="str">
        <f aca="false">IF(P89="pass","No","Yes")</f>
        <v>Yes</v>
      </c>
      <c r="R89" s="6" t="s">
        <v>86</v>
      </c>
      <c r="S89" s="6" t="s">
        <v>892</v>
      </c>
      <c r="T89" s="6" t="s">
        <v>618</v>
      </c>
      <c r="U89" s="23" t="n">
        <v>2.079</v>
      </c>
      <c r="V89" s="6" t="s">
        <v>6433</v>
      </c>
      <c r="W89" s="6" t="s">
        <v>6434</v>
      </c>
      <c r="X89" s="6" t="s">
        <v>6435</v>
      </c>
      <c r="Y89" s="6" t="s">
        <v>86</v>
      </c>
      <c r="Z89" s="6" t="n">
        <v>0</v>
      </c>
      <c r="AA89" s="6" t="n">
        <v>0</v>
      </c>
      <c r="AB89" s="6" t="n">
        <v>0</v>
      </c>
      <c r="AC89" s="6" t="n">
        <v>1</v>
      </c>
      <c r="AD89" s="6" t="n">
        <v>0</v>
      </c>
      <c r="AE89" s="6" t="n">
        <v>0</v>
      </c>
      <c r="AF89" s="6" t="n">
        <v>0</v>
      </c>
      <c r="AG89" s="6" t="n">
        <v>0</v>
      </c>
      <c r="AH89" s="6" t="n">
        <v>0</v>
      </c>
      <c r="AI89" s="6" t="s">
        <v>84</v>
      </c>
    </row>
    <row r="90" customFormat="false" ht="15" hidden="false" customHeight="false" outlineLevel="0" collapsed="false">
      <c r="A90" s="6" t="n">
        <v>89</v>
      </c>
      <c r="B90" s="6" t="s">
        <v>6436</v>
      </c>
      <c r="C90" s="6" t="n">
        <v>2</v>
      </c>
      <c r="D90" s="6" t="s">
        <v>186</v>
      </c>
      <c r="E90" s="6" t="s">
        <v>123</v>
      </c>
      <c r="F90" s="6" t="n">
        <v>2</v>
      </c>
      <c r="G90" s="6" t="n">
        <v>165</v>
      </c>
      <c r="H90" s="6" t="s">
        <v>6437</v>
      </c>
      <c r="I90" s="22" t="n">
        <v>1608900</v>
      </c>
      <c r="J90" s="22" t="n">
        <v>5000</v>
      </c>
      <c r="K90" s="22" t="n">
        <v>121042.5</v>
      </c>
      <c r="L90" s="22" t="n">
        <v>1734942.5</v>
      </c>
      <c r="M90" s="6" t="s">
        <v>57</v>
      </c>
      <c r="N90" s="6" t="s">
        <v>58</v>
      </c>
      <c r="O90" s="6"/>
      <c r="P90" s="6" t="s">
        <v>59</v>
      </c>
      <c r="Q90" s="6" t="str">
        <f aca="false">IF(P90="pass","No","Yes")</f>
        <v>Yes</v>
      </c>
      <c r="R90" s="6" t="s">
        <v>60</v>
      </c>
      <c r="S90" s="6" t="s">
        <v>915</v>
      </c>
      <c r="T90" s="6" t="s">
        <v>6438</v>
      </c>
      <c r="U90" s="23" t="n">
        <v>2.273</v>
      </c>
      <c r="V90" s="6" t="s">
        <v>6439</v>
      </c>
      <c r="W90" s="6" t="s">
        <v>6440</v>
      </c>
      <c r="X90" s="6" t="s">
        <v>6441</v>
      </c>
      <c r="Y90" s="6" t="s">
        <v>60</v>
      </c>
      <c r="Z90" s="6" t="n">
        <v>0</v>
      </c>
      <c r="AA90" s="6" t="n">
        <v>0</v>
      </c>
      <c r="AB90" s="6" t="n">
        <v>0</v>
      </c>
      <c r="AC90" s="6" t="n">
        <v>0</v>
      </c>
      <c r="AD90" s="6" t="n">
        <v>0</v>
      </c>
      <c r="AE90" s="6" t="n">
        <v>0</v>
      </c>
      <c r="AF90" s="6" t="n">
        <v>0</v>
      </c>
      <c r="AG90" s="6" t="n">
        <v>0</v>
      </c>
      <c r="AH90" s="6" t="n">
        <v>1</v>
      </c>
      <c r="AI90" s="6" t="s">
        <v>84</v>
      </c>
    </row>
    <row r="91" customFormat="false" ht="15" hidden="false" customHeight="false" outlineLevel="0" collapsed="false">
      <c r="A91" s="6" t="n">
        <v>90</v>
      </c>
      <c r="B91" s="6" t="s">
        <v>6442</v>
      </c>
      <c r="C91" s="6" t="n">
        <v>2</v>
      </c>
      <c r="D91" s="6" t="s">
        <v>105</v>
      </c>
      <c r="E91" s="6" t="s">
        <v>146</v>
      </c>
      <c r="F91" s="6" t="n">
        <v>3</v>
      </c>
      <c r="G91" s="6" t="n">
        <v>79</v>
      </c>
      <c r="H91" s="6" t="s">
        <v>6443</v>
      </c>
      <c r="I91" s="22" t="n">
        <v>1605500</v>
      </c>
      <c r="J91" s="22" t="n">
        <v>0</v>
      </c>
      <c r="K91" s="22" t="n">
        <v>120412.5</v>
      </c>
      <c r="L91" s="22" t="n">
        <v>1725912.5</v>
      </c>
      <c r="M91" s="6" t="s">
        <v>148</v>
      </c>
      <c r="N91" s="6" t="s">
        <v>84</v>
      </c>
      <c r="O91" s="6" t="s">
        <v>866</v>
      </c>
      <c r="P91" s="6" t="s">
        <v>85</v>
      </c>
      <c r="Q91" s="6" t="str">
        <f aca="false">IF(P91="pass","No","Yes")</f>
        <v>Yes</v>
      </c>
      <c r="R91" s="6" t="s">
        <v>86</v>
      </c>
      <c r="S91" s="6" t="s">
        <v>866</v>
      </c>
      <c r="T91" s="6" t="s">
        <v>150</v>
      </c>
      <c r="U91" s="23" t="n">
        <v>1.837</v>
      </c>
      <c r="V91" s="6" t="s">
        <v>6444</v>
      </c>
      <c r="W91" s="6" t="s">
        <v>6445</v>
      </c>
      <c r="X91" s="6" t="s">
        <v>6446</v>
      </c>
      <c r="Y91" s="6" t="s">
        <v>86</v>
      </c>
      <c r="Z91" s="6" t="n">
        <v>1</v>
      </c>
      <c r="AA91" s="6" t="n">
        <v>0</v>
      </c>
      <c r="AB91" s="6" t="n">
        <v>0</v>
      </c>
      <c r="AC91" s="6" t="n">
        <v>0</v>
      </c>
      <c r="AD91" s="6" t="n">
        <v>0</v>
      </c>
      <c r="AE91" s="6" t="n">
        <v>0</v>
      </c>
      <c r="AF91" s="6" t="n">
        <v>0</v>
      </c>
      <c r="AG91" s="6" t="n">
        <v>0</v>
      </c>
      <c r="AH91" s="6" t="n">
        <v>0</v>
      </c>
      <c r="AI91" s="6" t="s">
        <v>84</v>
      </c>
    </row>
    <row r="92" customFormat="false" ht="15" hidden="false" customHeight="false" outlineLevel="0" collapsed="false">
      <c r="A92" s="6" t="n">
        <v>91</v>
      </c>
      <c r="B92" s="6" t="s">
        <v>6447</v>
      </c>
      <c r="C92" s="6" t="n">
        <v>2</v>
      </c>
      <c r="D92" s="6" t="s">
        <v>186</v>
      </c>
      <c r="E92" s="6" t="s">
        <v>123</v>
      </c>
      <c r="F92" s="6" t="n">
        <v>3</v>
      </c>
      <c r="G92" s="6" t="n">
        <v>228</v>
      </c>
      <c r="H92" s="6" t="s">
        <v>6448</v>
      </c>
      <c r="I92" s="22" t="n">
        <v>2891300</v>
      </c>
      <c r="J92" s="22" t="n">
        <v>5000</v>
      </c>
      <c r="K92" s="22" t="n">
        <v>217222.5</v>
      </c>
      <c r="L92" s="22" t="n">
        <v>3113522.5</v>
      </c>
      <c r="M92" s="6" t="s">
        <v>57</v>
      </c>
      <c r="N92" s="6" t="s">
        <v>58</v>
      </c>
      <c r="O92" s="6"/>
      <c r="P92" s="6" t="s">
        <v>59</v>
      </c>
      <c r="Q92" s="6" t="str">
        <f aca="false">IF(P92="pass","No","Yes")</f>
        <v>Yes</v>
      </c>
      <c r="R92" s="6" t="s">
        <v>60</v>
      </c>
      <c r="S92" s="6" t="s">
        <v>915</v>
      </c>
      <c r="T92" s="6" t="s">
        <v>6449</v>
      </c>
      <c r="U92" s="23" t="n">
        <v>2.276</v>
      </c>
      <c r="V92" s="6" t="s">
        <v>6450</v>
      </c>
      <c r="W92" s="6" t="s">
        <v>6451</v>
      </c>
      <c r="X92" s="6" t="s">
        <v>6452</v>
      </c>
      <c r="Y92" s="6" t="s">
        <v>60</v>
      </c>
      <c r="Z92" s="6" t="n">
        <v>0</v>
      </c>
      <c r="AA92" s="6" t="n">
        <v>0</v>
      </c>
      <c r="AB92" s="6" t="n">
        <v>0</v>
      </c>
      <c r="AC92" s="6" t="n">
        <v>0</v>
      </c>
      <c r="AD92" s="6" t="n">
        <v>0</v>
      </c>
      <c r="AE92" s="6" t="n">
        <v>0</v>
      </c>
      <c r="AF92" s="6" t="n">
        <v>0</v>
      </c>
      <c r="AG92" s="6" t="n">
        <v>0</v>
      </c>
      <c r="AH92" s="6" t="n">
        <v>1</v>
      </c>
      <c r="AI92" s="6" t="s">
        <v>84</v>
      </c>
    </row>
    <row r="93" customFormat="false" ht="15" hidden="false" customHeight="false" outlineLevel="0" collapsed="false">
      <c r="A93" s="6" t="n">
        <v>92</v>
      </c>
      <c r="B93" s="6" t="s">
        <v>6453</v>
      </c>
      <c r="C93" s="6" t="n">
        <v>2</v>
      </c>
      <c r="D93" s="6" t="s">
        <v>127</v>
      </c>
      <c r="E93" s="6" t="s">
        <v>55</v>
      </c>
      <c r="F93" s="6" t="n">
        <v>1</v>
      </c>
      <c r="G93" s="6" t="n">
        <v>58</v>
      </c>
      <c r="H93" s="6" t="s">
        <v>6454</v>
      </c>
      <c r="I93" s="22" t="n">
        <v>498800</v>
      </c>
      <c r="J93" s="22" t="n">
        <v>6000</v>
      </c>
      <c r="K93" s="22" t="n">
        <v>37860</v>
      </c>
      <c r="L93" s="22" t="n">
        <v>542660</v>
      </c>
      <c r="M93" s="6" t="s">
        <v>984</v>
      </c>
      <c r="N93" s="6" t="s">
        <v>84</v>
      </c>
      <c r="O93" s="6" t="s">
        <v>985</v>
      </c>
      <c r="P93" s="6" t="s">
        <v>85</v>
      </c>
      <c r="Q93" s="6" t="str">
        <f aca="false">IF(P93="pass","No","Yes")</f>
        <v>Yes</v>
      </c>
      <c r="R93" s="6" t="s">
        <v>86</v>
      </c>
      <c r="S93" s="6" t="s">
        <v>985</v>
      </c>
      <c r="T93" s="6" t="s">
        <v>3394</v>
      </c>
      <c r="U93" s="23" t="n">
        <v>1.971</v>
      </c>
      <c r="V93" s="6" t="s">
        <v>6455</v>
      </c>
      <c r="W93" s="6" t="s">
        <v>6456</v>
      </c>
      <c r="X93" s="6" t="s">
        <v>6457</v>
      </c>
      <c r="Y93" s="6" t="s">
        <v>86</v>
      </c>
      <c r="Z93" s="6" t="n">
        <v>0</v>
      </c>
      <c r="AA93" s="6" t="n">
        <v>0</v>
      </c>
      <c r="AB93" s="6" t="n">
        <v>0</v>
      </c>
      <c r="AC93" s="6" t="n">
        <v>0</v>
      </c>
      <c r="AD93" s="6" t="n">
        <v>0</v>
      </c>
      <c r="AE93" s="6" t="n">
        <v>1</v>
      </c>
      <c r="AF93" s="6" t="n">
        <v>0</v>
      </c>
      <c r="AG93" s="6" t="n">
        <v>0</v>
      </c>
      <c r="AH93" s="6" t="n">
        <v>0</v>
      </c>
      <c r="AI93" s="6" t="s">
        <v>84</v>
      </c>
    </row>
    <row r="94" customFormat="false" ht="15" hidden="false" customHeight="false" outlineLevel="0" collapsed="false">
      <c r="A94" s="6" t="n">
        <v>93</v>
      </c>
      <c r="B94" s="6" t="s">
        <v>6458</v>
      </c>
      <c r="C94" s="6" t="n">
        <v>2</v>
      </c>
      <c r="D94" s="6" t="s">
        <v>112</v>
      </c>
      <c r="E94" s="6" t="s">
        <v>116</v>
      </c>
      <c r="F94" s="6" t="n">
        <v>2</v>
      </c>
      <c r="G94" s="6" t="n">
        <v>165</v>
      </c>
      <c r="H94" s="6" t="s">
        <v>6459</v>
      </c>
      <c r="I94" s="22" t="n">
        <v>1479500</v>
      </c>
      <c r="J94" s="22" t="n">
        <v>15000</v>
      </c>
      <c r="K94" s="22" t="n">
        <v>112087.5</v>
      </c>
      <c r="L94" s="22" t="n">
        <v>1606587.5</v>
      </c>
      <c r="M94" s="6" t="s">
        <v>927</v>
      </c>
      <c r="N94" s="6" t="s">
        <v>58</v>
      </c>
      <c r="O94" s="6"/>
      <c r="P94" s="6" t="s">
        <v>59</v>
      </c>
      <c r="Q94" s="6" t="str">
        <f aca="false">IF(P94="pass","No","Yes")</f>
        <v>Yes</v>
      </c>
      <c r="R94" s="6" t="s">
        <v>60</v>
      </c>
      <c r="S94" s="6" t="s">
        <v>915</v>
      </c>
      <c r="T94" s="6" t="s">
        <v>6460</v>
      </c>
      <c r="U94" s="23" t="n">
        <v>2.349</v>
      </c>
      <c r="V94" s="6" t="s">
        <v>6461</v>
      </c>
      <c r="W94" s="6" t="s">
        <v>6462</v>
      </c>
      <c r="X94" s="6" t="s">
        <v>6463</v>
      </c>
      <c r="Y94" s="6" t="s">
        <v>60</v>
      </c>
      <c r="Z94" s="6" t="n">
        <v>0</v>
      </c>
      <c r="AA94" s="6" t="n">
        <v>0</v>
      </c>
      <c r="AB94" s="6" t="n">
        <v>0</v>
      </c>
      <c r="AC94" s="6" t="n">
        <v>0</v>
      </c>
      <c r="AD94" s="6" t="n">
        <v>0</v>
      </c>
      <c r="AE94" s="6" t="n">
        <v>0</v>
      </c>
      <c r="AF94" s="6" t="n">
        <v>0</v>
      </c>
      <c r="AG94" s="6" t="n">
        <v>0</v>
      </c>
      <c r="AH94" s="6" t="n">
        <v>1</v>
      </c>
      <c r="AI94" s="6" t="s">
        <v>84</v>
      </c>
    </row>
    <row r="95" customFormat="false" ht="15" hidden="false" customHeight="false" outlineLevel="0" collapsed="false">
      <c r="A95" s="6" t="n">
        <v>94</v>
      </c>
      <c r="B95" s="6" t="s">
        <v>6464</v>
      </c>
      <c r="C95" s="6" t="n">
        <v>2</v>
      </c>
      <c r="D95" s="6" t="s">
        <v>154</v>
      </c>
      <c r="E95" s="6" t="s">
        <v>123</v>
      </c>
      <c r="F95" s="6" t="n">
        <v>1</v>
      </c>
      <c r="G95" s="6" t="n">
        <v>79</v>
      </c>
      <c r="H95" s="6" t="s">
        <v>6465</v>
      </c>
      <c r="I95" s="22" t="n">
        <v>750500</v>
      </c>
      <c r="J95" s="22" t="n">
        <v>5000</v>
      </c>
      <c r="K95" s="22" t="n">
        <v>56662.5</v>
      </c>
      <c r="L95" s="22" t="n">
        <v>812162.5</v>
      </c>
      <c r="M95" s="6" t="s">
        <v>984</v>
      </c>
      <c r="N95" s="6" t="s">
        <v>84</v>
      </c>
      <c r="O95" s="6" t="s">
        <v>985</v>
      </c>
      <c r="P95" s="6" t="s">
        <v>85</v>
      </c>
      <c r="Q95" s="6" t="str">
        <f aca="false">IF(P95="pass","No","Yes")</f>
        <v>Yes</v>
      </c>
      <c r="R95" s="6" t="s">
        <v>86</v>
      </c>
      <c r="S95" s="6" t="s">
        <v>985</v>
      </c>
      <c r="T95" s="6" t="s">
        <v>986</v>
      </c>
      <c r="U95" s="23" t="n">
        <v>1.742</v>
      </c>
      <c r="V95" s="6" t="s">
        <v>6466</v>
      </c>
      <c r="W95" s="6" t="s">
        <v>6467</v>
      </c>
      <c r="X95" s="6" t="s">
        <v>6468</v>
      </c>
      <c r="Y95" s="6" t="s">
        <v>86</v>
      </c>
      <c r="Z95" s="6" t="n">
        <v>0</v>
      </c>
      <c r="AA95" s="6" t="n">
        <v>0</v>
      </c>
      <c r="AB95" s="6" t="n">
        <v>0</v>
      </c>
      <c r="AC95" s="6" t="n">
        <v>0</v>
      </c>
      <c r="AD95" s="6" t="n">
        <v>0</v>
      </c>
      <c r="AE95" s="6" t="n">
        <v>1</v>
      </c>
      <c r="AF95" s="6" t="n">
        <v>0</v>
      </c>
      <c r="AG95" s="6" t="n">
        <v>0</v>
      </c>
      <c r="AH95" s="6" t="n">
        <v>0</v>
      </c>
      <c r="AI95" s="6" t="s">
        <v>84</v>
      </c>
    </row>
    <row r="96" customFormat="false" ht="15" hidden="false" customHeight="false" outlineLevel="0" collapsed="false">
      <c r="A96" s="6" t="n">
        <v>95</v>
      </c>
      <c r="B96" s="6" t="s">
        <v>6469</v>
      </c>
      <c r="C96" s="6" t="n">
        <v>2</v>
      </c>
      <c r="D96" s="6" t="s">
        <v>89</v>
      </c>
      <c r="E96" s="6" t="s">
        <v>67</v>
      </c>
      <c r="F96" s="6" t="n">
        <v>3</v>
      </c>
      <c r="G96" s="6" t="n">
        <v>877</v>
      </c>
      <c r="H96" s="6" t="s">
        <v>6470</v>
      </c>
      <c r="I96" s="22" t="n">
        <v>8253300</v>
      </c>
      <c r="J96" s="22" t="n">
        <v>4500</v>
      </c>
      <c r="K96" s="22" t="n">
        <v>619335</v>
      </c>
      <c r="L96" s="22" t="n">
        <v>8877135</v>
      </c>
      <c r="M96" s="6" t="s">
        <v>171</v>
      </c>
      <c r="N96" s="6" t="s">
        <v>84</v>
      </c>
      <c r="O96" s="6" t="s">
        <v>892</v>
      </c>
      <c r="P96" s="6" t="s">
        <v>85</v>
      </c>
      <c r="Q96" s="6" t="str">
        <f aca="false">IF(P96="pass","No","Yes")</f>
        <v>Yes</v>
      </c>
      <c r="R96" s="6" t="s">
        <v>86</v>
      </c>
      <c r="S96" s="6" t="s">
        <v>893</v>
      </c>
      <c r="T96" s="6" t="s">
        <v>1513</v>
      </c>
      <c r="U96" s="23" t="n">
        <v>2.095</v>
      </c>
      <c r="V96" s="6" t="s">
        <v>6471</v>
      </c>
      <c r="W96" s="6" t="s">
        <v>6472</v>
      </c>
      <c r="X96" s="6" t="s">
        <v>6473</v>
      </c>
      <c r="Y96" s="6" t="s">
        <v>86</v>
      </c>
      <c r="Z96" s="6" t="n">
        <v>0</v>
      </c>
      <c r="AA96" s="6" t="n">
        <v>0</v>
      </c>
      <c r="AB96" s="6" t="n">
        <v>0</v>
      </c>
      <c r="AC96" s="6" t="n">
        <v>1</v>
      </c>
      <c r="AD96" s="6" t="n">
        <v>0</v>
      </c>
      <c r="AE96" s="6" t="n">
        <v>0</v>
      </c>
      <c r="AF96" s="6" t="n">
        <v>0</v>
      </c>
      <c r="AG96" s="6" t="n">
        <v>0</v>
      </c>
      <c r="AH96" s="6" t="n">
        <v>1</v>
      </c>
      <c r="AI96" s="6" t="s">
        <v>84</v>
      </c>
    </row>
    <row r="97" customFormat="false" ht="15" hidden="false" customHeight="false" outlineLevel="0" collapsed="false">
      <c r="A97" s="6" t="n">
        <v>96</v>
      </c>
      <c r="B97" s="6" t="s">
        <v>6474</v>
      </c>
      <c r="C97" s="6" t="n">
        <v>2</v>
      </c>
      <c r="D97" s="6" t="s">
        <v>105</v>
      </c>
      <c r="E97" s="6" t="s">
        <v>81</v>
      </c>
      <c r="F97" s="6" t="n">
        <v>2</v>
      </c>
      <c r="G97" s="6" t="n">
        <v>212</v>
      </c>
      <c r="H97" s="6" t="s">
        <v>6475</v>
      </c>
      <c r="I97" s="22" t="n">
        <v>2179600</v>
      </c>
      <c r="J97" s="22" t="n">
        <v>4000</v>
      </c>
      <c r="K97" s="22" t="n">
        <v>163770</v>
      </c>
      <c r="L97" s="22" t="n">
        <v>2347370</v>
      </c>
      <c r="M97" s="6" t="s">
        <v>94</v>
      </c>
      <c r="N97" s="6" t="s">
        <v>84</v>
      </c>
      <c r="O97" s="6" t="s">
        <v>909</v>
      </c>
      <c r="P97" s="6" t="s">
        <v>85</v>
      </c>
      <c r="Q97" s="6" t="str">
        <f aca="false">IF(P97="pass","No","Yes")</f>
        <v>Yes</v>
      </c>
      <c r="R97" s="6" t="s">
        <v>86</v>
      </c>
      <c r="S97" s="6" t="s">
        <v>1544</v>
      </c>
      <c r="T97" s="6" t="s">
        <v>6476</v>
      </c>
      <c r="U97" s="23" t="n">
        <v>2.056</v>
      </c>
      <c r="V97" s="6" t="s">
        <v>6477</v>
      </c>
      <c r="W97" s="6" t="s">
        <v>6478</v>
      </c>
      <c r="X97" s="6" t="s">
        <v>6479</v>
      </c>
      <c r="Y97" s="6" t="s">
        <v>86</v>
      </c>
      <c r="Z97" s="6" t="n">
        <v>0</v>
      </c>
      <c r="AA97" s="6" t="n">
        <v>0</v>
      </c>
      <c r="AB97" s="6" t="n">
        <v>0</v>
      </c>
      <c r="AC97" s="6" t="n">
        <v>0</v>
      </c>
      <c r="AD97" s="6" t="n">
        <v>0</v>
      </c>
      <c r="AE97" s="6" t="n">
        <v>0</v>
      </c>
      <c r="AF97" s="6" t="n">
        <v>1</v>
      </c>
      <c r="AG97" s="6" t="n">
        <v>0</v>
      </c>
      <c r="AH97" s="6" t="n">
        <v>1</v>
      </c>
      <c r="AI97" s="6" t="s">
        <v>84</v>
      </c>
    </row>
    <row r="98" customFormat="false" ht="15" hidden="false" customHeight="false" outlineLevel="0" collapsed="false">
      <c r="A98" s="6" t="n">
        <v>97</v>
      </c>
      <c r="B98" s="6" t="s">
        <v>6480</v>
      </c>
      <c r="C98" s="6" t="n">
        <v>2</v>
      </c>
      <c r="D98" s="6" t="s">
        <v>191</v>
      </c>
      <c r="E98" s="6" t="s">
        <v>116</v>
      </c>
      <c r="F98" s="6" t="n">
        <v>4</v>
      </c>
      <c r="G98" s="6" t="n">
        <v>68</v>
      </c>
      <c r="H98" s="6" t="s">
        <v>6481</v>
      </c>
      <c r="I98" s="22" t="n">
        <v>1467100</v>
      </c>
      <c r="J98" s="22" t="n">
        <v>15000</v>
      </c>
      <c r="K98" s="22" t="n">
        <v>111157.5</v>
      </c>
      <c r="L98" s="22" t="n">
        <v>1593257.5</v>
      </c>
      <c r="M98" s="6" t="s">
        <v>1009</v>
      </c>
      <c r="N98" s="6" t="s">
        <v>58</v>
      </c>
      <c r="O98" s="6"/>
      <c r="P98" s="6" t="s">
        <v>69</v>
      </c>
      <c r="Q98" s="6" t="str">
        <f aca="false">IF(P98="pass","No","Yes")</f>
        <v>No</v>
      </c>
      <c r="R98" s="6" t="s">
        <v>60</v>
      </c>
      <c r="S98" s="6"/>
      <c r="T98" s="6"/>
      <c r="U98" s="23" t="n">
        <v>2.287</v>
      </c>
      <c r="V98" s="6" t="s">
        <v>6482</v>
      </c>
      <c r="W98" s="6" t="s">
        <v>6483</v>
      </c>
      <c r="X98" s="6" t="s">
        <v>6484</v>
      </c>
      <c r="Y98" s="6" t="s">
        <v>60</v>
      </c>
      <c r="Z98" s="6" t="n">
        <v>0</v>
      </c>
      <c r="AA98" s="6" t="n">
        <v>0</v>
      </c>
      <c r="AB98" s="6" t="n">
        <v>0</v>
      </c>
      <c r="AC98" s="6" t="n">
        <v>0</v>
      </c>
      <c r="AD98" s="6" t="n">
        <v>0</v>
      </c>
      <c r="AE98" s="6" t="n">
        <v>0</v>
      </c>
      <c r="AF98" s="6" t="n">
        <v>0</v>
      </c>
      <c r="AG98" s="6" t="n">
        <v>0</v>
      </c>
      <c r="AH98" s="6" t="n">
        <v>0</v>
      </c>
      <c r="AI98" s="6" t="s">
        <v>84</v>
      </c>
    </row>
    <row r="99" customFormat="false" ht="15" hidden="false" customHeight="false" outlineLevel="0" collapsed="false">
      <c r="A99" s="6" t="n">
        <v>98</v>
      </c>
      <c r="B99" s="6" t="s">
        <v>6485</v>
      </c>
      <c r="C99" s="6" t="n">
        <v>2</v>
      </c>
      <c r="D99" s="6" t="s">
        <v>127</v>
      </c>
      <c r="E99" s="6" t="s">
        <v>55</v>
      </c>
      <c r="F99" s="6" t="n">
        <v>1</v>
      </c>
      <c r="G99" s="6" t="n">
        <v>52</v>
      </c>
      <c r="H99" s="6" t="s">
        <v>6486</v>
      </c>
      <c r="I99" s="22" t="n">
        <v>650000</v>
      </c>
      <c r="J99" s="22" t="n">
        <v>6000</v>
      </c>
      <c r="K99" s="22" t="n">
        <v>49200</v>
      </c>
      <c r="L99" s="22" t="n">
        <v>705200</v>
      </c>
      <c r="M99" s="6" t="s">
        <v>57</v>
      </c>
      <c r="N99" s="6" t="s">
        <v>58</v>
      </c>
      <c r="O99" s="6"/>
      <c r="P99" s="6" t="s">
        <v>69</v>
      </c>
      <c r="Q99" s="6" t="str">
        <f aca="false">IF(P99="pass","No","Yes")</f>
        <v>No</v>
      </c>
      <c r="R99" s="6" t="s">
        <v>60</v>
      </c>
      <c r="S99" s="6"/>
      <c r="T99" s="6"/>
      <c r="U99" s="23" t="n">
        <v>2.201</v>
      </c>
      <c r="V99" s="6" t="s">
        <v>6487</v>
      </c>
      <c r="W99" s="6" t="s">
        <v>6488</v>
      </c>
      <c r="X99" s="6" t="s">
        <v>6489</v>
      </c>
      <c r="Y99" s="6" t="s">
        <v>60</v>
      </c>
      <c r="Z99" s="6" t="n">
        <v>0</v>
      </c>
      <c r="AA99" s="6" t="n">
        <v>0</v>
      </c>
      <c r="AB99" s="6" t="n">
        <v>0</v>
      </c>
      <c r="AC99" s="6" t="n">
        <v>0</v>
      </c>
      <c r="AD99" s="6" t="n">
        <v>0</v>
      </c>
      <c r="AE99" s="6" t="n">
        <v>0</v>
      </c>
      <c r="AF99" s="6" t="n">
        <v>0</v>
      </c>
      <c r="AG99" s="6" t="n">
        <v>0</v>
      </c>
      <c r="AH99" s="6" t="n">
        <v>0</v>
      </c>
      <c r="AI99" s="6" t="s">
        <v>84</v>
      </c>
    </row>
    <row r="100" customFormat="false" ht="15" hidden="false" customHeight="false" outlineLevel="0" collapsed="false">
      <c r="A100" s="6" t="n">
        <v>99</v>
      </c>
      <c r="B100" s="6" t="s">
        <v>6490</v>
      </c>
      <c r="C100" s="6" t="n">
        <v>2</v>
      </c>
      <c r="D100" s="6" t="s">
        <v>63</v>
      </c>
      <c r="E100" s="6" t="s">
        <v>67</v>
      </c>
      <c r="F100" s="6" t="n">
        <v>3</v>
      </c>
      <c r="G100" s="6" t="n">
        <v>40</v>
      </c>
      <c r="H100" s="6" t="s">
        <v>6491</v>
      </c>
      <c r="I100" s="22" t="n">
        <v>524900</v>
      </c>
      <c r="J100" s="22" t="n">
        <v>4500</v>
      </c>
      <c r="K100" s="22" t="n">
        <v>39705</v>
      </c>
      <c r="L100" s="22" t="n">
        <v>569105</v>
      </c>
      <c r="M100" s="6" t="s">
        <v>224</v>
      </c>
      <c r="N100" s="6" t="s">
        <v>84</v>
      </c>
      <c r="O100" s="6" t="s">
        <v>866</v>
      </c>
      <c r="P100" s="6" t="s">
        <v>85</v>
      </c>
      <c r="Q100" s="6" t="str">
        <f aca="false">IF(P100="pass","No","Yes")</f>
        <v>Yes</v>
      </c>
      <c r="R100" s="6" t="s">
        <v>86</v>
      </c>
      <c r="S100" s="6" t="s">
        <v>866</v>
      </c>
      <c r="T100" s="6" t="s">
        <v>225</v>
      </c>
      <c r="U100" s="23" t="n">
        <v>1.892</v>
      </c>
      <c r="V100" s="6" t="s">
        <v>6492</v>
      </c>
      <c r="W100" s="6" t="s">
        <v>6493</v>
      </c>
      <c r="X100" s="6" t="s">
        <v>6494</v>
      </c>
      <c r="Y100" s="6" t="s">
        <v>86</v>
      </c>
      <c r="Z100" s="6" t="n">
        <v>1</v>
      </c>
      <c r="AA100" s="6" t="n">
        <v>0</v>
      </c>
      <c r="AB100" s="6" t="n">
        <v>0</v>
      </c>
      <c r="AC100" s="6" t="n">
        <v>0</v>
      </c>
      <c r="AD100" s="6" t="n">
        <v>0</v>
      </c>
      <c r="AE100" s="6" t="n">
        <v>0</v>
      </c>
      <c r="AF100" s="6" t="n">
        <v>0</v>
      </c>
      <c r="AG100" s="6" t="n">
        <v>0</v>
      </c>
      <c r="AH100" s="6" t="n">
        <v>0</v>
      </c>
      <c r="AI100" s="6" t="s">
        <v>58</v>
      </c>
    </row>
    <row r="101" customFormat="false" ht="15" hidden="false" customHeight="false" outlineLevel="0" collapsed="false">
      <c r="A101" s="6" t="n">
        <v>100</v>
      </c>
      <c r="B101" s="6" t="s">
        <v>6495</v>
      </c>
      <c r="C101" s="6" t="n">
        <v>2</v>
      </c>
      <c r="D101" s="6" t="s">
        <v>105</v>
      </c>
      <c r="E101" s="6" t="s">
        <v>81</v>
      </c>
      <c r="F101" s="6" t="n">
        <v>2</v>
      </c>
      <c r="G101" s="6" t="n">
        <v>229</v>
      </c>
      <c r="H101" s="6" t="s">
        <v>6496</v>
      </c>
      <c r="I101" s="22" t="n">
        <v>1807500</v>
      </c>
      <c r="J101" s="22" t="n">
        <v>4000</v>
      </c>
      <c r="K101" s="22" t="n">
        <v>135862.5</v>
      </c>
      <c r="L101" s="22" t="n">
        <v>1947362.5</v>
      </c>
      <c r="M101" s="6" t="s">
        <v>927</v>
      </c>
      <c r="N101" s="6" t="s">
        <v>58</v>
      </c>
      <c r="O101" s="6"/>
      <c r="P101" s="6" t="s">
        <v>59</v>
      </c>
      <c r="Q101" s="6" t="str">
        <f aca="false">IF(P101="pass","No","Yes")</f>
        <v>Yes</v>
      </c>
      <c r="R101" s="6" t="s">
        <v>60</v>
      </c>
      <c r="S101" s="6" t="s">
        <v>915</v>
      </c>
      <c r="T101" s="6" t="s">
        <v>6497</v>
      </c>
      <c r="U101" s="23" t="n">
        <v>2.507</v>
      </c>
      <c r="V101" s="6" t="s">
        <v>6498</v>
      </c>
      <c r="W101" s="6" t="s">
        <v>6499</v>
      </c>
      <c r="X101" s="6" t="s">
        <v>6500</v>
      </c>
      <c r="Y101" s="6" t="s">
        <v>60</v>
      </c>
      <c r="Z101" s="6" t="n">
        <v>0</v>
      </c>
      <c r="AA101" s="6" t="n">
        <v>0</v>
      </c>
      <c r="AB101" s="6" t="n">
        <v>0</v>
      </c>
      <c r="AC101" s="6" t="n">
        <v>0</v>
      </c>
      <c r="AD101" s="6" t="n">
        <v>0</v>
      </c>
      <c r="AE101" s="6" t="n">
        <v>0</v>
      </c>
      <c r="AF101" s="6" t="n">
        <v>0</v>
      </c>
      <c r="AG101" s="6" t="n">
        <v>0</v>
      </c>
      <c r="AH101" s="6" t="n">
        <v>1</v>
      </c>
      <c r="AI101" s="6" t="s">
        <v>84</v>
      </c>
    </row>
    <row r="102" customFormat="false" ht="15" hidden="false" customHeight="false" outlineLevel="0" collapsed="false">
      <c r="A102" s="6" t="n">
        <v>101</v>
      </c>
      <c r="B102" s="6" t="s">
        <v>6501</v>
      </c>
      <c r="C102" s="6" t="n">
        <v>3</v>
      </c>
      <c r="D102" s="6" t="s">
        <v>186</v>
      </c>
      <c r="E102" s="6" t="s">
        <v>123</v>
      </c>
      <c r="F102" s="6" t="n">
        <v>4</v>
      </c>
      <c r="G102" s="6" t="n">
        <v>71</v>
      </c>
      <c r="H102" s="6" t="s">
        <v>6502</v>
      </c>
      <c r="I102" s="22" t="n">
        <v>938700</v>
      </c>
      <c r="J102" s="22" t="n">
        <v>5000</v>
      </c>
      <c r="K102" s="22" t="n">
        <v>70777.5</v>
      </c>
      <c r="L102" s="22" t="n">
        <v>1014477.5</v>
      </c>
      <c r="M102" s="6" t="s">
        <v>272</v>
      </c>
      <c r="N102" s="6" t="s">
        <v>84</v>
      </c>
      <c r="O102" s="6" t="s">
        <v>879</v>
      </c>
      <c r="P102" s="6" t="s">
        <v>85</v>
      </c>
      <c r="Q102" s="6" t="str">
        <f aca="false">IF(P102="pass","No","Yes")</f>
        <v>Yes</v>
      </c>
      <c r="R102" s="6" t="s">
        <v>86</v>
      </c>
      <c r="S102" s="6" t="s">
        <v>879</v>
      </c>
      <c r="T102" s="6" t="s">
        <v>6503</v>
      </c>
      <c r="U102" s="23" t="n">
        <v>1.892</v>
      </c>
      <c r="V102" s="6" t="s">
        <v>6504</v>
      </c>
      <c r="W102" s="6" t="s">
        <v>6505</v>
      </c>
      <c r="X102" s="6" t="s">
        <v>6506</v>
      </c>
      <c r="Y102" s="6" t="s">
        <v>86</v>
      </c>
      <c r="Z102" s="6" t="n">
        <v>0</v>
      </c>
      <c r="AA102" s="6" t="n">
        <v>1</v>
      </c>
      <c r="AB102" s="6" t="n">
        <v>0</v>
      </c>
      <c r="AC102" s="6" t="n">
        <v>0</v>
      </c>
      <c r="AD102" s="6" t="n">
        <v>0</v>
      </c>
      <c r="AE102" s="6" t="n">
        <v>0</v>
      </c>
      <c r="AF102" s="6" t="n">
        <v>0</v>
      </c>
      <c r="AG102" s="6" t="n">
        <v>0</v>
      </c>
      <c r="AH102" s="6" t="n">
        <v>0</v>
      </c>
      <c r="AI102" s="6" t="s">
        <v>84</v>
      </c>
    </row>
    <row r="103" customFormat="false" ht="15" hidden="false" customHeight="false" outlineLevel="0" collapsed="false">
      <c r="A103" s="6" t="n">
        <v>102</v>
      </c>
      <c r="B103" s="6" t="s">
        <v>6507</v>
      </c>
      <c r="C103" s="6" t="n">
        <v>3</v>
      </c>
      <c r="D103" s="6" t="s">
        <v>51</v>
      </c>
      <c r="E103" s="6" t="s">
        <v>55</v>
      </c>
      <c r="F103" s="6" t="n">
        <v>1</v>
      </c>
      <c r="G103" s="6" t="n">
        <v>10</v>
      </c>
      <c r="H103" s="6" t="s">
        <v>865</v>
      </c>
      <c r="I103" s="22" t="n">
        <v>520000</v>
      </c>
      <c r="J103" s="22" t="n">
        <v>6000</v>
      </c>
      <c r="K103" s="22" t="n">
        <v>39450</v>
      </c>
      <c r="L103" s="22" t="n">
        <v>565450</v>
      </c>
      <c r="M103" s="6" t="s">
        <v>57</v>
      </c>
      <c r="N103" s="6" t="s">
        <v>58</v>
      </c>
      <c r="O103" s="6"/>
      <c r="P103" s="6" t="s">
        <v>69</v>
      </c>
      <c r="Q103" s="6" t="str">
        <f aca="false">IF(P103="pass","No","Yes")</f>
        <v>No</v>
      </c>
      <c r="R103" s="6" t="s">
        <v>60</v>
      </c>
      <c r="S103" s="6"/>
      <c r="T103" s="6"/>
      <c r="U103" s="23" t="n">
        <v>2.272</v>
      </c>
      <c r="V103" s="6" t="s">
        <v>6508</v>
      </c>
      <c r="W103" s="6" t="s">
        <v>6509</v>
      </c>
      <c r="X103" s="6" t="s">
        <v>6510</v>
      </c>
      <c r="Y103" s="6" t="s">
        <v>60</v>
      </c>
      <c r="Z103" s="6" t="n">
        <v>0</v>
      </c>
      <c r="AA103" s="6" t="n">
        <v>0</v>
      </c>
      <c r="AB103" s="6" t="n">
        <v>0</v>
      </c>
      <c r="AC103" s="6" t="n">
        <v>0</v>
      </c>
      <c r="AD103" s="6" t="n">
        <v>0</v>
      </c>
      <c r="AE103" s="6" t="n">
        <v>0</v>
      </c>
      <c r="AF103" s="6" t="n">
        <v>0</v>
      </c>
      <c r="AG103" s="6" t="n">
        <v>0</v>
      </c>
      <c r="AH103" s="6" t="n">
        <v>0</v>
      </c>
      <c r="AI103" s="6" t="s">
        <v>84</v>
      </c>
    </row>
    <row r="104" customFormat="false" ht="15" hidden="false" customHeight="false" outlineLevel="0" collapsed="false">
      <c r="A104" s="6" t="n">
        <v>103</v>
      </c>
      <c r="B104" s="6" t="s">
        <v>6511</v>
      </c>
      <c r="C104" s="6" t="n">
        <v>3</v>
      </c>
      <c r="D104" s="6" t="s">
        <v>186</v>
      </c>
      <c r="E104" s="6" t="s">
        <v>146</v>
      </c>
      <c r="F104" s="6" t="n">
        <v>1</v>
      </c>
      <c r="G104" s="6" t="n">
        <v>10</v>
      </c>
      <c r="H104" s="6" t="s">
        <v>6512</v>
      </c>
      <c r="I104" s="22" t="n">
        <v>380000</v>
      </c>
      <c r="J104" s="22" t="n">
        <v>0</v>
      </c>
      <c r="K104" s="22" t="n">
        <v>28500</v>
      </c>
      <c r="L104" s="22" t="n">
        <v>408500</v>
      </c>
      <c r="M104" s="6" t="s">
        <v>148</v>
      </c>
      <c r="N104" s="6" t="s">
        <v>84</v>
      </c>
      <c r="O104" s="6" t="s">
        <v>866</v>
      </c>
      <c r="P104" s="6" t="s">
        <v>85</v>
      </c>
      <c r="Q104" s="6" t="str">
        <f aca="false">IF(P104="pass","No","Yes")</f>
        <v>Yes</v>
      </c>
      <c r="R104" s="6" t="s">
        <v>86</v>
      </c>
      <c r="S104" s="6" t="s">
        <v>866</v>
      </c>
      <c r="T104" s="6" t="s">
        <v>150</v>
      </c>
      <c r="U104" s="23" t="n">
        <v>1.873</v>
      </c>
      <c r="V104" s="6" t="s">
        <v>6513</v>
      </c>
      <c r="W104" s="6" t="s">
        <v>6514</v>
      </c>
      <c r="X104" s="6" t="s">
        <v>6515</v>
      </c>
      <c r="Y104" s="6" t="s">
        <v>86</v>
      </c>
      <c r="Z104" s="6" t="n">
        <v>1</v>
      </c>
      <c r="AA104" s="6" t="n">
        <v>0</v>
      </c>
      <c r="AB104" s="6" t="n">
        <v>0</v>
      </c>
      <c r="AC104" s="6" t="n">
        <v>0</v>
      </c>
      <c r="AD104" s="6" t="n">
        <v>0</v>
      </c>
      <c r="AE104" s="6" t="n">
        <v>0</v>
      </c>
      <c r="AF104" s="6" t="n">
        <v>0</v>
      </c>
      <c r="AG104" s="6" t="n">
        <v>0</v>
      </c>
      <c r="AH104" s="6" t="n">
        <v>0</v>
      </c>
      <c r="AI104" s="6" t="s">
        <v>84</v>
      </c>
    </row>
    <row r="105" customFormat="false" ht="15" hidden="false" customHeight="false" outlineLevel="0" collapsed="false">
      <c r="A105" s="6" t="n">
        <v>104</v>
      </c>
      <c r="B105" s="6" t="s">
        <v>6516</v>
      </c>
      <c r="C105" s="6" t="n">
        <v>3</v>
      </c>
      <c r="D105" s="6" t="s">
        <v>198</v>
      </c>
      <c r="E105" s="6" t="s">
        <v>81</v>
      </c>
      <c r="F105" s="6" t="n">
        <v>1</v>
      </c>
      <c r="G105" s="6" t="n">
        <v>9</v>
      </c>
      <c r="H105" s="6" t="s">
        <v>1533</v>
      </c>
      <c r="I105" s="22" t="n">
        <v>130500</v>
      </c>
      <c r="J105" s="22" t="n">
        <v>4000</v>
      </c>
      <c r="K105" s="22" t="n">
        <v>10087.5</v>
      </c>
      <c r="L105" s="22" t="n">
        <v>144587.5</v>
      </c>
      <c r="M105" s="6" t="s">
        <v>57</v>
      </c>
      <c r="N105" s="6" t="s">
        <v>58</v>
      </c>
      <c r="O105" s="6"/>
      <c r="P105" s="6" t="s">
        <v>69</v>
      </c>
      <c r="Q105" s="6" t="str">
        <f aca="false">IF(P105="pass","No","Yes")</f>
        <v>No</v>
      </c>
      <c r="R105" s="6" t="s">
        <v>60</v>
      </c>
      <c r="S105" s="6"/>
      <c r="T105" s="6"/>
      <c r="U105" s="23" t="n">
        <v>2.19</v>
      </c>
      <c r="V105" s="6" t="s">
        <v>6517</v>
      </c>
      <c r="W105" s="6" t="s">
        <v>6518</v>
      </c>
      <c r="X105" s="6" t="s">
        <v>6519</v>
      </c>
      <c r="Y105" s="6" t="s">
        <v>60</v>
      </c>
      <c r="Z105" s="6" t="n">
        <v>0</v>
      </c>
      <c r="AA105" s="6" t="n">
        <v>0</v>
      </c>
      <c r="AB105" s="6" t="n">
        <v>0</v>
      </c>
      <c r="AC105" s="6" t="n">
        <v>0</v>
      </c>
      <c r="AD105" s="6" t="n">
        <v>0</v>
      </c>
      <c r="AE105" s="6" t="n">
        <v>0</v>
      </c>
      <c r="AF105" s="6" t="n">
        <v>0</v>
      </c>
      <c r="AG105" s="6" t="n">
        <v>0</v>
      </c>
      <c r="AH105" s="6" t="n">
        <v>0</v>
      </c>
      <c r="AI105" s="6" t="s">
        <v>84</v>
      </c>
    </row>
    <row r="106" customFormat="false" ht="15" hidden="false" customHeight="false" outlineLevel="0" collapsed="false">
      <c r="A106" s="6" t="n">
        <v>105</v>
      </c>
      <c r="B106" s="6" t="s">
        <v>6520</v>
      </c>
      <c r="C106" s="6" t="n">
        <v>3</v>
      </c>
      <c r="D106" s="6" t="s">
        <v>119</v>
      </c>
      <c r="E106" s="6" t="s">
        <v>123</v>
      </c>
      <c r="F106" s="6" t="n">
        <v>3</v>
      </c>
      <c r="G106" s="6" t="n">
        <v>92</v>
      </c>
      <c r="H106" s="6" t="s">
        <v>6521</v>
      </c>
      <c r="I106" s="22" t="n">
        <v>1053700</v>
      </c>
      <c r="J106" s="22" t="n">
        <v>5000</v>
      </c>
      <c r="K106" s="22" t="n">
        <v>79402.5</v>
      </c>
      <c r="L106" s="22" t="n">
        <v>1138102.5</v>
      </c>
      <c r="M106" s="6" t="s">
        <v>1009</v>
      </c>
      <c r="N106" s="6" t="s">
        <v>58</v>
      </c>
      <c r="O106" s="6"/>
      <c r="P106" s="6" t="s">
        <v>69</v>
      </c>
      <c r="Q106" s="6" t="str">
        <f aca="false">IF(P106="pass","No","Yes")</f>
        <v>No</v>
      </c>
      <c r="R106" s="6" t="s">
        <v>60</v>
      </c>
      <c r="S106" s="6"/>
      <c r="T106" s="6"/>
      <c r="U106" s="23" t="n">
        <v>2.226</v>
      </c>
      <c r="V106" s="6" t="s">
        <v>6522</v>
      </c>
      <c r="W106" s="6" t="s">
        <v>6523</v>
      </c>
      <c r="X106" s="6" t="s">
        <v>6524</v>
      </c>
      <c r="Y106" s="6" t="s">
        <v>60</v>
      </c>
      <c r="Z106" s="6" t="n">
        <v>0</v>
      </c>
      <c r="AA106" s="6" t="n">
        <v>0</v>
      </c>
      <c r="AB106" s="6" t="n">
        <v>0</v>
      </c>
      <c r="AC106" s="6" t="n">
        <v>0</v>
      </c>
      <c r="AD106" s="6" t="n">
        <v>0</v>
      </c>
      <c r="AE106" s="6" t="n">
        <v>0</v>
      </c>
      <c r="AF106" s="6" t="n">
        <v>0</v>
      </c>
      <c r="AG106" s="6" t="n">
        <v>0</v>
      </c>
      <c r="AH106" s="6" t="n">
        <v>0</v>
      </c>
      <c r="AI106" s="6" t="s">
        <v>84</v>
      </c>
    </row>
    <row r="107" customFormat="false" ht="15" hidden="false" customHeight="false" outlineLevel="0" collapsed="false">
      <c r="A107" s="6" t="n">
        <v>106</v>
      </c>
      <c r="B107" s="6" t="s">
        <v>6525</v>
      </c>
      <c r="C107" s="6" t="n">
        <v>3</v>
      </c>
      <c r="D107" s="6" t="s">
        <v>237</v>
      </c>
      <c r="E107" s="6" t="s">
        <v>116</v>
      </c>
      <c r="F107" s="6" t="n">
        <v>4</v>
      </c>
      <c r="G107" s="6" t="n">
        <v>279</v>
      </c>
      <c r="H107" s="6" t="s">
        <v>6526</v>
      </c>
      <c r="I107" s="22" t="n">
        <v>2408200</v>
      </c>
      <c r="J107" s="22" t="n">
        <v>15000</v>
      </c>
      <c r="K107" s="22" t="n">
        <v>181740</v>
      </c>
      <c r="L107" s="22" t="n">
        <v>2604940</v>
      </c>
      <c r="M107" s="6" t="s">
        <v>83</v>
      </c>
      <c r="N107" s="6" t="s">
        <v>84</v>
      </c>
      <c r="O107" s="6" t="s">
        <v>886</v>
      </c>
      <c r="P107" s="6" t="s">
        <v>85</v>
      </c>
      <c r="Q107" s="6" t="str">
        <f aca="false">IF(P107="pass","No","Yes")</f>
        <v>Yes</v>
      </c>
      <c r="R107" s="6" t="s">
        <v>86</v>
      </c>
      <c r="S107" s="6" t="s">
        <v>1479</v>
      </c>
      <c r="T107" s="6" t="s">
        <v>6527</v>
      </c>
      <c r="U107" s="23" t="n">
        <v>2.036</v>
      </c>
      <c r="V107" s="6" t="s">
        <v>6528</v>
      </c>
      <c r="W107" s="6" t="s">
        <v>6529</v>
      </c>
      <c r="X107" s="6" t="s">
        <v>6530</v>
      </c>
      <c r="Y107" s="6" t="s">
        <v>86</v>
      </c>
      <c r="Z107" s="6" t="n">
        <v>0</v>
      </c>
      <c r="AA107" s="6" t="n">
        <v>0</v>
      </c>
      <c r="AB107" s="6" t="n">
        <v>1</v>
      </c>
      <c r="AC107" s="6" t="n">
        <v>0</v>
      </c>
      <c r="AD107" s="6" t="n">
        <v>0</v>
      </c>
      <c r="AE107" s="6" t="n">
        <v>0</v>
      </c>
      <c r="AF107" s="6" t="n">
        <v>0</v>
      </c>
      <c r="AG107" s="6" t="n">
        <v>0</v>
      </c>
      <c r="AH107" s="6" t="n">
        <v>1</v>
      </c>
      <c r="AI107" s="6" t="s">
        <v>84</v>
      </c>
    </row>
    <row r="108" customFormat="false" ht="15" hidden="false" customHeight="false" outlineLevel="0" collapsed="false">
      <c r="A108" s="6" t="n">
        <v>107</v>
      </c>
      <c r="B108" s="6" t="s">
        <v>6531</v>
      </c>
      <c r="C108" s="6" t="n">
        <v>3</v>
      </c>
      <c r="D108" s="6" t="s">
        <v>112</v>
      </c>
      <c r="E108" s="6" t="s">
        <v>116</v>
      </c>
      <c r="F108" s="6" t="n">
        <v>4</v>
      </c>
      <c r="G108" s="6" t="n">
        <v>86</v>
      </c>
      <c r="H108" s="6" t="s">
        <v>6532</v>
      </c>
      <c r="I108" s="22" t="n">
        <v>1599100</v>
      </c>
      <c r="J108" s="22" t="n">
        <v>15000</v>
      </c>
      <c r="K108" s="22" t="n">
        <v>121057.5</v>
      </c>
      <c r="L108" s="22" t="n">
        <v>1735157.5</v>
      </c>
      <c r="M108" s="6" t="s">
        <v>132</v>
      </c>
      <c r="N108" s="6" t="s">
        <v>84</v>
      </c>
      <c r="O108" s="6" t="s">
        <v>879</v>
      </c>
      <c r="P108" s="6" t="s">
        <v>85</v>
      </c>
      <c r="Q108" s="6" t="str">
        <f aca="false">IF(P108="pass","No","Yes")</f>
        <v>Yes</v>
      </c>
      <c r="R108" s="6" t="s">
        <v>86</v>
      </c>
      <c r="S108" s="6" t="s">
        <v>880</v>
      </c>
      <c r="T108" s="6" t="s">
        <v>134</v>
      </c>
      <c r="U108" s="23" t="n">
        <v>2.182</v>
      </c>
      <c r="V108" s="6" t="s">
        <v>6533</v>
      </c>
      <c r="W108" s="6" t="s">
        <v>6534</v>
      </c>
      <c r="X108" s="6" t="s">
        <v>6535</v>
      </c>
      <c r="Y108" s="6" t="s">
        <v>86</v>
      </c>
      <c r="Z108" s="6" t="n">
        <v>0</v>
      </c>
      <c r="AA108" s="6" t="n">
        <v>1</v>
      </c>
      <c r="AB108" s="6" t="n">
        <v>0</v>
      </c>
      <c r="AC108" s="6" t="n">
        <v>1</v>
      </c>
      <c r="AD108" s="6" t="n">
        <v>0</v>
      </c>
      <c r="AE108" s="6" t="n">
        <v>0</v>
      </c>
      <c r="AF108" s="6" t="n">
        <v>0</v>
      </c>
      <c r="AG108" s="6" t="n">
        <v>0</v>
      </c>
      <c r="AH108" s="6" t="n">
        <v>0</v>
      </c>
      <c r="AI108" s="6" t="s">
        <v>84</v>
      </c>
    </row>
    <row r="109" customFormat="false" ht="15" hidden="false" customHeight="false" outlineLevel="0" collapsed="false">
      <c r="A109" s="6" t="n">
        <v>108</v>
      </c>
      <c r="B109" s="6" t="s">
        <v>6536</v>
      </c>
      <c r="C109" s="6" t="n">
        <v>3</v>
      </c>
      <c r="D109" s="6" t="s">
        <v>191</v>
      </c>
      <c r="E109" s="6" t="s">
        <v>116</v>
      </c>
      <c r="F109" s="6" t="n">
        <v>1</v>
      </c>
      <c r="G109" s="6" t="n">
        <v>41</v>
      </c>
      <c r="H109" s="6" t="s">
        <v>2576</v>
      </c>
      <c r="I109" s="22" t="n">
        <v>483800</v>
      </c>
      <c r="J109" s="22" t="n">
        <v>15000</v>
      </c>
      <c r="K109" s="22" t="n">
        <v>37410</v>
      </c>
      <c r="L109" s="22" t="n">
        <v>536210</v>
      </c>
      <c r="M109" s="6" t="s">
        <v>224</v>
      </c>
      <c r="N109" s="6" t="s">
        <v>84</v>
      </c>
      <c r="O109" s="6" t="s">
        <v>866</v>
      </c>
      <c r="P109" s="6" t="s">
        <v>85</v>
      </c>
      <c r="Q109" s="6" t="str">
        <f aca="false">IF(P109="pass","No","Yes")</f>
        <v>Yes</v>
      </c>
      <c r="R109" s="6" t="s">
        <v>86</v>
      </c>
      <c r="S109" s="6" t="s">
        <v>866</v>
      </c>
      <c r="T109" s="6" t="s">
        <v>225</v>
      </c>
      <c r="U109" s="23" t="n">
        <v>1.782</v>
      </c>
      <c r="V109" s="6" t="s">
        <v>6537</v>
      </c>
      <c r="W109" s="6" t="s">
        <v>6538</v>
      </c>
      <c r="X109" s="6" t="s">
        <v>6539</v>
      </c>
      <c r="Y109" s="6" t="s">
        <v>86</v>
      </c>
      <c r="Z109" s="6" t="n">
        <v>1</v>
      </c>
      <c r="AA109" s="6" t="n">
        <v>0</v>
      </c>
      <c r="AB109" s="6" t="n">
        <v>0</v>
      </c>
      <c r="AC109" s="6" t="n">
        <v>0</v>
      </c>
      <c r="AD109" s="6" t="n">
        <v>0</v>
      </c>
      <c r="AE109" s="6" t="n">
        <v>0</v>
      </c>
      <c r="AF109" s="6" t="n">
        <v>0</v>
      </c>
      <c r="AG109" s="6" t="n">
        <v>0</v>
      </c>
      <c r="AH109" s="6" t="n">
        <v>0</v>
      </c>
      <c r="AI109" s="6" t="s">
        <v>58</v>
      </c>
    </row>
    <row r="110" customFormat="false" ht="15" hidden="false" customHeight="false" outlineLevel="0" collapsed="false">
      <c r="A110" s="6" t="n">
        <v>109</v>
      </c>
      <c r="B110" s="6" t="s">
        <v>6540</v>
      </c>
      <c r="C110" s="6" t="n">
        <v>3</v>
      </c>
      <c r="D110" s="6" t="s">
        <v>63</v>
      </c>
      <c r="E110" s="6" t="s">
        <v>67</v>
      </c>
      <c r="F110" s="6" t="n">
        <v>2</v>
      </c>
      <c r="G110" s="6" t="n">
        <v>44</v>
      </c>
      <c r="H110" s="6" t="s">
        <v>6541</v>
      </c>
      <c r="I110" s="22" t="n">
        <v>661500</v>
      </c>
      <c r="J110" s="22" t="n">
        <v>4500</v>
      </c>
      <c r="K110" s="22" t="n">
        <v>49950</v>
      </c>
      <c r="L110" s="22" t="n">
        <v>715950</v>
      </c>
      <c r="M110" s="6" t="s">
        <v>57</v>
      </c>
      <c r="N110" s="6" t="s">
        <v>58</v>
      </c>
      <c r="O110" s="6"/>
      <c r="P110" s="6" t="s">
        <v>69</v>
      </c>
      <c r="Q110" s="6" t="str">
        <f aca="false">IF(P110="pass","No","Yes")</f>
        <v>No</v>
      </c>
      <c r="R110" s="6" t="s">
        <v>60</v>
      </c>
      <c r="S110" s="6"/>
      <c r="T110" s="6"/>
      <c r="U110" s="23" t="n">
        <v>2.366</v>
      </c>
      <c r="V110" s="6" t="s">
        <v>6542</v>
      </c>
      <c r="W110" s="6" t="s">
        <v>6543</v>
      </c>
      <c r="X110" s="6" t="s">
        <v>6544</v>
      </c>
      <c r="Y110" s="6" t="s">
        <v>60</v>
      </c>
      <c r="Z110" s="6" t="n">
        <v>0</v>
      </c>
      <c r="AA110" s="6" t="n">
        <v>0</v>
      </c>
      <c r="AB110" s="6" t="n">
        <v>0</v>
      </c>
      <c r="AC110" s="6" t="n">
        <v>0</v>
      </c>
      <c r="AD110" s="6" t="n">
        <v>0</v>
      </c>
      <c r="AE110" s="6" t="n">
        <v>0</v>
      </c>
      <c r="AF110" s="6" t="n">
        <v>0</v>
      </c>
      <c r="AG110" s="6" t="n">
        <v>0</v>
      </c>
      <c r="AH110" s="6" t="n">
        <v>0</v>
      </c>
      <c r="AI110" s="6" t="s">
        <v>84</v>
      </c>
    </row>
    <row r="111" customFormat="false" ht="15" hidden="false" customHeight="false" outlineLevel="0" collapsed="false">
      <c r="A111" s="6" t="n">
        <v>110</v>
      </c>
      <c r="B111" s="6" t="s">
        <v>6545</v>
      </c>
      <c r="C111" s="6" t="n">
        <v>3</v>
      </c>
      <c r="D111" s="6" t="s">
        <v>177</v>
      </c>
      <c r="E111" s="6" t="s">
        <v>81</v>
      </c>
      <c r="F111" s="6" t="n">
        <v>1</v>
      </c>
      <c r="G111" s="6" t="n">
        <v>2</v>
      </c>
      <c r="H111" s="6" t="s">
        <v>959</v>
      </c>
      <c r="I111" s="22" t="n">
        <v>8200</v>
      </c>
      <c r="J111" s="22" t="n">
        <v>4000</v>
      </c>
      <c r="K111" s="22" t="n">
        <v>915</v>
      </c>
      <c r="L111" s="22" t="n">
        <v>13115</v>
      </c>
      <c r="M111" s="6" t="s">
        <v>57</v>
      </c>
      <c r="N111" s="6" t="s">
        <v>58</v>
      </c>
      <c r="O111" s="6"/>
      <c r="P111" s="6" t="s">
        <v>69</v>
      </c>
      <c r="Q111" s="6" t="str">
        <f aca="false">IF(P111="pass","No","Yes")</f>
        <v>No</v>
      </c>
      <c r="R111" s="6" t="s">
        <v>60</v>
      </c>
      <c r="S111" s="6"/>
      <c r="T111" s="6"/>
      <c r="U111" s="23" t="n">
        <v>2.251</v>
      </c>
      <c r="V111" s="6" t="s">
        <v>6546</v>
      </c>
      <c r="W111" s="6" t="s">
        <v>6547</v>
      </c>
      <c r="X111" s="6" t="s">
        <v>6548</v>
      </c>
      <c r="Y111" s="6" t="s">
        <v>60</v>
      </c>
      <c r="Z111" s="6" t="n">
        <v>0</v>
      </c>
      <c r="AA111" s="6" t="n">
        <v>0</v>
      </c>
      <c r="AB111" s="6" t="n">
        <v>0</v>
      </c>
      <c r="AC111" s="6" t="n">
        <v>0</v>
      </c>
      <c r="AD111" s="6" t="n">
        <v>0</v>
      </c>
      <c r="AE111" s="6" t="n">
        <v>0</v>
      </c>
      <c r="AF111" s="6" t="n">
        <v>0</v>
      </c>
      <c r="AG111" s="6" t="n">
        <v>0</v>
      </c>
      <c r="AH111" s="6" t="n">
        <v>0</v>
      </c>
      <c r="AI111" s="6" t="s">
        <v>84</v>
      </c>
    </row>
    <row r="112" customFormat="false" ht="15" hidden="false" customHeight="false" outlineLevel="0" collapsed="false">
      <c r="A112" s="6" t="n">
        <v>111</v>
      </c>
      <c r="B112" s="6" t="s">
        <v>6549</v>
      </c>
      <c r="C112" s="6" t="n">
        <v>3</v>
      </c>
      <c r="D112" s="6" t="s">
        <v>191</v>
      </c>
      <c r="E112" s="6" t="s">
        <v>116</v>
      </c>
      <c r="F112" s="6" t="n">
        <v>3</v>
      </c>
      <c r="G112" s="6" t="n">
        <v>130</v>
      </c>
      <c r="H112" s="6" t="s">
        <v>6550</v>
      </c>
      <c r="I112" s="22" t="n">
        <v>1756200</v>
      </c>
      <c r="J112" s="22" t="n">
        <v>15000</v>
      </c>
      <c r="K112" s="22" t="n">
        <v>132840</v>
      </c>
      <c r="L112" s="22" t="n">
        <v>1904040</v>
      </c>
      <c r="M112" s="6" t="s">
        <v>132</v>
      </c>
      <c r="N112" s="6" t="s">
        <v>84</v>
      </c>
      <c r="O112" s="6" t="s">
        <v>879</v>
      </c>
      <c r="P112" s="6" t="s">
        <v>85</v>
      </c>
      <c r="Q112" s="6" t="str">
        <f aca="false">IF(P112="pass","No","Yes")</f>
        <v>Yes</v>
      </c>
      <c r="R112" s="6" t="s">
        <v>86</v>
      </c>
      <c r="S112" s="6" t="s">
        <v>880</v>
      </c>
      <c r="T112" s="6" t="s">
        <v>134</v>
      </c>
      <c r="U112" s="23" t="n">
        <v>2.006</v>
      </c>
      <c r="V112" s="6" t="s">
        <v>6551</v>
      </c>
      <c r="W112" s="6" t="s">
        <v>6552</v>
      </c>
      <c r="X112" s="6" t="s">
        <v>6553</v>
      </c>
      <c r="Y112" s="6" t="s">
        <v>86</v>
      </c>
      <c r="Z112" s="6" t="n">
        <v>0</v>
      </c>
      <c r="AA112" s="6" t="n">
        <v>1</v>
      </c>
      <c r="AB112" s="6" t="n">
        <v>0</v>
      </c>
      <c r="AC112" s="6" t="n">
        <v>1</v>
      </c>
      <c r="AD112" s="6" t="n">
        <v>0</v>
      </c>
      <c r="AE112" s="6" t="n">
        <v>0</v>
      </c>
      <c r="AF112" s="6" t="n">
        <v>0</v>
      </c>
      <c r="AG112" s="6" t="n">
        <v>0</v>
      </c>
      <c r="AH112" s="6" t="n">
        <v>0</v>
      </c>
      <c r="AI112" s="6" t="s">
        <v>84</v>
      </c>
    </row>
    <row r="113" customFormat="false" ht="15" hidden="false" customHeight="false" outlineLevel="0" collapsed="false">
      <c r="A113" s="6" t="n">
        <v>112</v>
      </c>
      <c r="B113" s="6" t="s">
        <v>6554</v>
      </c>
      <c r="C113" s="6" t="n">
        <v>3</v>
      </c>
      <c r="D113" s="6" t="s">
        <v>119</v>
      </c>
      <c r="E113" s="6" t="s">
        <v>123</v>
      </c>
      <c r="F113" s="6" t="n">
        <v>2</v>
      </c>
      <c r="G113" s="6" t="n">
        <v>82</v>
      </c>
      <c r="H113" s="6" t="s">
        <v>6555</v>
      </c>
      <c r="I113" s="22" t="n">
        <v>1123000</v>
      </c>
      <c r="J113" s="22" t="n">
        <v>5000</v>
      </c>
      <c r="K113" s="22" t="n">
        <v>84600</v>
      </c>
      <c r="L113" s="22" t="n">
        <v>1212600</v>
      </c>
      <c r="M113" s="6" t="s">
        <v>57</v>
      </c>
      <c r="N113" s="6" t="s">
        <v>58</v>
      </c>
      <c r="O113" s="6"/>
      <c r="P113" s="6" t="s">
        <v>69</v>
      </c>
      <c r="Q113" s="6" t="str">
        <f aca="false">IF(P113="pass","No","Yes")</f>
        <v>No</v>
      </c>
      <c r="R113" s="6" t="s">
        <v>60</v>
      </c>
      <c r="S113" s="6"/>
      <c r="T113" s="6"/>
      <c r="U113" s="23" t="n">
        <v>2.25</v>
      </c>
      <c r="V113" s="6" t="s">
        <v>6556</v>
      </c>
      <c r="W113" s="6" t="s">
        <v>6557</v>
      </c>
      <c r="X113" s="6" t="s">
        <v>6558</v>
      </c>
      <c r="Y113" s="6" t="s">
        <v>60</v>
      </c>
      <c r="Z113" s="6" t="n">
        <v>0</v>
      </c>
      <c r="AA113" s="6" t="n">
        <v>0</v>
      </c>
      <c r="AB113" s="6" t="n">
        <v>0</v>
      </c>
      <c r="AC113" s="6" t="n">
        <v>0</v>
      </c>
      <c r="AD113" s="6" t="n">
        <v>0</v>
      </c>
      <c r="AE113" s="6" t="n">
        <v>0</v>
      </c>
      <c r="AF113" s="6" t="n">
        <v>0</v>
      </c>
      <c r="AG113" s="6" t="n">
        <v>0</v>
      </c>
      <c r="AH113" s="6" t="n">
        <v>0</v>
      </c>
      <c r="AI113" s="6" t="s">
        <v>84</v>
      </c>
    </row>
    <row r="114" customFormat="false" ht="15" hidden="false" customHeight="false" outlineLevel="0" collapsed="false">
      <c r="A114" s="6" t="n">
        <v>113</v>
      </c>
      <c r="B114" s="6" t="s">
        <v>6559</v>
      </c>
      <c r="C114" s="6" t="n">
        <v>3</v>
      </c>
      <c r="D114" s="6" t="s">
        <v>70</v>
      </c>
      <c r="E114" s="6" t="s">
        <v>74</v>
      </c>
      <c r="F114" s="6" t="n">
        <v>3</v>
      </c>
      <c r="G114" s="6" t="n">
        <v>146</v>
      </c>
      <c r="H114" s="6" t="s">
        <v>6560</v>
      </c>
      <c r="I114" s="22" t="n">
        <v>1610500</v>
      </c>
      <c r="J114" s="22" t="n">
        <v>9000</v>
      </c>
      <c r="K114" s="22" t="n">
        <v>121462.5</v>
      </c>
      <c r="L114" s="22" t="n">
        <v>1740962.5</v>
      </c>
      <c r="M114" s="6" t="s">
        <v>57</v>
      </c>
      <c r="N114" s="6" t="s">
        <v>58</v>
      </c>
      <c r="O114" s="6"/>
      <c r="P114" s="6" t="s">
        <v>59</v>
      </c>
      <c r="Q114" s="6" t="str">
        <f aca="false">IF(P114="pass","No","Yes")</f>
        <v>Yes</v>
      </c>
      <c r="R114" s="6" t="s">
        <v>60</v>
      </c>
      <c r="S114" s="6" t="s">
        <v>915</v>
      </c>
      <c r="T114" s="6" t="s">
        <v>1113</v>
      </c>
      <c r="U114" s="23" t="n">
        <v>2.245</v>
      </c>
      <c r="V114" s="6" t="s">
        <v>6561</v>
      </c>
      <c r="W114" s="6" t="s">
        <v>6562</v>
      </c>
      <c r="X114" s="6" t="s">
        <v>6563</v>
      </c>
      <c r="Y114" s="6" t="s">
        <v>60</v>
      </c>
      <c r="Z114" s="6" t="n">
        <v>0</v>
      </c>
      <c r="AA114" s="6" t="n">
        <v>0</v>
      </c>
      <c r="AB114" s="6" t="n">
        <v>0</v>
      </c>
      <c r="AC114" s="6" t="n">
        <v>0</v>
      </c>
      <c r="AD114" s="6" t="n">
        <v>0</v>
      </c>
      <c r="AE114" s="6" t="n">
        <v>0</v>
      </c>
      <c r="AF114" s="6" t="n">
        <v>0</v>
      </c>
      <c r="AG114" s="6" t="n">
        <v>0</v>
      </c>
      <c r="AH114" s="6" t="n">
        <v>1</v>
      </c>
      <c r="AI114" s="6" t="s">
        <v>84</v>
      </c>
    </row>
    <row r="115" customFormat="false" ht="15" hidden="false" customHeight="false" outlineLevel="0" collapsed="false">
      <c r="A115" s="6" t="n">
        <v>114</v>
      </c>
      <c r="B115" s="6" t="s">
        <v>6564</v>
      </c>
      <c r="C115" s="6" t="n">
        <v>3</v>
      </c>
      <c r="D115" s="6" t="s">
        <v>154</v>
      </c>
      <c r="E115" s="6" t="s">
        <v>123</v>
      </c>
      <c r="F115" s="6" t="n">
        <v>4</v>
      </c>
      <c r="G115" s="6" t="n">
        <v>80</v>
      </c>
      <c r="H115" s="6" t="s">
        <v>6565</v>
      </c>
      <c r="I115" s="22" t="n">
        <v>1864200</v>
      </c>
      <c r="J115" s="22" t="n">
        <v>5000</v>
      </c>
      <c r="K115" s="22" t="n">
        <v>140190</v>
      </c>
      <c r="L115" s="22" t="n">
        <v>2009390</v>
      </c>
      <c r="M115" s="6" t="s">
        <v>83</v>
      </c>
      <c r="N115" s="6" t="s">
        <v>84</v>
      </c>
      <c r="O115" s="6" t="s">
        <v>886</v>
      </c>
      <c r="P115" s="6" t="s">
        <v>85</v>
      </c>
      <c r="Q115" s="6" t="str">
        <f aca="false">IF(P115="pass","No","Yes")</f>
        <v>Yes</v>
      </c>
      <c r="R115" s="6" t="s">
        <v>86</v>
      </c>
      <c r="S115" s="6" t="s">
        <v>886</v>
      </c>
      <c r="T115" s="6" t="s">
        <v>290</v>
      </c>
      <c r="U115" s="23" t="n">
        <v>2.099</v>
      </c>
      <c r="V115" s="6" t="s">
        <v>6566</v>
      </c>
      <c r="W115" s="6" t="s">
        <v>6567</v>
      </c>
      <c r="X115" s="6" t="s">
        <v>6568</v>
      </c>
      <c r="Y115" s="6" t="s">
        <v>86</v>
      </c>
      <c r="Z115" s="6" t="n">
        <v>0</v>
      </c>
      <c r="AA115" s="6" t="n">
        <v>0</v>
      </c>
      <c r="AB115" s="6" t="n">
        <v>1</v>
      </c>
      <c r="AC115" s="6" t="n">
        <v>0</v>
      </c>
      <c r="AD115" s="6" t="n">
        <v>0</v>
      </c>
      <c r="AE115" s="6" t="n">
        <v>0</v>
      </c>
      <c r="AF115" s="6" t="n">
        <v>0</v>
      </c>
      <c r="AG115" s="6" t="n">
        <v>0</v>
      </c>
      <c r="AH115" s="6" t="n">
        <v>0</v>
      </c>
      <c r="AI115" s="6" t="s">
        <v>84</v>
      </c>
    </row>
    <row r="116" customFormat="false" ht="15" hidden="false" customHeight="false" outlineLevel="0" collapsed="false">
      <c r="A116" s="6" t="n">
        <v>115</v>
      </c>
      <c r="B116" s="6" t="s">
        <v>6569</v>
      </c>
      <c r="C116" s="6" t="n">
        <v>3</v>
      </c>
      <c r="D116" s="6" t="s">
        <v>137</v>
      </c>
      <c r="E116" s="6" t="s">
        <v>55</v>
      </c>
      <c r="F116" s="6" t="n">
        <v>1</v>
      </c>
      <c r="G116" s="6" t="n">
        <v>156</v>
      </c>
      <c r="H116" s="6" t="s">
        <v>6570</v>
      </c>
      <c r="I116" s="22" t="n">
        <v>1482000</v>
      </c>
      <c r="J116" s="22" t="n">
        <v>6000</v>
      </c>
      <c r="K116" s="22" t="n">
        <v>111600</v>
      </c>
      <c r="L116" s="22" t="n">
        <v>1599600</v>
      </c>
      <c r="M116" s="6" t="s">
        <v>94</v>
      </c>
      <c r="N116" s="6" t="s">
        <v>84</v>
      </c>
      <c r="O116" s="6" t="s">
        <v>909</v>
      </c>
      <c r="P116" s="6" t="s">
        <v>85</v>
      </c>
      <c r="Q116" s="6" t="str">
        <f aca="false">IF(P116="pass","No","Yes")</f>
        <v>Yes</v>
      </c>
      <c r="R116" s="6" t="s">
        <v>86</v>
      </c>
      <c r="S116" s="6" t="s">
        <v>1544</v>
      </c>
      <c r="T116" s="6" t="s">
        <v>6571</v>
      </c>
      <c r="U116" s="23" t="n">
        <v>1.881</v>
      </c>
      <c r="V116" s="6" t="s">
        <v>6572</v>
      </c>
      <c r="W116" s="6" t="s">
        <v>6573</v>
      </c>
      <c r="X116" s="6" t="s">
        <v>6574</v>
      </c>
      <c r="Y116" s="6" t="s">
        <v>86</v>
      </c>
      <c r="Z116" s="6" t="n">
        <v>0</v>
      </c>
      <c r="AA116" s="6" t="n">
        <v>0</v>
      </c>
      <c r="AB116" s="6" t="n">
        <v>0</v>
      </c>
      <c r="AC116" s="6" t="n">
        <v>0</v>
      </c>
      <c r="AD116" s="6" t="n">
        <v>0</v>
      </c>
      <c r="AE116" s="6" t="n">
        <v>0</v>
      </c>
      <c r="AF116" s="6" t="n">
        <v>1</v>
      </c>
      <c r="AG116" s="6" t="n">
        <v>0</v>
      </c>
      <c r="AH116" s="6" t="n">
        <v>1</v>
      </c>
      <c r="AI116" s="6" t="s">
        <v>84</v>
      </c>
    </row>
    <row r="117" customFormat="false" ht="15" hidden="false" customHeight="false" outlineLevel="0" collapsed="false">
      <c r="A117" s="6" t="n">
        <v>116</v>
      </c>
      <c r="B117" s="6" t="s">
        <v>6575</v>
      </c>
      <c r="C117" s="6" t="n">
        <v>3</v>
      </c>
      <c r="D117" s="6" t="s">
        <v>112</v>
      </c>
      <c r="E117" s="6" t="s">
        <v>116</v>
      </c>
      <c r="F117" s="6" t="n">
        <v>2</v>
      </c>
      <c r="G117" s="6" t="n">
        <v>59</v>
      </c>
      <c r="H117" s="6" t="s">
        <v>6576</v>
      </c>
      <c r="I117" s="22" t="n">
        <v>602500</v>
      </c>
      <c r="J117" s="22" t="n">
        <v>15000</v>
      </c>
      <c r="K117" s="22" t="n">
        <v>46312.5</v>
      </c>
      <c r="L117" s="22" t="n">
        <v>663812.5</v>
      </c>
      <c r="M117" s="6" t="s">
        <v>984</v>
      </c>
      <c r="N117" s="6" t="s">
        <v>84</v>
      </c>
      <c r="O117" s="6" t="s">
        <v>985</v>
      </c>
      <c r="P117" s="6" t="s">
        <v>85</v>
      </c>
      <c r="Q117" s="6" t="str">
        <f aca="false">IF(P117="pass","No","Yes")</f>
        <v>Yes</v>
      </c>
      <c r="R117" s="6" t="s">
        <v>86</v>
      </c>
      <c r="S117" s="6" t="s">
        <v>985</v>
      </c>
      <c r="T117" s="6" t="s">
        <v>1571</v>
      </c>
      <c r="U117" s="23" t="n">
        <v>2.053</v>
      </c>
      <c r="V117" s="6" t="s">
        <v>6577</v>
      </c>
      <c r="W117" s="6" t="s">
        <v>6578</v>
      </c>
      <c r="X117" s="6" t="s">
        <v>6579</v>
      </c>
      <c r="Y117" s="6" t="s">
        <v>86</v>
      </c>
      <c r="Z117" s="6" t="n">
        <v>0</v>
      </c>
      <c r="AA117" s="6" t="n">
        <v>0</v>
      </c>
      <c r="AB117" s="6" t="n">
        <v>0</v>
      </c>
      <c r="AC117" s="6" t="n">
        <v>0</v>
      </c>
      <c r="AD117" s="6" t="n">
        <v>0</v>
      </c>
      <c r="AE117" s="6" t="n">
        <v>1</v>
      </c>
      <c r="AF117" s="6" t="n">
        <v>0</v>
      </c>
      <c r="AG117" s="6" t="n">
        <v>0</v>
      </c>
      <c r="AH117" s="6" t="n">
        <v>0</v>
      </c>
      <c r="AI117" s="6" t="s">
        <v>84</v>
      </c>
    </row>
    <row r="118" customFormat="false" ht="15" hidden="false" customHeight="false" outlineLevel="0" collapsed="false">
      <c r="A118" s="6" t="n">
        <v>117</v>
      </c>
      <c r="B118" s="6" t="s">
        <v>6580</v>
      </c>
      <c r="C118" s="6" t="n">
        <v>3</v>
      </c>
      <c r="D118" s="6" t="s">
        <v>137</v>
      </c>
      <c r="E118" s="6" t="s">
        <v>55</v>
      </c>
      <c r="F118" s="6" t="n">
        <v>2</v>
      </c>
      <c r="G118" s="6" t="n">
        <v>284</v>
      </c>
      <c r="H118" s="6" t="s">
        <v>6581</v>
      </c>
      <c r="I118" s="22" t="n">
        <v>2800000</v>
      </c>
      <c r="J118" s="22" t="n">
        <v>6000</v>
      </c>
      <c r="K118" s="22" t="n">
        <v>210450</v>
      </c>
      <c r="L118" s="22" t="n">
        <v>3016450</v>
      </c>
      <c r="M118" s="6" t="s">
        <v>927</v>
      </c>
      <c r="N118" s="6" t="s">
        <v>58</v>
      </c>
      <c r="O118" s="6"/>
      <c r="P118" s="6" t="s">
        <v>59</v>
      </c>
      <c r="Q118" s="6" t="str">
        <f aca="false">IF(P118="pass","No","Yes")</f>
        <v>Yes</v>
      </c>
      <c r="R118" s="6" t="s">
        <v>60</v>
      </c>
      <c r="S118" s="6" t="s">
        <v>915</v>
      </c>
      <c r="T118" s="6" t="s">
        <v>1054</v>
      </c>
      <c r="U118" s="23" t="n">
        <v>2.265</v>
      </c>
      <c r="V118" s="6" t="s">
        <v>6582</v>
      </c>
      <c r="W118" s="6" t="s">
        <v>6583</v>
      </c>
      <c r="X118" s="6" t="s">
        <v>6584</v>
      </c>
      <c r="Y118" s="6" t="s">
        <v>60</v>
      </c>
      <c r="Z118" s="6" t="n">
        <v>0</v>
      </c>
      <c r="AA118" s="6" t="n">
        <v>0</v>
      </c>
      <c r="AB118" s="6" t="n">
        <v>0</v>
      </c>
      <c r="AC118" s="6" t="n">
        <v>0</v>
      </c>
      <c r="AD118" s="6" t="n">
        <v>0</v>
      </c>
      <c r="AE118" s="6" t="n">
        <v>0</v>
      </c>
      <c r="AF118" s="6" t="n">
        <v>0</v>
      </c>
      <c r="AG118" s="6" t="n">
        <v>0</v>
      </c>
      <c r="AH118" s="6" t="n">
        <v>1</v>
      </c>
      <c r="AI118" s="6" t="s">
        <v>84</v>
      </c>
    </row>
    <row r="119" customFormat="false" ht="15" hidden="false" customHeight="false" outlineLevel="0" collapsed="false">
      <c r="A119" s="6" t="n">
        <v>118</v>
      </c>
      <c r="B119" s="6" t="s">
        <v>6585</v>
      </c>
      <c r="C119" s="6" t="n">
        <v>3</v>
      </c>
      <c r="D119" s="6" t="s">
        <v>154</v>
      </c>
      <c r="E119" s="6" t="s">
        <v>123</v>
      </c>
      <c r="F119" s="6" t="n">
        <v>2</v>
      </c>
      <c r="G119" s="6" t="n">
        <v>597</v>
      </c>
      <c r="H119" s="6" t="s">
        <v>6586</v>
      </c>
      <c r="I119" s="22" t="n">
        <v>2658500</v>
      </c>
      <c r="J119" s="22" t="n">
        <v>5000</v>
      </c>
      <c r="K119" s="22" t="n">
        <v>199762.5</v>
      </c>
      <c r="L119" s="22" t="n">
        <v>2863262.5</v>
      </c>
      <c r="M119" s="6" t="s">
        <v>159</v>
      </c>
      <c r="N119" s="6" t="s">
        <v>84</v>
      </c>
      <c r="O119" s="6" t="s">
        <v>886</v>
      </c>
      <c r="P119" s="6" t="s">
        <v>85</v>
      </c>
      <c r="Q119" s="6" t="str">
        <f aca="false">IF(P119="pass","No","Yes")</f>
        <v>Yes</v>
      </c>
      <c r="R119" s="6" t="s">
        <v>86</v>
      </c>
      <c r="S119" s="6" t="s">
        <v>992</v>
      </c>
      <c r="T119" s="6" t="s">
        <v>6587</v>
      </c>
      <c r="U119" s="23" t="n">
        <v>2.258</v>
      </c>
      <c r="V119" s="6" t="s">
        <v>6588</v>
      </c>
      <c r="W119" s="6" t="s">
        <v>6589</v>
      </c>
      <c r="X119" s="6" t="s">
        <v>6590</v>
      </c>
      <c r="Y119" s="6" t="s">
        <v>86</v>
      </c>
      <c r="Z119" s="6" t="n">
        <v>0</v>
      </c>
      <c r="AA119" s="6" t="n">
        <v>0</v>
      </c>
      <c r="AB119" s="6" t="n">
        <v>1</v>
      </c>
      <c r="AC119" s="6" t="n">
        <v>1</v>
      </c>
      <c r="AD119" s="6" t="n">
        <v>0</v>
      </c>
      <c r="AE119" s="6" t="n">
        <v>0</v>
      </c>
      <c r="AF119" s="6" t="n">
        <v>0</v>
      </c>
      <c r="AG119" s="6" t="n">
        <v>0</v>
      </c>
      <c r="AH119" s="6" t="n">
        <v>1</v>
      </c>
      <c r="AI119" s="6" t="s">
        <v>84</v>
      </c>
    </row>
    <row r="120" customFormat="false" ht="15" hidden="false" customHeight="false" outlineLevel="0" collapsed="false">
      <c r="A120" s="6" t="n">
        <v>119</v>
      </c>
      <c r="B120" s="6" t="s">
        <v>6591</v>
      </c>
      <c r="C120" s="6" t="n">
        <v>3</v>
      </c>
      <c r="D120" s="6" t="s">
        <v>198</v>
      </c>
      <c r="E120" s="6" t="s">
        <v>81</v>
      </c>
      <c r="F120" s="6" t="n">
        <v>2</v>
      </c>
      <c r="G120" s="6" t="n">
        <v>70</v>
      </c>
      <c r="H120" s="6" t="s">
        <v>6592</v>
      </c>
      <c r="I120" s="22" t="n">
        <v>810600</v>
      </c>
      <c r="J120" s="22" t="n">
        <v>4000</v>
      </c>
      <c r="K120" s="22" t="n">
        <v>61095</v>
      </c>
      <c r="L120" s="22" t="n">
        <v>875695</v>
      </c>
      <c r="M120" s="6" t="s">
        <v>57</v>
      </c>
      <c r="N120" s="6" t="s">
        <v>58</v>
      </c>
      <c r="O120" s="6"/>
      <c r="P120" s="6" t="s">
        <v>69</v>
      </c>
      <c r="Q120" s="6" t="str">
        <f aca="false">IF(P120="pass","No","Yes")</f>
        <v>No</v>
      </c>
      <c r="R120" s="6" t="s">
        <v>60</v>
      </c>
      <c r="S120" s="6"/>
      <c r="T120" s="6"/>
      <c r="U120" s="23" t="n">
        <v>2.39</v>
      </c>
      <c r="V120" s="6" t="s">
        <v>6593</v>
      </c>
      <c r="W120" s="6" t="s">
        <v>6594</v>
      </c>
      <c r="X120" s="6" t="s">
        <v>6595</v>
      </c>
      <c r="Y120" s="6" t="s">
        <v>60</v>
      </c>
      <c r="Z120" s="6" t="n">
        <v>0</v>
      </c>
      <c r="AA120" s="6" t="n">
        <v>0</v>
      </c>
      <c r="AB120" s="6" t="n">
        <v>0</v>
      </c>
      <c r="AC120" s="6" t="n">
        <v>0</v>
      </c>
      <c r="AD120" s="6" t="n">
        <v>0</v>
      </c>
      <c r="AE120" s="6" t="n">
        <v>0</v>
      </c>
      <c r="AF120" s="6" t="n">
        <v>0</v>
      </c>
      <c r="AG120" s="6" t="n">
        <v>0</v>
      </c>
      <c r="AH120" s="6" t="n">
        <v>0</v>
      </c>
      <c r="AI120" s="6" t="s">
        <v>84</v>
      </c>
    </row>
    <row r="121" customFormat="false" ht="15" hidden="false" customHeight="false" outlineLevel="0" collapsed="false">
      <c r="A121" s="6" t="n">
        <v>120</v>
      </c>
      <c r="B121" s="6" t="s">
        <v>6596</v>
      </c>
      <c r="C121" s="6" t="n">
        <v>3</v>
      </c>
      <c r="D121" s="6" t="s">
        <v>137</v>
      </c>
      <c r="E121" s="6" t="s">
        <v>55</v>
      </c>
      <c r="F121" s="6" t="n">
        <v>3</v>
      </c>
      <c r="G121" s="6" t="n">
        <v>81</v>
      </c>
      <c r="H121" s="6" t="s">
        <v>6597</v>
      </c>
      <c r="I121" s="22" t="n">
        <v>1236400</v>
      </c>
      <c r="J121" s="22" t="n">
        <v>6000</v>
      </c>
      <c r="K121" s="22" t="n">
        <v>93180</v>
      </c>
      <c r="L121" s="22" t="n">
        <v>1335580</v>
      </c>
      <c r="M121" s="6" t="s">
        <v>224</v>
      </c>
      <c r="N121" s="6" t="s">
        <v>84</v>
      </c>
      <c r="O121" s="6" t="s">
        <v>866</v>
      </c>
      <c r="P121" s="6" t="s">
        <v>85</v>
      </c>
      <c r="Q121" s="6" t="str">
        <f aca="false">IF(P121="pass","No","Yes")</f>
        <v>Yes</v>
      </c>
      <c r="R121" s="6" t="s">
        <v>86</v>
      </c>
      <c r="S121" s="6" t="s">
        <v>866</v>
      </c>
      <c r="T121" s="6" t="s">
        <v>225</v>
      </c>
      <c r="U121" s="23" t="n">
        <v>1.895</v>
      </c>
      <c r="V121" s="6" t="s">
        <v>6598</v>
      </c>
      <c r="W121" s="6" t="s">
        <v>6599</v>
      </c>
      <c r="X121" s="6" t="s">
        <v>6600</v>
      </c>
      <c r="Y121" s="6" t="s">
        <v>86</v>
      </c>
      <c r="Z121" s="6" t="n">
        <v>1</v>
      </c>
      <c r="AA121" s="6" t="n">
        <v>0</v>
      </c>
      <c r="AB121" s="6" t="n">
        <v>0</v>
      </c>
      <c r="AC121" s="6" t="n">
        <v>0</v>
      </c>
      <c r="AD121" s="6" t="n">
        <v>0</v>
      </c>
      <c r="AE121" s="6" t="n">
        <v>0</v>
      </c>
      <c r="AF121" s="6" t="n">
        <v>0</v>
      </c>
      <c r="AG121" s="6" t="n">
        <v>0</v>
      </c>
      <c r="AH121" s="6" t="n">
        <v>0</v>
      </c>
      <c r="AI121" s="6" t="s">
        <v>58</v>
      </c>
    </row>
    <row r="122" customFormat="false" ht="15" hidden="false" customHeight="false" outlineLevel="0" collapsed="false">
      <c r="A122" s="6" t="n">
        <v>121</v>
      </c>
      <c r="B122" s="6" t="s">
        <v>6601</v>
      </c>
      <c r="C122" s="6" t="n">
        <v>3</v>
      </c>
      <c r="D122" s="6" t="s">
        <v>105</v>
      </c>
      <c r="E122" s="6" t="s">
        <v>81</v>
      </c>
      <c r="F122" s="6" t="n">
        <v>3</v>
      </c>
      <c r="G122" s="6" t="n">
        <v>142</v>
      </c>
      <c r="H122" s="6" t="s">
        <v>6602</v>
      </c>
      <c r="I122" s="22" t="n">
        <v>1878900</v>
      </c>
      <c r="J122" s="22" t="n">
        <v>4000</v>
      </c>
      <c r="K122" s="22" t="n">
        <v>141217.5</v>
      </c>
      <c r="L122" s="22" t="n">
        <v>2024117.5</v>
      </c>
      <c r="M122" s="6" t="s">
        <v>57</v>
      </c>
      <c r="N122" s="6" t="s">
        <v>58</v>
      </c>
      <c r="O122" s="6"/>
      <c r="P122" s="6" t="s">
        <v>69</v>
      </c>
      <c r="Q122" s="6" t="str">
        <f aca="false">IF(P122="pass","No","Yes")</f>
        <v>No</v>
      </c>
      <c r="R122" s="6" t="s">
        <v>60</v>
      </c>
      <c r="S122" s="6"/>
      <c r="T122" s="6"/>
      <c r="U122" s="23" t="n">
        <v>2.46</v>
      </c>
      <c r="V122" s="6" t="s">
        <v>6603</v>
      </c>
      <c r="W122" s="6" t="s">
        <v>6604</v>
      </c>
      <c r="X122" s="6" t="s">
        <v>6605</v>
      </c>
      <c r="Y122" s="6" t="s">
        <v>60</v>
      </c>
      <c r="Z122" s="6" t="n">
        <v>0</v>
      </c>
      <c r="AA122" s="6" t="n">
        <v>0</v>
      </c>
      <c r="AB122" s="6" t="n">
        <v>0</v>
      </c>
      <c r="AC122" s="6" t="n">
        <v>0</v>
      </c>
      <c r="AD122" s="6" t="n">
        <v>0</v>
      </c>
      <c r="AE122" s="6" t="n">
        <v>0</v>
      </c>
      <c r="AF122" s="6" t="n">
        <v>0</v>
      </c>
      <c r="AG122" s="6" t="n">
        <v>0</v>
      </c>
      <c r="AH122" s="6" t="n">
        <v>0</v>
      </c>
      <c r="AI122" s="6" t="s">
        <v>84</v>
      </c>
    </row>
    <row r="123" customFormat="false" ht="15" hidden="false" customHeight="false" outlineLevel="0" collapsed="false">
      <c r="A123" s="6" t="n">
        <v>122</v>
      </c>
      <c r="B123" s="6" t="s">
        <v>6606</v>
      </c>
      <c r="C123" s="6" t="n">
        <v>3</v>
      </c>
      <c r="D123" s="6" t="s">
        <v>198</v>
      </c>
      <c r="E123" s="6" t="s">
        <v>81</v>
      </c>
      <c r="F123" s="6" t="n">
        <v>1</v>
      </c>
      <c r="G123" s="6" t="n">
        <v>9</v>
      </c>
      <c r="H123" s="6" t="s">
        <v>1300</v>
      </c>
      <c r="I123" s="22" t="n">
        <v>468000</v>
      </c>
      <c r="J123" s="22" t="n">
        <v>4000</v>
      </c>
      <c r="K123" s="22" t="n">
        <v>35400</v>
      </c>
      <c r="L123" s="22" t="n">
        <v>507400</v>
      </c>
      <c r="M123" s="6" t="s">
        <v>960</v>
      </c>
      <c r="N123" s="6" t="s">
        <v>84</v>
      </c>
      <c r="O123" s="6" t="s">
        <v>961</v>
      </c>
      <c r="P123" s="6" t="s">
        <v>85</v>
      </c>
      <c r="Q123" s="6" t="str">
        <f aca="false">IF(P123="pass","No","Yes")</f>
        <v>Yes</v>
      </c>
      <c r="R123" s="6" t="s">
        <v>86</v>
      </c>
      <c r="S123" s="6" t="s">
        <v>961</v>
      </c>
      <c r="T123" s="6" t="s">
        <v>962</v>
      </c>
      <c r="U123" s="23" t="n">
        <v>1.865</v>
      </c>
      <c r="V123" s="6" t="s">
        <v>6607</v>
      </c>
      <c r="W123" s="6" t="s">
        <v>6608</v>
      </c>
      <c r="X123" s="6" t="s">
        <v>6609</v>
      </c>
      <c r="Y123" s="6" t="s">
        <v>86</v>
      </c>
      <c r="Z123" s="6" t="n">
        <v>0</v>
      </c>
      <c r="AA123" s="6" t="n">
        <v>0</v>
      </c>
      <c r="AB123" s="6" t="n">
        <v>0</v>
      </c>
      <c r="AC123" s="6" t="n">
        <v>0</v>
      </c>
      <c r="AD123" s="6" t="n">
        <v>1</v>
      </c>
      <c r="AE123" s="6" t="n">
        <v>0</v>
      </c>
      <c r="AF123" s="6" t="n">
        <v>0</v>
      </c>
      <c r="AG123" s="6" t="n">
        <v>0</v>
      </c>
      <c r="AH123" s="6" t="n">
        <v>0</v>
      </c>
      <c r="AI123" s="6" t="s">
        <v>84</v>
      </c>
    </row>
    <row r="124" customFormat="false" ht="15" hidden="false" customHeight="false" outlineLevel="0" collapsed="false">
      <c r="A124" s="6" t="n">
        <v>123</v>
      </c>
      <c r="B124" s="6" t="s">
        <v>6610</v>
      </c>
      <c r="C124" s="6" t="n">
        <v>3</v>
      </c>
      <c r="D124" s="6" t="s">
        <v>105</v>
      </c>
      <c r="E124" s="6" t="s">
        <v>81</v>
      </c>
      <c r="F124" s="6" t="n">
        <v>2</v>
      </c>
      <c r="G124" s="6" t="n">
        <v>48</v>
      </c>
      <c r="H124" s="6" t="s">
        <v>6611</v>
      </c>
      <c r="I124" s="22" t="n">
        <v>501000</v>
      </c>
      <c r="J124" s="22" t="n">
        <v>4000</v>
      </c>
      <c r="K124" s="22" t="n">
        <v>37875</v>
      </c>
      <c r="L124" s="22" t="n">
        <v>542875</v>
      </c>
      <c r="M124" s="6" t="s">
        <v>57</v>
      </c>
      <c r="N124" s="6" t="s">
        <v>58</v>
      </c>
      <c r="O124" s="6"/>
      <c r="P124" s="6" t="s">
        <v>69</v>
      </c>
      <c r="Q124" s="6" t="str">
        <f aca="false">IF(P124="pass","No","Yes")</f>
        <v>No</v>
      </c>
      <c r="R124" s="6" t="s">
        <v>60</v>
      </c>
      <c r="S124" s="6"/>
      <c r="T124" s="6"/>
      <c r="U124" s="23" t="n">
        <v>2.445</v>
      </c>
      <c r="V124" s="6" t="s">
        <v>6612</v>
      </c>
      <c r="W124" s="6" t="s">
        <v>6613</v>
      </c>
      <c r="X124" s="6" t="s">
        <v>6614</v>
      </c>
      <c r="Y124" s="6" t="s">
        <v>60</v>
      </c>
      <c r="Z124" s="6" t="n">
        <v>0</v>
      </c>
      <c r="AA124" s="6" t="n">
        <v>0</v>
      </c>
      <c r="AB124" s="6" t="n">
        <v>0</v>
      </c>
      <c r="AC124" s="6" t="n">
        <v>0</v>
      </c>
      <c r="AD124" s="6" t="n">
        <v>0</v>
      </c>
      <c r="AE124" s="6" t="n">
        <v>0</v>
      </c>
      <c r="AF124" s="6" t="n">
        <v>0</v>
      </c>
      <c r="AG124" s="6" t="n">
        <v>0</v>
      </c>
      <c r="AH124" s="6" t="n">
        <v>0</v>
      </c>
      <c r="AI124" s="6" t="s">
        <v>84</v>
      </c>
    </row>
    <row r="125" customFormat="false" ht="15" hidden="false" customHeight="false" outlineLevel="0" collapsed="false">
      <c r="A125" s="6" t="n">
        <v>124</v>
      </c>
      <c r="B125" s="6" t="s">
        <v>6615</v>
      </c>
      <c r="C125" s="6" t="n">
        <v>3</v>
      </c>
      <c r="D125" s="6" t="s">
        <v>51</v>
      </c>
      <c r="E125" s="6" t="s">
        <v>55</v>
      </c>
      <c r="F125" s="6" t="n">
        <v>2</v>
      </c>
      <c r="G125" s="6" t="n">
        <v>11</v>
      </c>
      <c r="H125" s="6" t="s">
        <v>6616</v>
      </c>
      <c r="I125" s="22" t="n">
        <v>271000</v>
      </c>
      <c r="J125" s="22" t="n">
        <v>6000</v>
      </c>
      <c r="K125" s="22" t="n">
        <v>20775</v>
      </c>
      <c r="L125" s="22" t="n">
        <v>297775</v>
      </c>
      <c r="M125" s="6" t="s">
        <v>132</v>
      </c>
      <c r="N125" s="6" t="s">
        <v>84</v>
      </c>
      <c r="O125" s="6" t="s">
        <v>879</v>
      </c>
      <c r="P125" s="6" t="s">
        <v>85</v>
      </c>
      <c r="Q125" s="6" t="str">
        <f aca="false">IF(P125="pass","No","Yes")</f>
        <v>Yes</v>
      </c>
      <c r="R125" s="6" t="s">
        <v>86</v>
      </c>
      <c r="S125" s="6" t="s">
        <v>880</v>
      </c>
      <c r="T125" s="6" t="s">
        <v>134</v>
      </c>
      <c r="U125" s="23" t="n">
        <v>1.987</v>
      </c>
      <c r="V125" s="6" t="s">
        <v>6617</v>
      </c>
      <c r="W125" s="6" t="s">
        <v>6618</v>
      </c>
      <c r="X125" s="6" t="s">
        <v>6619</v>
      </c>
      <c r="Y125" s="6" t="s">
        <v>86</v>
      </c>
      <c r="Z125" s="6" t="n">
        <v>0</v>
      </c>
      <c r="AA125" s="6" t="n">
        <v>1</v>
      </c>
      <c r="AB125" s="6" t="n">
        <v>0</v>
      </c>
      <c r="AC125" s="6" t="n">
        <v>1</v>
      </c>
      <c r="AD125" s="6" t="n">
        <v>0</v>
      </c>
      <c r="AE125" s="6" t="n">
        <v>0</v>
      </c>
      <c r="AF125" s="6" t="n">
        <v>0</v>
      </c>
      <c r="AG125" s="6" t="n">
        <v>0</v>
      </c>
      <c r="AH125" s="6" t="n">
        <v>0</v>
      </c>
      <c r="AI125" s="6" t="s">
        <v>84</v>
      </c>
    </row>
    <row r="126" customFormat="false" ht="15" hidden="false" customHeight="false" outlineLevel="0" collapsed="false">
      <c r="A126" s="6" t="n">
        <v>125</v>
      </c>
      <c r="B126" s="6" t="s">
        <v>6620</v>
      </c>
      <c r="C126" s="6" t="n">
        <v>3</v>
      </c>
      <c r="D126" s="6" t="s">
        <v>213</v>
      </c>
      <c r="E126" s="6" t="s">
        <v>67</v>
      </c>
      <c r="F126" s="6" t="n">
        <v>1</v>
      </c>
      <c r="G126" s="6" t="n">
        <v>70</v>
      </c>
      <c r="H126" s="6" t="s">
        <v>4024</v>
      </c>
      <c r="I126" s="22" t="n">
        <v>875000</v>
      </c>
      <c r="J126" s="22" t="n">
        <v>4500</v>
      </c>
      <c r="K126" s="22" t="n">
        <v>65962.5</v>
      </c>
      <c r="L126" s="22" t="n">
        <v>945462.5</v>
      </c>
      <c r="M126" s="6" t="s">
        <v>57</v>
      </c>
      <c r="N126" s="6" t="s">
        <v>58</v>
      </c>
      <c r="O126" s="6"/>
      <c r="P126" s="6" t="s">
        <v>69</v>
      </c>
      <c r="Q126" s="6" t="str">
        <f aca="false">IF(P126="pass","No","Yes")</f>
        <v>No</v>
      </c>
      <c r="R126" s="6" t="s">
        <v>60</v>
      </c>
      <c r="S126" s="6"/>
      <c r="T126" s="6"/>
      <c r="U126" s="23" t="n">
        <v>2.368</v>
      </c>
      <c r="V126" s="6" t="s">
        <v>6621</v>
      </c>
      <c r="W126" s="6" t="s">
        <v>6622</v>
      </c>
      <c r="X126" s="6" t="s">
        <v>6623</v>
      </c>
      <c r="Y126" s="6" t="s">
        <v>60</v>
      </c>
      <c r="Z126" s="6" t="n">
        <v>0</v>
      </c>
      <c r="AA126" s="6" t="n">
        <v>0</v>
      </c>
      <c r="AB126" s="6" t="n">
        <v>0</v>
      </c>
      <c r="AC126" s="6" t="n">
        <v>0</v>
      </c>
      <c r="AD126" s="6" t="n">
        <v>0</v>
      </c>
      <c r="AE126" s="6" t="n">
        <v>0</v>
      </c>
      <c r="AF126" s="6" t="n">
        <v>0</v>
      </c>
      <c r="AG126" s="6" t="n">
        <v>0</v>
      </c>
      <c r="AH126" s="6" t="n">
        <v>0</v>
      </c>
      <c r="AI126" s="6" t="s">
        <v>84</v>
      </c>
    </row>
    <row r="127" customFormat="false" ht="15" hidden="false" customHeight="false" outlineLevel="0" collapsed="false">
      <c r="A127" s="6" t="n">
        <v>126</v>
      </c>
      <c r="B127" s="6" t="s">
        <v>6624</v>
      </c>
      <c r="C127" s="6" t="n">
        <v>3</v>
      </c>
      <c r="D127" s="6" t="s">
        <v>191</v>
      </c>
      <c r="E127" s="6" t="s">
        <v>116</v>
      </c>
      <c r="F127" s="6" t="n">
        <v>2</v>
      </c>
      <c r="G127" s="6" t="n">
        <v>83</v>
      </c>
      <c r="H127" s="6" t="s">
        <v>6625</v>
      </c>
      <c r="I127" s="22" t="n">
        <v>1152000</v>
      </c>
      <c r="J127" s="22" t="n">
        <v>15000</v>
      </c>
      <c r="K127" s="22" t="n">
        <v>87525</v>
      </c>
      <c r="L127" s="22" t="n">
        <v>1254525</v>
      </c>
      <c r="M127" s="6" t="s">
        <v>57</v>
      </c>
      <c r="N127" s="6" t="s">
        <v>58</v>
      </c>
      <c r="O127" s="6"/>
      <c r="P127" s="6" t="s">
        <v>69</v>
      </c>
      <c r="Q127" s="6" t="str">
        <f aca="false">IF(P127="pass","No","Yes")</f>
        <v>No</v>
      </c>
      <c r="R127" s="6" t="s">
        <v>60</v>
      </c>
      <c r="S127" s="6"/>
      <c r="T127" s="6"/>
      <c r="U127" s="23" t="n">
        <v>2.27</v>
      </c>
      <c r="V127" s="6" t="s">
        <v>6626</v>
      </c>
      <c r="W127" s="6" t="s">
        <v>6627</v>
      </c>
      <c r="X127" s="6" t="s">
        <v>6628</v>
      </c>
      <c r="Y127" s="6" t="s">
        <v>60</v>
      </c>
      <c r="Z127" s="6" t="n">
        <v>0</v>
      </c>
      <c r="AA127" s="6" t="n">
        <v>0</v>
      </c>
      <c r="AB127" s="6" t="n">
        <v>0</v>
      </c>
      <c r="AC127" s="6" t="n">
        <v>0</v>
      </c>
      <c r="AD127" s="6" t="n">
        <v>0</v>
      </c>
      <c r="AE127" s="6" t="n">
        <v>0</v>
      </c>
      <c r="AF127" s="6" t="n">
        <v>0</v>
      </c>
      <c r="AG127" s="6" t="n">
        <v>0</v>
      </c>
      <c r="AH127" s="6" t="n">
        <v>0</v>
      </c>
      <c r="AI127" s="6" t="s">
        <v>84</v>
      </c>
    </row>
    <row r="128" customFormat="false" ht="15" hidden="false" customHeight="false" outlineLevel="0" collapsed="false">
      <c r="A128" s="6" t="n">
        <v>127</v>
      </c>
      <c r="B128" s="6" t="s">
        <v>6629</v>
      </c>
      <c r="C128" s="6" t="n">
        <v>3</v>
      </c>
      <c r="D128" s="6" t="s">
        <v>137</v>
      </c>
      <c r="E128" s="6" t="s">
        <v>55</v>
      </c>
      <c r="F128" s="6" t="n">
        <v>1</v>
      </c>
      <c r="G128" s="6" t="n">
        <v>9</v>
      </c>
      <c r="H128" s="6" t="s">
        <v>1369</v>
      </c>
      <c r="I128" s="22" t="n">
        <v>342000</v>
      </c>
      <c r="J128" s="22" t="n">
        <v>6000</v>
      </c>
      <c r="K128" s="22" t="n">
        <v>26100</v>
      </c>
      <c r="L128" s="22" t="n">
        <v>374100</v>
      </c>
      <c r="M128" s="6" t="s">
        <v>224</v>
      </c>
      <c r="N128" s="6" t="s">
        <v>84</v>
      </c>
      <c r="O128" s="6" t="s">
        <v>866</v>
      </c>
      <c r="P128" s="6" t="s">
        <v>85</v>
      </c>
      <c r="Q128" s="6" t="str">
        <f aca="false">IF(P128="pass","No","Yes")</f>
        <v>Yes</v>
      </c>
      <c r="R128" s="6" t="s">
        <v>86</v>
      </c>
      <c r="S128" s="6" t="s">
        <v>866</v>
      </c>
      <c r="T128" s="6" t="s">
        <v>225</v>
      </c>
      <c r="U128" s="23" t="n">
        <v>1.785</v>
      </c>
      <c r="V128" s="6" t="s">
        <v>6630</v>
      </c>
      <c r="W128" s="6" t="s">
        <v>6631</v>
      </c>
      <c r="X128" s="6" t="s">
        <v>6632</v>
      </c>
      <c r="Y128" s="6" t="s">
        <v>86</v>
      </c>
      <c r="Z128" s="6" t="n">
        <v>1</v>
      </c>
      <c r="AA128" s="6" t="n">
        <v>0</v>
      </c>
      <c r="AB128" s="6" t="n">
        <v>0</v>
      </c>
      <c r="AC128" s="6" t="n">
        <v>0</v>
      </c>
      <c r="AD128" s="6" t="n">
        <v>0</v>
      </c>
      <c r="AE128" s="6" t="n">
        <v>0</v>
      </c>
      <c r="AF128" s="6" t="n">
        <v>0</v>
      </c>
      <c r="AG128" s="6" t="n">
        <v>0</v>
      </c>
      <c r="AH128" s="6" t="n">
        <v>0</v>
      </c>
      <c r="AI128" s="6" t="s">
        <v>58</v>
      </c>
    </row>
    <row r="129" customFormat="false" ht="15" hidden="false" customHeight="false" outlineLevel="0" collapsed="false">
      <c r="A129" s="6" t="n">
        <v>128</v>
      </c>
      <c r="B129" s="6" t="s">
        <v>6633</v>
      </c>
      <c r="C129" s="6" t="n">
        <v>3</v>
      </c>
      <c r="D129" s="6" t="s">
        <v>191</v>
      </c>
      <c r="E129" s="6" t="s">
        <v>116</v>
      </c>
      <c r="F129" s="6" t="n">
        <v>3</v>
      </c>
      <c r="G129" s="6" t="n">
        <v>83</v>
      </c>
      <c r="H129" s="6" t="s">
        <v>6634</v>
      </c>
      <c r="I129" s="22" t="n">
        <v>1332000</v>
      </c>
      <c r="J129" s="22" t="n">
        <v>15000</v>
      </c>
      <c r="K129" s="22" t="n">
        <v>101025</v>
      </c>
      <c r="L129" s="22" t="n">
        <v>1448025</v>
      </c>
      <c r="M129" s="6" t="s">
        <v>57</v>
      </c>
      <c r="N129" s="6" t="s">
        <v>58</v>
      </c>
      <c r="O129" s="6"/>
      <c r="P129" s="6" t="s">
        <v>69</v>
      </c>
      <c r="Q129" s="6" t="str">
        <f aca="false">IF(P129="pass","No","Yes")</f>
        <v>No</v>
      </c>
      <c r="R129" s="6" t="s">
        <v>60</v>
      </c>
      <c r="S129" s="6"/>
      <c r="T129" s="6"/>
      <c r="U129" s="23" t="n">
        <v>2.34</v>
      </c>
      <c r="V129" s="6" t="s">
        <v>6635</v>
      </c>
      <c r="W129" s="6" t="s">
        <v>6636</v>
      </c>
      <c r="X129" s="6" t="s">
        <v>6637</v>
      </c>
      <c r="Y129" s="6" t="s">
        <v>60</v>
      </c>
      <c r="Z129" s="6" t="n">
        <v>0</v>
      </c>
      <c r="AA129" s="6" t="n">
        <v>0</v>
      </c>
      <c r="AB129" s="6" t="n">
        <v>0</v>
      </c>
      <c r="AC129" s="6" t="n">
        <v>0</v>
      </c>
      <c r="AD129" s="6" t="n">
        <v>0</v>
      </c>
      <c r="AE129" s="6" t="n">
        <v>0</v>
      </c>
      <c r="AF129" s="6" t="n">
        <v>0</v>
      </c>
      <c r="AG129" s="6" t="n">
        <v>0</v>
      </c>
      <c r="AH129" s="6" t="n">
        <v>0</v>
      </c>
      <c r="AI129" s="6" t="s">
        <v>84</v>
      </c>
    </row>
    <row r="130" customFormat="false" ht="15" hidden="false" customHeight="false" outlineLevel="0" collapsed="false">
      <c r="A130" s="6" t="n">
        <v>129</v>
      </c>
      <c r="B130" s="6" t="s">
        <v>6638</v>
      </c>
      <c r="C130" s="6" t="n">
        <v>3</v>
      </c>
      <c r="D130" s="6" t="s">
        <v>191</v>
      </c>
      <c r="E130" s="6" t="s">
        <v>116</v>
      </c>
      <c r="F130" s="6" t="n">
        <v>2</v>
      </c>
      <c r="G130" s="6" t="n">
        <v>93</v>
      </c>
      <c r="H130" s="6" t="s">
        <v>6639</v>
      </c>
      <c r="I130" s="22" t="n">
        <v>980100</v>
      </c>
      <c r="J130" s="22" t="n">
        <v>15000</v>
      </c>
      <c r="K130" s="22" t="n">
        <v>74632.5</v>
      </c>
      <c r="L130" s="22" t="n">
        <v>1069732.5</v>
      </c>
      <c r="M130" s="6" t="s">
        <v>57</v>
      </c>
      <c r="N130" s="6" t="s">
        <v>58</v>
      </c>
      <c r="O130" s="6"/>
      <c r="P130" s="6" t="s">
        <v>69</v>
      </c>
      <c r="Q130" s="6" t="str">
        <f aca="false">IF(P130="pass","No","Yes")</f>
        <v>No</v>
      </c>
      <c r="R130" s="6" t="s">
        <v>60</v>
      </c>
      <c r="S130" s="6"/>
      <c r="T130" s="6"/>
      <c r="U130" s="23" t="n">
        <v>2.317</v>
      </c>
      <c r="V130" s="6" t="s">
        <v>6640</v>
      </c>
      <c r="W130" s="6" t="s">
        <v>6641</v>
      </c>
      <c r="X130" s="6" t="s">
        <v>6642</v>
      </c>
      <c r="Y130" s="6" t="s">
        <v>60</v>
      </c>
      <c r="Z130" s="6" t="n">
        <v>0</v>
      </c>
      <c r="AA130" s="6" t="n">
        <v>0</v>
      </c>
      <c r="AB130" s="6" t="n">
        <v>0</v>
      </c>
      <c r="AC130" s="6" t="n">
        <v>0</v>
      </c>
      <c r="AD130" s="6" t="n">
        <v>0</v>
      </c>
      <c r="AE130" s="6" t="n">
        <v>0</v>
      </c>
      <c r="AF130" s="6" t="n">
        <v>0</v>
      </c>
      <c r="AG130" s="6" t="n">
        <v>0</v>
      </c>
      <c r="AH130" s="6" t="n">
        <v>0</v>
      </c>
      <c r="AI130" s="6" t="s">
        <v>84</v>
      </c>
    </row>
    <row r="131" customFormat="false" ht="15" hidden="false" customHeight="false" outlineLevel="0" collapsed="false">
      <c r="A131" s="6" t="n">
        <v>130</v>
      </c>
      <c r="B131" s="6" t="s">
        <v>6643</v>
      </c>
      <c r="C131" s="6" t="n">
        <v>3</v>
      </c>
      <c r="D131" s="6" t="s">
        <v>77</v>
      </c>
      <c r="E131" s="6" t="s">
        <v>81</v>
      </c>
      <c r="F131" s="6" t="n">
        <v>3</v>
      </c>
      <c r="G131" s="6" t="n">
        <v>235</v>
      </c>
      <c r="H131" s="6" t="s">
        <v>6644</v>
      </c>
      <c r="I131" s="22" t="n">
        <v>2527900</v>
      </c>
      <c r="J131" s="22" t="n">
        <v>4000</v>
      </c>
      <c r="K131" s="22" t="n">
        <v>189892.5</v>
      </c>
      <c r="L131" s="22" t="n">
        <v>2721792.5</v>
      </c>
      <c r="M131" s="6" t="s">
        <v>984</v>
      </c>
      <c r="N131" s="6" t="s">
        <v>84</v>
      </c>
      <c r="O131" s="6" t="s">
        <v>985</v>
      </c>
      <c r="P131" s="6" t="s">
        <v>85</v>
      </c>
      <c r="Q131" s="6" t="str">
        <f aca="false">IF(P131="pass","No","Yes")</f>
        <v>Yes</v>
      </c>
      <c r="R131" s="6" t="s">
        <v>86</v>
      </c>
      <c r="S131" s="6" t="s">
        <v>1885</v>
      </c>
      <c r="T131" s="6" t="s">
        <v>6645</v>
      </c>
      <c r="U131" s="23" t="n">
        <v>2.02</v>
      </c>
      <c r="V131" s="6" t="s">
        <v>6646</v>
      </c>
      <c r="W131" s="6" t="s">
        <v>6647</v>
      </c>
      <c r="X131" s="6" t="s">
        <v>6648</v>
      </c>
      <c r="Y131" s="6" t="s">
        <v>86</v>
      </c>
      <c r="Z131" s="6" t="n">
        <v>0</v>
      </c>
      <c r="AA131" s="6" t="n">
        <v>0</v>
      </c>
      <c r="AB131" s="6" t="n">
        <v>0</v>
      </c>
      <c r="AC131" s="6" t="n">
        <v>0</v>
      </c>
      <c r="AD131" s="6" t="n">
        <v>0</v>
      </c>
      <c r="AE131" s="6" t="n">
        <v>1</v>
      </c>
      <c r="AF131" s="6" t="n">
        <v>0</v>
      </c>
      <c r="AG131" s="6" t="n">
        <v>0</v>
      </c>
      <c r="AH131" s="6" t="n">
        <v>1</v>
      </c>
      <c r="AI131" s="6" t="s">
        <v>84</v>
      </c>
    </row>
    <row r="132" customFormat="false" ht="15" hidden="false" customHeight="false" outlineLevel="0" collapsed="false">
      <c r="A132" s="6" t="n">
        <v>131</v>
      </c>
      <c r="B132" s="6" t="s">
        <v>6649</v>
      </c>
      <c r="C132" s="6" t="n">
        <v>3</v>
      </c>
      <c r="D132" s="6" t="s">
        <v>77</v>
      </c>
      <c r="E132" s="6" t="s">
        <v>81</v>
      </c>
      <c r="F132" s="6" t="n">
        <v>4</v>
      </c>
      <c r="G132" s="6" t="n">
        <v>47</v>
      </c>
      <c r="H132" s="6" t="s">
        <v>6650</v>
      </c>
      <c r="I132" s="22" t="n">
        <v>1594000</v>
      </c>
      <c r="J132" s="22" t="n">
        <v>4000</v>
      </c>
      <c r="K132" s="22" t="n">
        <v>119850</v>
      </c>
      <c r="L132" s="22" t="n">
        <v>1717850</v>
      </c>
      <c r="M132" s="6" t="s">
        <v>1009</v>
      </c>
      <c r="N132" s="6" t="s">
        <v>58</v>
      </c>
      <c r="O132" s="6"/>
      <c r="P132" s="6" t="s">
        <v>69</v>
      </c>
      <c r="Q132" s="6" t="str">
        <f aca="false">IF(P132="pass","No","Yes")</f>
        <v>No</v>
      </c>
      <c r="R132" s="6" t="s">
        <v>60</v>
      </c>
      <c r="S132" s="6"/>
      <c r="T132" s="6"/>
      <c r="U132" s="23" t="n">
        <v>2.404</v>
      </c>
      <c r="V132" s="6" t="s">
        <v>6651</v>
      </c>
      <c r="W132" s="6" t="s">
        <v>6652</v>
      </c>
      <c r="X132" s="6" t="s">
        <v>6653</v>
      </c>
      <c r="Y132" s="6" t="s">
        <v>60</v>
      </c>
      <c r="Z132" s="6" t="n">
        <v>0</v>
      </c>
      <c r="AA132" s="6" t="n">
        <v>0</v>
      </c>
      <c r="AB132" s="6" t="n">
        <v>0</v>
      </c>
      <c r="AC132" s="6" t="n">
        <v>0</v>
      </c>
      <c r="AD132" s="6" t="n">
        <v>0</v>
      </c>
      <c r="AE132" s="6" t="n">
        <v>0</v>
      </c>
      <c r="AF132" s="6" t="n">
        <v>0</v>
      </c>
      <c r="AG132" s="6" t="n">
        <v>0</v>
      </c>
      <c r="AH132" s="6" t="n">
        <v>0</v>
      </c>
      <c r="AI132" s="6" t="s">
        <v>84</v>
      </c>
    </row>
    <row r="133" customFormat="false" ht="15" hidden="false" customHeight="false" outlineLevel="0" collapsed="false">
      <c r="A133" s="6" t="n">
        <v>132</v>
      </c>
      <c r="B133" s="6" t="s">
        <v>6654</v>
      </c>
      <c r="C133" s="6" t="n">
        <v>3</v>
      </c>
      <c r="D133" s="6" t="s">
        <v>237</v>
      </c>
      <c r="E133" s="6" t="s">
        <v>116</v>
      </c>
      <c r="F133" s="6" t="n">
        <v>3</v>
      </c>
      <c r="G133" s="6" t="n">
        <v>102</v>
      </c>
      <c r="H133" s="6" t="s">
        <v>6655</v>
      </c>
      <c r="I133" s="22" t="n">
        <v>1951500</v>
      </c>
      <c r="J133" s="22" t="n">
        <v>15000</v>
      </c>
      <c r="K133" s="22" t="n">
        <v>147487.5</v>
      </c>
      <c r="L133" s="22" t="n">
        <v>2113987.5</v>
      </c>
      <c r="M133" s="6" t="s">
        <v>224</v>
      </c>
      <c r="N133" s="6" t="s">
        <v>84</v>
      </c>
      <c r="O133" s="6" t="s">
        <v>866</v>
      </c>
      <c r="P133" s="6" t="s">
        <v>85</v>
      </c>
      <c r="Q133" s="6" t="str">
        <f aca="false">IF(P133="pass","No","Yes")</f>
        <v>Yes</v>
      </c>
      <c r="R133" s="6" t="s">
        <v>86</v>
      </c>
      <c r="S133" s="6" t="s">
        <v>866</v>
      </c>
      <c r="T133" s="6" t="s">
        <v>225</v>
      </c>
      <c r="U133" s="23" t="n">
        <v>1.919</v>
      </c>
      <c r="V133" s="6" t="s">
        <v>6656</v>
      </c>
      <c r="W133" s="6" t="s">
        <v>6657</v>
      </c>
      <c r="X133" s="6" t="s">
        <v>6658</v>
      </c>
      <c r="Y133" s="6" t="s">
        <v>86</v>
      </c>
      <c r="Z133" s="6" t="n">
        <v>1</v>
      </c>
      <c r="AA133" s="6" t="n">
        <v>0</v>
      </c>
      <c r="AB133" s="6" t="n">
        <v>0</v>
      </c>
      <c r="AC133" s="6" t="n">
        <v>0</v>
      </c>
      <c r="AD133" s="6" t="n">
        <v>0</v>
      </c>
      <c r="AE133" s="6" t="n">
        <v>0</v>
      </c>
      <c r="AF133" s="6" t="n">
        <v>0</v>
      </c>
      <c r="AG133" s="6" t="n">
        <v>0</v>
      </c>
      <c r="AH133" s="6" t="n">
        <v>0</v>
      </c>
      <c r="AI133" s="6" t="s">
        <v>58</v>
      </c>
    </row>
    <row r="134" customFormat="false" ht="15" hidden="false" customHeight="false" outlineLevel="0" collapsed="false">
      <c r="A134" s="6" t="n">
        <v>133</v>
      </c>
      <c r="B134" s="6" t="s">
        <v>6659</v>
      </c>
      <c r="C134" s="6" t="n">
        <v>3</v>
      </c>
      <c r="D134" s="6" t="s">
        <v>186</v>
      </c>
      <c r="E134" s="6" t="s">
        <v>123</v>
      </c>
      <c r="F134" s="6" t="n">
        <v>2</v>
      </c>
      <c r="G134" s="6" t="n">
        <v>28</v>
      </c>
      <c r="H134" s="6" t="s">
        <v>6660</v>
      </c>
      <c r="I134" s="22" t="n">
        <v>201600</v>
      </c>
      <c r="J134" s="22" t="n">
        <v>5000</v>
      </c>
      <c r="K134" s="22" t="n">
        <v>15495</v>
      </c>
      <c r="L134" s="22" t="n">
        <v>222095</v>
      </c>
      <c r="M134" s="6" t="s">
        <v>272</v>
      </c>
      <c r="N134" s="6" t="s">
        <v>84</v>
      </c>
      <c r="O134" s="6" t="s">
        <v>879</v>
      </c>
      <c r="P134" s="6" t="s">
        <v>85</v>
      </c>
      <c r="Q134" s="6" t="str">
        <f aca="false">IF(P134="pass","No","Yes")</f>
        <v>Yes</v>
      </c>
      <c r="R134" s="6" t="s">
        <v>86</v>
      </c>
      <c r="S134" s="6" t="s">
        <v>879</v>
      </c>
      <c r="T134" s="6" t="s">
        <v>6661</v>
      </c>
      <c r="U134" s="23" t="n">
        <v>2.035</v>
      </c>
      <c r="V134" s="6" t="s">
        <v>6662</v>
      </c>
      <c r="W134" s="6" t="s">
        <v>6663</v>
      </c>
      <c r="X134" s="6" t="s">
        <v>6664</v>
      </c>
      <c r="Y134" s="6" t="s">
        <v>86</v>
      </c>
      <c r="Z134" s="6" t="n">
        <v>0</v>
      </c>
      <c r="AA134" s="6" t="n">
        <v>1</v>
      </c>
      <c r="AB134" s="6" t="n">
        <v>0</v>
      </c>
      <c r="AC134" s="6" t="n">
        <v>0</v>
      </c>
      <c r="AD134" s="6" t="n">
        <v>0</v>
      </c>
      <c r="AE134" s="6" t="n">
        <v>0</v>
      </c>
      <c r="AF134" s="6" t="n">
        <v>0</v>
      </c>
      <c r="AG134" s="6" t="n">
        <v>0</v>
      </c>
      <c r="AH134" s="6" t="n">
        <v>0</v>
      </c>
      <c r="AI134" s="6" t="s">
        <v>84</v>
      </c>
    </row>
    <row r="135" customFormat="false" ht="15" hidden="false" customHeight="false" outlineLevel="0" collapsed="false">
      <c r="A135" s="6" t="n">
        <v>134</v>
      </c>
      <c r="B135" s="6" t="s">
        <v>6665</v>
      </c>
      <c r="C135" s="6" t="n">
        <v>3</v>
      </c>
      <c r="D135" s="6" t="s">
        <v>70</v>
      </c>
      <c r="E135" s="6" t="s">
        <v>74</v>
      </c>
      <c r="F135" s="6" t="n">
        <v>4</v>
      </c>
      <c r="G135" s="6" t="n">
        <v>161</v>
      </c>
      <c r="H135" s="6" t="s">
        <v>6666</v>
      </c>
      <c r="I135" s="22" t="n">
        <v>2132000</v>
      </c>
      <c r="J135" s="22" t="n">
        <v>9000</v>
      </c>
      <c r="K135" s="22" t="n">
        <v>160575</v>
      </c>
      <c r="L135" s="22" t="n">
        <v>2301575</v>
      </c>
      <c r="M135" s="6" t="s">
        <v>132</v>
      </c>
      <c r="N135" s="6" t="s">
        <v>84</v>
      </c>
      <c r="O135" s="6" t="s">
        <v>879</v>
      </c>
      <c r="P135" s="6" t="s">
        <v>85</v>
      </c>
      <c r="Q135" s="6" t="str">
        <f aca="false">IF(P135="pass","No","Yes")</f>
        <v>Yes</v>
      </c>
      <c r="R135" s="6" t="s">
        <v>86</v>
      </c>
      <c r="S135" s="6" t="s">
        <v>3637</v>
      </c>
      <c r="T135" s="6" t="s">
        <v>6667</v>
      </c>
      <c r="U135" s="23" t="n">
        <v>2.117</v>
      </c>
      <c r="V135" s="6" t="s">
        <v>6668</v>
      </c>
      <c r="W135" s="6" t="s">
        <v>6669</v>
      </c>
      <c r="X135" s="6" t="s">
        <v>6670</v>
      </c>
      <c r="Y135" s="6" t="s">
        <v>86</v>
      </c>
      <c r="Z135" s="6" t="n">
        <v>0</v>
      </c>
      <c r="AA135" s="6" t="n">
        <v>1</v>
      </c>
      <c r="AB135" s="6" t="n">
        <v>0</v>
      </c>
      <c r="AC135" s="6" t="n">
        <v>1</v>
      </c>
      <c r="AD135" s="6" t="n">
        <v>0</v>
      </c>
      <c r="AE135" s="6" t="n">
        <v>0</v>
      </c>
      <c r="AF135" s="6" t="n">
        <v>0</v>
      </c>
      <c r="AG135" s="6" t="n">
        <v>0</v>
      </c>
      <c r="AH135" s="6" t="n">
        <v>1</v>
      </c>
      <c r="AI135" s="6" t="s">
        <v>84</v>
      </c>
    </row>
    <row r="136" customFormat="false" ht="15" hidden="false" customHeight="false" outlineLevel="0" collapsed="false">
      <c r="A136" s="6" t="n">
        <v>135</v>
      </c>
      <c r="B136" s="6" t="s">
        <v>6671</v>
      </c>
      <c r="C136" s="6" t="n">
        <v>3</v>
      </c>
      <c r="D136" s="6" t="s">
        <v>100</v>
      </c>
      <c r="E136" s="6" t="s">
        <v>67</v>
      </c>
      <c r="F136" s="6" t="n">
        <v>3</v>
      </c>
      <c r="G136" s="6" t="n">
        <v>66</v>
      </c>
      <c r="H136" s="6" t="s">
        <v>6672</v>
      </c>
      <c r="I136" s="22" t="n">
        <v>1121300</v>
      </c>
      <c r="J136" s="22" t="n">
        <v>4500</v>
      </c>
      <c r="K136" s="22" t="n">
        <v>84435</v>
      </c>
      <c r="L136" s="22" t="n">
        <v>1210235</v>
      </c>
      <c r="M136" s="6" t="s">
        <v>57</v>
      </c>
      <c r="N136" s="6" t="s">
        <v>58</v>
      </c>
      <c r="O136" s="6"/>
      <c r="P136" s="6" t="s">
        <v>69</v>
      </c>
      <c r="Q136" s="6" t="str">
        <f aca="false">IF(P136="pass","No","Yes")</f>
        <v>No</v>
      </c>
      <c r="R136" s="6" t="s">
        <v>60</v>
      </c>
      <c r="S136" s="6"/>
      <c r="T136" s="6"/>
      <c r="U136" s="23" t="n">
        <v>2.342</v>
      </c>
      <c r="V136" s="6" t="s">
        <v>6673</v>
      </c>
      <c r="W136" s="6" t="s">
        <v>6674</v>
      </c>
      <c r="X136" s="6" t="s">
        <v>6675</v>
      </c>
      <c r="Y136" s="6" t="s">
        <v>60</v>
      </c>
      <c r="Z136" s="6" t="n">
        <v>0</v>
      </c>
      <c r="AA136" s="6" t="n">
        <v>0</v>
      </c>
      <c r="AB136" s="6" t="n">
        <v>0</v>
      </c>
      <c r="AC136" s="6" t="n">
        <v>0</v>
      </c>
      <c r="AD136" s="6" t="n">
        <v>0</v>
      </c>
      <c r="AE136" s="6" t="n">
        <v>0</v>
      </c>
      <c r="AF136" s="6" t="n">
        <v>0</v>
      </c>
      <c r="AG136" s="6" t="n">
        <v>0</v>
      </c>
      <c r="AH136" s="6" t="n">
        <v>0</v>
      </c>
      <c r="AI136" s="6" t="s">
        <v>84</v>
      </c>
    </row>
    <row r="137" customFormat="false" ht="15" hidden="false" customHeight="false" outlineLevel="0" collapsed="false">
      <c r="A137" s="6" t="n">
        <v>136</v>
      </c>
      <c r="B137" s="6" t="s">
        <v>6676</v>
      </c>
      <c r="C137" s="6" t="n">
        <v>3</v>
      </c>
      <c r="D137" s="6" t="s">
        <v>191</v>
      </c>
      <c r="E137" s="6" t="s">
        <v>116</v>
      </c>
      <c r="F137" s="6" t="n">
        <v>2</v>
      </c>
      <c r="G137" s="6" t="n">
        <v>78</v>
      </c>
      <c r="H137" s="6" t="s">
        <v>6677</v>
      </c>
      <c r="I137" s="22" t="n">
        <v>1156200</v>
      </c>
      <c r="J137" s="22" t="n">
        <v>15000</v>
      </c>
      <c r="K137" s="22" t="n">
        <v>87840</v>
      </c>
      <c r="L137" s="22" t="n">
        <v>1259040</v>
      </c>
      <c r="M137" s="6" t="s">
        <v>1042</v>
      </c>
      <c r="N137" s="6" t="s">
        <v>58</v>
      </c>
      <c r="O137" s="6"/>
      <c r="P137" s="6" t="s">
        <v>69</v>
      </c>
      <c r="Q137" s="6" t="str">
        <f aca="false">IF(P137="pass","No","Yes")</f>
        <v>No</v>
      </c>
      <c r="R137" s="6" t="s">
        <v>60</v>
      </c>
      <c r="S137" s="6"/>
      <c r="T137" s="6"/>
      <c r="U137" s="23" t="n">
        <v>2.382</v>
      </c>
      <c r="V137" s="6" t="s">
        <v>6678</v>
      </c>
      <c r="W137" s="6" t="s">
        <v>6679</v>
      </c>
      <c r="X137" s="6" t="s">
        <v>6680</v>
      </c>
      <c r="Y137" s="6" t="s">
        <v>60</v>
      </c>
      <c r="Z137" s="6" t="n">
        <v>0</v>
      </c>
      <c r="AA137" s="6" t="n">
        <v>0</v>
      </c>
      <c r="AB137" s="6" t="n">
        <v>0</v>
      </c>
      <c r="AC137" s="6" t="n">
        <v>0</v>
      </c>
      <c r="AD137" s="6" t="n">
        <v>0</v>
      </c>
      <c r="AE137" s="6" t="n">
        <v>0</v>
      </c>
      <c r="AF137" s="6" t="n">
        <v>0</v>
      </c>
      <c r="AG137" s="6" t="n">
        <v>0</v>
      </c>
      <c r="AH137" s="6" t="n">
        <v>0</v>
      </c>
      <c r="AI137" s="6" t="s">
        <v>84</v>
      </c>
    </row>
    <row r="138" customFormat="false" ht="15" hidden="false" customHeight="false" outlineLevel="0" collapsed="false">
      <c r="A138" s="6" t="n">
        <v>137</v>
      </c>
      <c r="B138" s="6" t="s">
        <v>6681</v>
      </c>
      <c r="C138" s="6" t="n">
        <v>3</v>
      </c>
      <c r="D138" s="6" t="s">
        <v>70</v>
      </c>
      <c r="E138" s="6" t="s">
        <v>74</v>
      </c>
      <c r="F138" s="6" t="n">
        <v>1</v>
      </c>
      <c r="G138" s="6" t="n">
        <v>2</v>
      </c>
      <c r="H138" s="6" t="s">
        <v>959</v>
      </c>
      <c r="I138" s="22" t="n">
        <v>8200</v>
      </c>
      <c r="J138" s="22" t="n">
        <v>9000</v>
      </c>
      <c r="K138" s="22" t="n">
        <v>1290</v>
      </c>
      <c r="L138" s="22" t="n">
        <v>18490</v>
      </c>
      <c r="M138" s="6" t="s">
        <v>57</v>
      </c>
      <c r="N138" s="6" t="s">
        <v>58</v>
      </c>
      <c r="O138" s="6"/>
      <c r="P138" s="6" t="s">
        <v>69</v>
      </c>
      <c r="Q138" s="6" t="str">
        <f aca="false">IF(P138="pass","No","Yes")</f>
        <v>No</v>
      </c>
      <c r="R138" s="6" t="s">
        <v>60</v>
      </c>
      <c r="S138" s="6"/>
      <c r="T138" s="6"/>
      <c r="U138" s="23" t="n">
        <v>2.384</v>
      </c>
      <c r="V138" s="6" t="s">
        <v>6682</v>
      </c>
      <c r="W138" s="6" t="s">
        <v>6683</v>
      </c>
      <c r="X138" s="6" t="s">
        <v>6684</v>
      </c>
      <c r="Y138" s="6" t="s">
        <v>60</v>
      </c>
      <c r="Z138" s="6" t="n">
        <v>0</v>
      </c>
      <c r="AA138" s="6" t="n">
        <v>0</v>
      </c>
      <c r="AB138" s="6" t="n">
        <v>0</v>
      </c>
      <c r="AC138" s="6" t="n">
        <v>0</v>
      </c>
      <c r="AD138" s="6" t="n">
        <v>0</v>
      </c>
      <c r="AE138" s="6" t="n">
        <v>0</v>
      </c>
      <c r="AF138" s="6" t="n">
        <v>0</v>
      </c>
      <c r="AG138" s="6" t="n">
        <v>0</v>
      </c>
      <c r="AH138" s="6" t="n">
        <v>0</v>
      </c>
      <c r="AI138" s="6" t="s">
        <v>84</v>
      </c>
    </row>
    <row r="139" customFormat="false" ht="15" hidden="false" customHeight="false" outlineLevel="0" collapsed="false">
      <c r="A139" s="6" t="n">
        <v>138</v>
      </c>
      <c r="B139" s="6" t="s">
        <v>6685</v>
      </c>
      <c r="C139" s="6" t="n">
        <v>3</v>
      </c>
      <c r="D139" s="6" t="s">
        <v>213</v>
      </c>
      <c r="E139" s="6" t="s">
        <v>67</v>
      </c>
      <c r="F139" s="6" t="n">
        <v>3</v>
      </c>
      <c r="G139" s="6" t="n">
        <v>49</v>
      </c>
      <c r="H139" s="6" t="s">
        <v>6686</v>
      </c>
      <c r="I139" s="22" t="n">
        <v>1621000</v>
      </c>
      <c r="J139" s="22" t="n">
        <v>4500</v>
      </c>
      <c r="K139" s="22" t="n">
        <v>121912.5</v>
      </c>
      <c r="L139" s="22" t="n">
        <v>1747412.5</v>
      </c>
      <c r="M139" s="6" t="s">
        <v>57</v>
      </c>
      <c r="N139" s="6" t="s">
        <v>58</v>
      </c>
      <c r="O139" s="6"/>
      <c r="P139" s="6" t="s">
        <v>69</v>
      </c>
      <c r="Q139" s="6" t="str">
        <f aca="false">IF(P139="pass","No","Yes")</f>
        <v>No</v>
      </c>
      <c r="R139" s="6" t="s">
        <v>60</v>
      </c>
      <c r="S139" s="6"/>
      <c r="T139" s="6"/>
      <c r="U139" s="23" t="n">
        <v>2.44</v>
      </c>
      <c r="V139" s="6" t="s">
        <v>6687</v>
      </c>
      <c r="W139" s="6" t="s">
        <v>6688</v>
      </c>
      <c r="X139" s="6" t="s">
        <v>6689</v>
      </c>
      <c r="Y139" s="6" t="s">
        <v>60</v>
      </c>
      <c r="Z139" s="6" t="n">
        <v>0</v>
      </c>
      <c r="AA139" s="6" t="n">
        <v>0</v>
      </c>
      <c r="AB139" s="6" t="n">
        <v>0</v>
      </c>
      <c r="AC139" s="6" t="n">
        <v>0</v>
      </c>
      <c r="AD139" s="6" t="n">
        <v>0</v>
      </c>
      <c r="AE139" s="6" t="n">
        <v>0</v>
      </c>
      <c r="AF139" s="6" t="n">
        <v>0</v>
      </c>
      <c r="AG139" s="6" t="n">
        <v>0</v>
      </c>
      <c r="AH139" s="6" t="n">
        <v>0</v>
      </c>
      <c r="AI139" s="6" t="s">
        <v>84</v>
      </c>
    </row>
    <row r="140" customFormat="false" ht="15" hidden="false" customHeight="false" outlineLevel="0" collapsed="false">
      <c r="A140" s="6" t="n">
        <v>139</v>
      </c>
      <c r="B140" s="6" t="s">
        <v>6690</v>
      </c>
      <c r="C140" s="6" t="n">
        <v>3</v>
      </c>
      <c r="D140" s="6" t="s">
        <v>127</v>
      </c>
      <c r="E140" s="6" t="s">
        <v>55</v>
      </c>
      <c r="F140" s="6" t="n">
        <v>3</v>
      </c>
      <c r="G140" s="6" t="n">
        <v>30</v>
      </c>
      <c r="H140" s="6" t="s">
        <v>6691</v>
      </c>
      <c r="I140" s="22" t="n">
        <v>815000</v>
      </c>
      <c r="J140" s="22" t="n">
        <v>6000</v>
      </c>
      <c r="K140" s="22" t="n">
        <v>61575</v>
      </c>
      <c r="L140" s="22" t="n">
        <v>882575</v>
      </c>
      <c r="M140" s="6" t="s">
        <v>1009</v>
      </c>
      <c r="N140" s="6" t="s">
        <v>58</v>
      </c>
      <c r="O140" s="6"/>
      <c r="P140" s="6" t="s">
        <v>69</v>
      </c>
      <c r="Q140" s="6" t="str">
        <f aca="false">IF(P140="pass","No","Yes")</f>
        <v>No</v>
      </c>
      <c r="R140" s="6" t="s">
        <v>60</v>
      </c>
      <c r="S140" s="6"/>
      <c r="T140" s="6"/>
      <c r="U140" s="23" t="n">
        <v>2.271</v>
      </c>
      <c r="V140" s="6" t="s">
        <v>6692</v>
      </c>
      <c r="W140" s="6" t="s">
        <v>6693</v>
      </c>
      <c r="X140" s="6" t="s">
        <v>6694</v>
      </c>
      <c r="Y140" s="6" t="s">
        <v>60</v>
      </c>
      <c r="Z140" s="6" t="n">
        <v>0</v>
      </c>
      <c r="AA140" s="6" t="n">
        <v>0</v>
      </c>
      <c r="AB140" s="6" t="n">
        <v>0</v>
      </c>
      <c r="AC140" s="6" t="n">
        <v>0</v>
      </c>
      <c r="AD140" s="6" t="n">
        <v>0</v>
      </c>
      <c r="AE140" s="6" t="n">
        <v>0</v>
      </c>
      <c r="AF140" s="6" t="n">
        <v>0</v>
      </c>
      <c r="AG140" s="6" t="n">
        <v>0</v>
      </c>
      <c r="AH140" s="6" t="n">
        <v>0</v>
      </c>
      <c r="AI140" s="6" t="s">
        <v>84</v>
      </c>
    </row>
    <row r="141" customFormat="false" ht="15" hidden="false" customHeight="false" outlineLevel="0" collapsed="false">
      <c r="A141" s="6" t="n">
        <v>140</v>
      </c>
      <c r="B141" s="6" t="s">
        <v>6695</v>
      </c>
      <c r="C141" s="6" t="n">
        <v>3</v>
      </c>
      <c r="D141" s="6" t="s">
        <v>127</v>
      </c>
      <c r="E141" s="6" t="s">
        <v>55</v>
      </c>
      <c r="F141" s="6" t="n">
        <v>3</v>
      </c>
      <c r="G141" s="6" t="n">
        <v>47</v>
      </c>
      <c r="H141" s="6" t="s">
        <v>6696</v>
      </c>
      <c r="I141" s="22" t="n">
        <v>1445400</v>
      </c>
      <c r="J141" s="22" t="n">
        <v>6000</v>
      </c>
      <c r="K141" s="22" t="n">
        <v>108855</v>
      </c>
      <c r="L141" s="22" t="n">
        <v>1560255</v>
      </c>
      <c r="M141" s="6" t="s">
        <v>57</v>
      </c>
      <c r="N141" s="6" t="s">
        <v>58</v>
      </c>
      <c r="O141" s="6"/>
      <c r="P141" s="6" t="s">
        <v>69</v>
      </c>
      <c r="Q141" s="6" t="str">
        <f aca="false">IF(P141="pass","No","Yes")</f>
        <v>No</v>
      </c>
      <c r="R141" s="6" t="s">
        <v>60</v>
      </c>
      <c r="S141" s="6"/>
      <c r="T141" s="6"/>
      <c r="U141" s="23" t="n">
        <v>2.337</v>
      </c>
      <c r="V141" s="6" t="s">
        <v>6697</v>
      </c>
      <c r="W141" s="6" t="s">
        <v>6698</v>
      </c>
      <c r="X141" s="6" t="s">
        <v>6699</v>
      </c>
      <c r="Y141" s="6" t="s">
        <v>60</v>
      </c>
      <c r="Z141" s="6" t="n">
        <v>0</v>
      </c>
      <c r="AA141" s="6" t="n">
        <v>0</v>
      </c>
      <c r="AB141" s="6" t="n">
        <v>0</v>
      </c>
      <c r="AC141" s="6" t="n">
        <v>0</v>
      </c>
      <c r="AD141" s="6" t="n">
        <v>0</v>
      </c>
      <c r="AE141" s="6" t="n">
        <v>0</v>
      </c>
      <c r="AF141" s="6" t="n">
        <v>0</v>
      </c>
      <c r="AG141" s="6" t="n">
        <v>0</v>
      </c>
      <c r="AH141" s="6" t="n">
        <v>0</v>
      </c>
      <c r="AI141" s="6" t="s">
        <v>84</v>
      </c>
    </row>
    <row r="142" customFormat="false" ht="15" hidden="false" customHeight="false" outlineLevel="0" collapsed="false">
      <c r="A142" s="6" t="n">
        <v>141</v>
      </c>
      <c r="B142" s="6" t="s">
        <v>6700</v>
      </c>
      <c r="C142" s="6" t="n">
        <v>3</v>
      </c>
      <c r="D142" s="6" t="s">
        <v>191</v>
      </c>
      <c r="E142" s="6" t="s">
        <v>116</v>
      </c>
      <c r="F142" s="6" t="n">
        <v>3</v>
      </c>
      <c r="G142" s="6" t="n">
        <v>54</v>
      </c>
      <c r="H142" s="6" t="s">
        <v>6701</v>
      </c>
      <c r="I142" s="22" t="n">
        <v>685600</v>
      </c>
      <c r="J142" s="22" t="n">
        <v>15000</v>
      </c>
      <c r="K142" s="22" t="n">
        <v>52545</v>
      </c>
      <c r="L142" s="22" t="n">
        <v>753145</v>
      </c>
      <c r="M142" s="6" t="s">
        <v>57</v>
      </c>
      <c r="N142" s="6" t="s">
        <v>58</v>
      </c>
      <c r="O142" s="6"/>
      <c r="P142" s="6" t="s">
        <v>69</v>
      </c>
      <c r="Q142" s="6" t="str">
        <f aca="false">IF(P142="pass","No","Yes")</f>
        <v>No</v>
      </c>
      <c r="R142" s="6" t="s">
        <v>60</v>
      </c>
      <c r="S142" s="6"/>
      <c r="T142" s="6"/>
      <c r="U142" s="23" t="n">
        <v>2.537</v>
      </c>
      <c r="V142" s="6" t="s">
        <v>6702</v>
      </c>
      <c r="W142" s="6" t="s">
        <v>6703</v>
      </c>
      <c r="X142" s="6" t="s">
        <v>6704</v>
      </c>
      <c r="Y142" s="6" t="s">
        <v>60</v>
      </c>
      <c r="Z142" s="6" t="n">
        <v>0</v>
      </c>
      <c r="AA142" s="6" t="n">
        <v>0</v>
      </c>
      <c r="AB142" s="6" t="n">
        <v>0</v>
      </c>
      <c r="AC142" s="6" t="n">
        <v>0</v>
      </c>
      <c r="AD142" s="6" t="n">
        <v>0</v>
      </c>
      <c r="AE142" s="6" t="n">
        <v>0</v>
      </c>
      <c r="AF142" s="6" t="n">
        <v>0</v>
      </c>
      <c r="AG142" s="6" t="n">
        <v>0</v>
      </c>
      <c r="AH142" s="6" t="n">
        <v>0</v>
      </c>
      <c r="AI142" s="6" t="s">
        <v>84</v>
      </c>
    </row>
    <row r="143" customFormat="false" ht="15" hidden="false" customHeight="false" outlineLevel="0" collapsed="false">
      <c r="A143" s="6" t="n">
        <v>142</v>
      </c>
      <c r="B143" s="6" t="s">
        <v>6705</v>
      </c>
      <c r="C143" s="6" t="n">
        <v>3</v>
      </c>
      <c r="D143" s="6" t="s">
        <v>237</v>
      </c>
      <c r="E143" s="6" t="s">
        <v>116</v>
      </c>
      <c r="F143" s="6" t="n">
        <v>1</v>
      </c>
      <c r="G143" s="6" t="n">
        <v>75</v>
      </c>
      <c r="H143" s="6" t="s">
        <v>1852</v>
      </c>
      <c r="I143" s="22" t="n">
        <v>540000</v>
      </c>
      <c r="J143" s="22" t="n">
        <v>15000</v>
      </c>
      <c r="K143" s="22" t="n">
        <v>41625</v>
      </c>
      <c r="L143" s="22" t="n">
        <v>596625</v>
      </c>
      <c r="M143" s="6" t="s">
        <v>57</v>
      </c>
      <c r="N143" s="6" t="s">
        <v>58</v>
      </c>
      <c r="O143" s="6"/>
      <c r="P143" s="6" t="s">
        <v>69</v>
      </c>
      <c r="Q143" s="6" t="str">
        <f aca="false">IF(P143="pass","No","Yes")</f>
        <v>No</v>
      </c>
      <c r="R143" s="6" t="s">
        <v>60</v>
      </c>
      <c r="S143" s="6"/>
      <c r="T143" s="6"/>
      <c r="U143" s="23" t="n">
        <v>2.248</v>
      </c>
      <c r="V143" s="6" t="s">
        <v>6706</v>
      </c>
      <c r="W143" s="6" t="s">
        <v>6707</v>
      </c>
      <c r="X143" s="6" t="s">
        <v>6708</v>
      </c>
      <c r="Y143" s="6" t="s">
        <v>60</v>
      </c>
      <c r="Z143" s="6" t="n">
        <v>0</v>
      </c>
      <c r="AA143" s="6" t="n">
        <v>0</v>
      </c>
      <c r="AB143" s="6" t="n">
        <v>0</v>
      </c>
      <c r="AC143" s="6" t="n">
        <v>0</v>
      </c>
      <c r="AD143" s="6" t="n">
        <v>0</v>
      </c>
      <c r="AE143" s="6" t="n">
        <v>0</v>
      </c>
      <c r="AF143" s="6" t="n">
        <v>0</v>
      </c>
      <c r="AG143" s="6" t="n">
        <v>0</v>
      </c>
      <c r="AH143" s="6" t="n">
        <v>0</v>
      </c>
      <c r="AI143" s="6" t="s">
        <v>84</v>
      </c>
    </row>
    <row r="144" customFormat="false" ht="15" hidden="false" customHeight="false" outlineLevel="0" collapsed="false">
      <c r="A144" s="6" t="n">
        <v>143</v>
      </c>
      <c r="B144" s="6" t="s">
        <v>6709</v>
      </c>
      <c r="C144" s="6" t="n">
        <v>3</v>
      </c>
      <c r="D144" s="6" t="s">
        <v>177</v>
      </c>
      <c r="E144" s="6" t="s">
        <v>81</v>
      </c>
      <c r="F144" s="6" t="n">
        <v>4</v>
      </c>
      <c r="G144" s="6" t="n">
        <v>57</v>
      </c>
      <c r="H144" s="6" t="s">
        <v>6710</v>
      </c>
      <c r="I144" s="22" t="n">
        <v>1313500</v>
      </c>
      <c r="J144" s="22" t="n">
        <v>4000</v>
      </c>
      <c r="K144" s="22" t="n">
        <v>98812.5</v>
      </c>
      <c r="L144" s="22" t="n">
        <v>1416312.5</v>
      </c>
      <c r="M144" s="6" t="s">
        <v>1009</v>
      </c>
      <c r="N144" s="6" t="s">
        <v>58</v>
      </c>
      <c r="O144" s="6"/>
      <c r="P144" s="6" t="s">
        <v>69</v>
      </c>
      <c r="Q144" s="6" t="str">
        <f aca="false">IF(P144="pass","No","Yes")</f>
        <v>No</v>
      </c>
      <c r="R144" s="6" t="s">
        <v>60</v>
      </c>
      <c r="S144" s="6"/>
      <c r="T144" s="6"/>
      <c r="U144" s="23" t="n">
        <v>2.41</v>
      </c>
      <c r="V144" s="6" t="s">
        <v>6711</v>
      </c>
      <c r="W144" s="6" t="s">
        <v>6712</v>
      </c>
      <c r="X144" s="6" t="s">
        <v>6713</v>
      </c>
      <c r="Y144" s="6" t="s">
        <v>60</v>
      </c>
      <c r="Z144" s="6" t="n">
        <v>0</v>
      </c>
      <c r="AA144" s="6" t="n">
        <v>0</v>
      </c>
      <c r="AB144" s="6" t="n">
        <v>0</v>
      </c>
      <c r="AC144" s="6" t="n">
        <v>0</v>
      </c>
      <c r="AD144" s="6" t="n">
        <v>0</v>
      </c>
      <c r="AE144" s="6" t="n">
        <v>0</v>
      </c>
      <c r="AF144" s="6" t="n">
        <v>0</v>
      </c>
      <c r="AG144" s="6" t="n">
        <v>0</v>
      </c>
      <c r="AH144" s="6" t="n">
        <v>0</v>
      </c>
      <c r="AI144" s="6" t="s">
        <v>84</v>
      </c>
    </row>
    <row r="145" customFormat="false" ht="15" hidden="false" customHeight="false" outlineLevel="0" collapsed="false">
      <c r="A145" s="6" t="n">
        <v>144</v>
      </c>
      <c r="B145" s="6" t="s">
        <v>6714</v>
      </c>
      <c r="C145" s="6" t="n">
        <v>3</v>
      </c>
      <c r="D145" s="6" t="s">
        <v>213</v>
      </c>
      <c r="E145" s="6" t="s">
        <v>146</v>
      </c>
      <c r="F145" s="6" t="n">
        <v>1</v>
      </c>
      <c r="G145" s="6" t="n">
        <v>8</v>
      </c>
      <c r="H145" s="6" t="s">
        <v>6715</v>
      </c>
      <c r="I145" s="22" t="n">
        <v>116000</v>
      </c>
      <c r="J145" s="22" t="n">
        <v>0</v>
      </c>
      <c r="K145" s="22" t="n">
        <v>8700</v>
      </c>
      <c r="L145" s="22" t="n">
        <v>124700</v>
      </c>
      <c r="M145" s="6" t="s">
        <v>148</v>
      </c>
      <c r="N145" s="6" t="s">
        <v>84</v>
      </c>
      <c r="O145" s="6" t="s">
        <v>866</v>
      </c>
      <c r="P145" s="6" t="s">
        <v>85</v>
      </c>
      <c r="Q145" s="6" t="str">
        <f aca="false">IF(P145="pass","No","Yes")</f>
        <v>Yes</v>
      </c>
      <c r="R145" s="6" t="s">
        <v>86</v>
      </c>
      <c r="S145" s="6" t="s">
        <v>866</v>
      </c>
      <c r="T145" s="6" t="s">
        <v>150</v>
      </c>
      <c r="U145" s="23" t="n">
        <v>1.927</v>
      </c>
      <c r="V145" s="6" t="s">
        <v>6716</v>
      </c>
      <c r="W145" s="6" t="s">
        <v>6717</v>
      </c>
      <c r="X145" s="6" t="s">
        <v>6718</v>
      </c>
      <c r="Y145" s="6" t="s">
        <v>86</v>
      </c>
      <c r="Z145" s="6" t="n">
        <v>1</v>
      </c>
      <c r="AA145" s="6" t="n">
        <v>0</v>
      </c>
      <c r="AB145" s="6" t="n">
        <v>0</v>
      </c>
      <c r="AC145" s="6" t="n">
        <v>0</v>
      </c>
      <c r="AD145" s="6" t="n">
        <v>0</v>
      </c>
      <c r="AE145" s="6" t="n">
        <v>0</v>
      </c>
      <c r="AF145" s="6" t="n">
        <v>0</v>
      </c>
      <c r="AG145" s="6" t="n">
        <v>0</v>
      </c>
      <c r="AH145" s="6" t="n">
        <v>0</v>
      </c>
      <c r="AI145" s="6" t="s">
        <v>84</v>
      </c>
    </row>
    <row r="146" customFormat="false" ht="15" hidden="false" customHeight="false" outlineLevel="0" collapsed="false">
      <c r="A146" s="6" t="n">
        <v>145</v>
      </c>
      <c r="B146" s="6" t="s">
        <v>6719</v>
      </c>
      <c r="C146" s="6" t="n">
        <v>3</v>
      </c>
      <c r="D146" s="6" t="s">
        <v>89</v>
      </c>
      <c r="E146" s="6" t="s">
        <v>67</v>
      </c>
      <c r="F146" s="6" t="n">
        <v>2</v>
      </c>
      <c r="G146" s="6" t="n">
        <v>71</v>
      </c>
      <c r="H146" s="6" t="s">
        <v>6720</v>
      </c>
      <c r="I146" s="22" t="n">
        <v>863700</v>
      </c>
      <c r="J146" s="22" t="n">
        <v>4500</v>
      </c>
      <c r="K146" s="22" t="n">
        <v>65115</v>
      </c>
      <c r="L146" s="22" t="n">
        <v>933315</v>
      </c>
      <c r="M146" s="6" t="s">
        <v>960</v>
      </c>
      <c r="N146" s="6" t="s">
        <v>84</v>
      </c>
      <c r="O146" s="6" t="s">
        <v>961</v>
      </c>
      <c r="P146" s="6" t="s">
        <v>85</v>
      </c>
      <c r="Q146" s="6" t="str">
        <f aca="false">IF(P146="pass","No","Yes")</f>
        <v>Yes</v>
      </c>
      <c r="R146" s="6" t="s">
        <v>86</v>
      </c>
      <c r="S146" s="6" t="s">
        <v>961</v>
      </c>
      <c r="T146" s="6" t="s">
        <v>962</v>
      </c>
      <c r="U146" s="23" t="n">
        <v>1.982</v>
      </c>
      <c r="V146" s="6" t="s">
        <v>6721</v>
      </c>
      <c r="W146" s="6" t="s">
        <v>6722</v>
      </c>
      <c r="X146" s="6" t="s">
        <v>6723</v>
      </c>
      <c r="Y146" s="6" t="s">
        <v>86</v>
      </c>
      <c r="Z146" s="6" t="n">
        <v>0</v>
      </c>
      <c r="AA146" s="6" t="n">
        <v>0</v>
      </c>
      <c r="AB146" s="6" t="n">
        <v>0</v>
      </c>
      <c r="AC146" s="6" t="n">
        <v>0</v>
      </c>
      <c r="AD146" s="6" t="n">
        <v>1</v>
      </c>
      <c r="AE146" s="6" t="n">
        <v>0</v>
      </c>
      <c r="AF146" s="6" t="n">
        <v>0</v>
      </c>
      <c r="AG146" s="6" t="n">
        <v>0</v>
      </c>
      <c r="AH146" s="6" t="n">
        <v>0</v>
      </c>
      <c r="AI146" s="6" t="s">
        <v>84</v>
      </c>
    </row>
    <row r="147" customFormat="false" ht="15" hidden="false" customHeight="false" outlineLevel="0" collapsed="false">
      <c r="A147" s="6" t="n">
        <v>146</v>
      </c>
      <c r="B147" s="6" t="s">
        <v>6724</v>
      </c>
      <c r="C147" s="6" t="n">
        <v>3</v>
      </c>
      <c r="D147" s="6" t="s">
        <v>237</v>
      </c>
      <c r="E147" s="6" t="s">
        <v>116</v>
      </c>
      <c r="F147" s="6" t="n">
        <v>2</v>
      </c>
      <c r="G147" s="6" t="n">
        <v>16</v>
      </c>
      <c r="H147" s="6" t="s">
        <v>6725</v>
      </c>
      <c r="I147" s="22" t="n">
        <v>490500</v>
      </c>
      <c r="J147" s="22" t="n">
        <v>15000</v>
      </c>
      <c r="K147" s="22" t="n">
        <v>37912.5</v>
      </c>
      <c r="L147" s="22" t="n">
        <v>543412.5</v>
      </c>
      <c r="M147" s="6" t="s">
        <v>94</v>
      </c>
      <c r="N147" s="6" t="s">
        <v>84</v>
      </c>
      <c r="O147" s="6" t="s">
        <v>909</v>
      </c>
      <c r="P147" s="6" t="s">
        <v>85</v>
      </c>
      <c r="Q147" s="6" t="str">
        <f aca="false">IF(P147="pass","No","Yes")</f>
        <v>Yes</v>
      </c>
      <c r="R147" s="6" t="s">
        <v>86</v>
      </c>
      <c r="S147" s="6" t="s">
        <v>909</v>
      </c>
      <c r="T147" s="6" t="s">
        <v>254</v>
      </c>
      <c r="U147" s="23" t="n">
        <v>1.891</v>
      </c>
      <c r="V147" s="6" t="s">
        <v>6726</v>
      </c>
      <c r="W147" s="6" t="s">
        <v>6727</v>
      </c>
      <c r="X147" s="6" t="s">
        <v>6728</v>
      </c>
      <c r="Y147" s="6" t="s">
        <v>86</v>
      </c>
      <c r="Z147" s="6" t="n">
        <v>0</v>
      </c>
      <c r="AA147" s="6" t="n">
        <v>0</v>
      </c>
      <c r="AB147" s="6" t="n">
        <v>0</v>
      </c>
      <c r="AC147" s="6" t="n">
        <v>0</v>
      </c>
      <c r="AD147" s="6" t="n">
        <v>0</v>
      </c>
      <c r="AE147" s="6" t="n">
        <v>0</v>
      </c>
      <c r="AF147" s="6" t="n">
        <v>1</v>
      </c>
      <c r="AG147" s="6" t="n">
        <v>0</v>
      </c>
      <c r="AH147" s="6" t="n">
        <v>0</v>
      </c>
      <c r="AI147" s="6" t="s">
        <v>84</v>
      </c>
    </row>
    <row r="148" customFormat="false" ht="15" hidden="false" customHeight="false" outlineLevel="0" collapsed="false">
      <c r="A148" s="6" t="n">
        <v>147</v>
      </c>
      <c r="B148" s="6" t="s">
        <v>6729</v>
      </c>
      <c r="C148" s="6" t="n">
        <v>3</v>
      </c>
      <c r="D148" s="6" t="s">
        <v>112</v>
      </c>
      <c r="E148" s="6" t="s">
        <v>116</v>
      </c>
      <c r="F148" s="6" t="n">
        <v>3</v>
      </c>
      <c r="G148" s="6" t="n">
        <v>46</v>
      </c>
      <c r="H148" s="6" t="s">
        <v>6730</v>
      </c>
      <c r="I148" s="22" t="n">
        <v>881000</v>
      </c>
      <c r="J148" s="22" t="n">
        <v>15000</v>
      </c>
      <c r="K148" s="22" t="n">
        <v>67200</v>
      </c>
      <c r="L148" s="22" t="n">
        <v>963200</v>
      </c>
      <c r="M148" s="6" t="s">
        <v>272</v>
      </c>
      <c r="N148" s="6" t="s">
        <v>84</v>
      </c>
      <c r="O148" s="6" t="s">
        <v>879</v>
      </c>
      <c r="P148" s="6" t="s">
        <v>85</v>
      </c>
      <c r="Q148" s="6" t="str">
        <f aca="false">IF(P148="pass","No","Yes")</f>
        <v>Yes</v>
      </c>
      <c r="R148" s="6" t="s">
        <v>86</v>
      </c>
      <c r="S148" s="6" t="s">
        <v>879</v>
      </c>
      <c r="T148" s="6" t="s">
        <v>6731</v>
      </c>
      <c r="U148" s="23" t="n">
        <v>2</v>
      </c>
      <c r="V148" s="6" t="s">
        <v>6732</v>
      </c>
      <c r="W148" s="6" t="s">
        <v>6733</v>
      </c>
      <c r="X148" s="6" t="s">
        <v>6734</v>
      </c>
      <c r="Y148" s="6" t="s">
        <v>86</v>
      </c>
      <c r="Z148" s="6" t="n">
        <v>0</v>
      </c>
      <c r="AA148" s="6" t="n">
        <v>1</v>
      </c>
      <c r="AB148" s="6" t="n">
        <v>0</v>
      </c>
      <c r="AC148" s="6" t="n">
        <v>0</v>
      </c>
      <c r="AD148" s="6" t="n">
        <v>0</v>
      </c>
      <c r="AE148" s="6" t="n">
        <v>0</v>
      </c>
      <c r="AF148" s="6" t="n">
        <v>0</v>
      </c>
      <c r="AG148" s="6" t="n">
        <v>0</v>
      </c>
      <c r="AH148" s="6" t="n">
        <v>0</v>
      </c>
      <c r="AI148" s="6" t="s">
        <v>84</v>
      </c>
    </row>
    <row r="149" customFormat="false" ht="15" hidden="false" customHeight="false" outlineLevel="0" collapsed="false">
      <c r="A149" s="6" t="n">
        <v>148</v>
      </c>
      <c r="B149" s="6" t="s">
        <v>6735</v>
      </c>
      <c r="C149" s="6" t="n">
        <v>3</v>
      </c>
      <c r="D149" s="6" t="s">
        <v>119</v>
      </c>
      <c r="E149" s="6" t="s">
        <v>123</v>
      </c>
      <c r="F149" s="6" t="n">
        <v>1</v>
      </c>
      <c r="G149" s="6" t="n">
        <v>22</v>
      </c>
      <c r="H149" s="6" t="s">
        <v>2901</v>
      </c>
      <c r="I149" s="22" t="n">
        <v>836000</v>
      </c>
      <c r="J149" s="22" t="n">
        <v>5000</v>
      </c>
      <c r="K149" s="22" t="n">
        <v>63075</v>
      </c>
      <c r="L149" s="22" t="n">
        <v>904075</v>
      </c>
      <c r="M149" s="6" t="s">
        <v>57</v>
      </c>
      <c r="N149" s="6" t="s">
        <v>58</v>
      </c>
      <c r="O149" s="6"/>
      <c r="P149" s="6" t="s">
        <v>69</v>
      </c>
      <c r="Q149" s="6" t="str">
        <f aca="false">IF(P149="pass","No","Yes")</f>
        <v>No</v>
      </c>
      <c r="R149" s="6" t="s">
        <v>60</v>
      </c>
      <c r="S149" s="6"/>
      <c r="T149" s="6"/>
      <c r="U149" s="23" t="n">
        <v>2.358</v>
      </c>
      <c r="V149" s="6" t="s">
        <v>6736</v>
      </c>
      <c r="W149" s="6" t="s">
        <v>6737</v>
      </c>
      <c r="X149" s="6" t="s">
        <v>6738</v>
      </c>
      <c r="Y149" s="6" t="s">
        <v>60</v>
      </c>
      <c r="Z149" s="6" t="n">
        <v>0</v>
      </c>
      <c r="AA149" s="6" t="n">
        <v>0</v>
      </c>
      <c r="AB149" s="6" t="n">
        <v>0</v>
      </c>
      <c r="AC149" s="6" t="n">
        <v>0</v>
      </c>
      <c r="AD149" s="6" t="n">
        <v>0</v>
      </c>
      <c r="AE149" s="6" t="n">
        <v>0</v>
      </c>
      <c r="AF149" s="6" t="n">
        <v>0</v>
      </c>
      <c r="AG149" s="6" t="n">
        <v>0</v>
      </c>
      <c r="AH149" s="6" t="n">
        <v>0</v>
      </c>
      <c r="AI149" s="6" t="s">
        <v>84</v>
      </c>
    </row>
    <row r="150" customFormat="false" ht="15" hidden="false" customHeight="false" outlineLevel="0" collapsed="false">
      <c r="A150" s="6" t="n">
        <v>149</v>
      </c>
      <c r="B150" s="6" t="s">
        <v>6739</v>
      </c>
      <c r="C150" s="6" t="n">
        <v>3</v>
      </c>
      <c r="D150" s="6" t="s">
        <v>137</v>
      </c>
      <c r="E150" s="6" t="s">
        <v>55</v>
      </c>
      <c r="F150" s="6" t="n">
        <v>2</v>
      </c>
      <c r="G150" s="6" t="n">
        <v>26</v>
      </c>
      <c r="H150" s="6" t="s">
        <v>6740</v>
      </c>
      <c r="I150" s="22" t="n">
        <v>864800</v>
      </c>
      <c r="J150" s="22" t="n">
        <v>6000</v>
      </c>
      <c r="K150" s="22" t="n">
        <v>65310</v>
      </c>
      <c r="L150" s="22" t="n">
        <v>936110</v>
      </c>
      <c r="M150" s="6" t="s">
        <v>83</v>
      </c>
      <c r="N150" s="6" t="s">
        <v>84</v>
      </c>
      <c r="O150" s="6" t="s">
        <v>886</v>
      </c>
      <c r="P150" s="6" t="s">
        <v>85</v>
      </c>
      <c r="Q150" s="6" t="str">
        <f aca="false">IF(P150="pass","No","Yes")</f>
        <v>Yes</v>
      </c>
      <c r="R150" s="6" t="s">
        <v>86</v>
      </c>
      <c r="S150" s="6" t="s">
        <v>886</v>
      </c>
      <c r="T150" s="6" t="s">
        <v>488</v>
      </c>
      <c r="U150" s="23" t="n">
        <v>1.962</v>
      </c>
      <c r="V150" s="6" t="s">
        <v>6741</v>
      </c>
      <c r="W150" s="6" t="s">
        <v>6742</v>
      </c>
      <c r="X150" s="6" t="s">
        <v>6743</v>
      </c>
      <c r="Y150" s="6" t="s">
        <v>86</v>
      </c>
      <c r="Z150" s="6" t="n">
        <v>0</v>
      </c>
      <c r="AA150" s="6" t="n">
        <v>0</v>
      </c>
      <c r="AB150" s="6" t="n">
        <v>1</v>
      </c>
      <c r="AC150" s="6" t="n">
        <v>0</v>
      </c>
      <c r="AD150" s="6" t="n">
        <v>0</v>
      </c>
      <c r="AE150" s="6" t="n">
        <v>0</v>
      </c>
      <c r="AF150" s="6" t="n">
        <v>0</v>
      </c>
      <c r="AG150" s="6" t="n">
        <v>0</v>
      </c>
      <c r="AH150" s="6" t="n">
        <v>0</v>
      </c>
      <c r="AI150" s="6" t="s">
        <v>84</v>
      </c>
    </row>
    <row r="151" customFormat="false" ht="15" hidden="false" customHeight="false" outlineLevel="0" collapsed="false">
      <c r="A151" s="6" t="n">
        <v>150</v>
      </c>
      <c r="B151" s="6" t="s">
        <v>6744</v>
      </c>
      <c r="C151" s="6" t="n">
        <v>3</v>
      </c>
      <c r="D151" s="6" t="s">
        <v>166</v>
      </c>
      <c r="E151" s="6" t="s">
        <v>74</v>
      </c>
      <c r="F151" s="6" t="n">
        <v>1</v>
      </c>
      <c r="G151" s="6" t="n">
        <v>47</v>
      </c>
      <c r="H151" s="6" t="s">
        <v>4247</v>
      </c>
      <c r="I151" s="22" t="n">
        <v>404200</v>
      </c>
      <c r="J151" s="22" t="n">
        <v>9000</v>
      </c>
      <c r="K151" s="22" t="n">
        <v>30990</v>
      </c>
      <c r="L151" s="22" t="n">
        <v>444190</v>
      </c>
      <c r="M151" s="6" t="s">
        <v>984</v>
      </c>
      <c r="N151" s="6" t="s">
        <v>84</v>
      </c>
      <c r="O151" s="6" t="s">
        <v>985</v>
      </c>
      <c r="P151" s="6" t="s">
        <v>85</v>
      </c>
      <c r="Q151" s="6" t="str">
        <f aca="false">IF(P151="pass","No","Yes")</f>
        <v>Yes</v>
      </c>
      <c r="R151" s="6" t="s">
        <v>86</v>
      </c>
      <c r="S151" s="6" t="s">
        <v>985</v>
      </c>
      <c r="T151" s="6" t="s">
        <v>3394</v>
      </c>
      <c r="U151" s="23" t="n">
        <v>1.922</v>
      </c>
      <c r="V151" s="6" t="s">
        <v>6745</v>
      </c>
      <c r="W151" s="6" t="s">
        <v>6746</v>
      </c>
      <c r="X151" s="6" t="s">
        <v>6747</v>
      </c>
      <c r="Y151" s="6" t="s">
        <v>86</v>
      </c>
      <c r="Z151" s="6" t="n">
        <v>0</v>
      </c>
      <c r="AA151" s="6" t="n">
        <v>0</v>
      </c>
      <c r="AB151" s="6" t="n">
        <v>0</v>
      </c>
      <c r="AC151" s="6" t="n">
        <v>0</v>
      </c>
      <c r="AD151" s="6" t="n">
        <v>0</v>
      </c>
      <c r="AE151" s="6" t="n">
        <v>1</v>
      </c>
      <c r="AF151" s="6" t="n">
        <v>0</v>
      </c>
      <c r="AG151" s="6" t="n">
        <v>0</v>
      </c>
      <c r="AH151" s="6" t="n">
        <v>0</v>
      </c>
      <c r="AI151" s="6" t="s">
        <v>84</v>
      </c>
    </row>
    <row r="152" customFormat="false" ht="15" hidden="false" customHeight="false" outlineLevel="0" collapsed="false">
      <c r="A152" s="6" t="n">
        <v>151</v>
      </c>
      <c r="B152" s="6" t="s">
        <v>6748</v>
      </c>
      <c r="C152" s="6" t="n">
        <v>4</v>
      </c>
      <c r="D152" s="6" t="s">
        <v>177</v>
      </c>
      <c r="E152" s="6" t="s">
        <v>81</v>
      </c>
      <c r="F152" s="6" t="n">
        <v>4</v>
      </c>
      <c r="G152" s="6" t="n">
        <v>403</v>
      </c>
      <c r="H152" s="6" t="s">
        <v>6749</v>
      </c>
      <c r="I152" s="22" t="n">
        <v>3942900</v>
      </c>
      <c r="J152" s="22" t="n">
        <v>4000</v>
      </c>
      <c r="K152" s="22" t="n">
        <v>296017.5</v>
      </c>
      <c r="L152" s="22" t="n">
        <v>4242917.5</v>
      </c>
      <c r="M152" s="6" t="s">
        <v>171</v>
      </c>
      <c r="N152" s="6" t="s">
        <v>84</v>
      </c>
      <c r="O152" s="6" t="s">
        <v>892</v>
      </c>
      <c r="P152" s="6" t="s">
        <v>85</v>
      </c>
      <c r="Q152" s="6" t="str">
        <f aca="false">IF(P152="pass","No","Yes")</f>
        <v>Yes</v>
      </c>
      <c r="R152" s="6" t="s">
        <v>86</v>
      </c>
      <c r="S152" s="6" t="s">
        <v>892</v>
      </c>
      <c r="T152" s="6" t="s">
        <v>210</v>
      </c>
      <c r="U152" s="23" t="n">
        <v>2.101</v>
      </c>
      <c r="V152" s="6" t="s">
        <v>6750</v>
      </c>
      <c r="W152" s="6" t="s">
        <v>6751</v>
      </c>
      <c r="X152" s="6" t="s">
        <v>6752</v>
      </c>
      <c r="Y152" s="6" t="s">
        <v>86</v>
      </c>
      <c r="Z152" s="6" t="n">
        <v>0</v>
      </c>
      <c r="AA152" s="6" t="n">
        <v>0</v>
      </c>
      <c r="AB152" s="6" t="n">
        <v>0</v>
      </c>
      <c r="AC152" s="6" t="n">
        <v>1</v>
      </c>
      <c r="AD152" s="6" t="n">
        <v>0</v>
      </c>
      <c r="AE152" s="6" t="n">
        <v>0</v>
      </c>
      <c r="AF152" s="6" t="n">
        <v>0</v>
      </c>
      <c r="AG152" s="6" t="n">
        <v>0</v>
      </c>
      <c r="AH152" s="6" t="n">
        <v>0</v>
      </c>
      <c r="AI152" s="6" t="s">
        <v>84</v>
      </c>
    </row>
    <row r="153" customFormat="false" ht="15" hidden="false" customHeight="false" outlineLevel="0" collapsed="false">
      <c r="A153" s="6" t="n">
        <v>152</v>
      </c>
      <c r="B153" s="6" t="s">
        <v>6753</v>
      </c>
      <c r="C153" s="6" t="n">
        <v>4</v>
      </c>
      <c r="D153" s="6" t="s">
        <v>105</v>
      </c>
      <c r="E153" s="6" t="s">
        <v>81</v>
      </c>
      <c r="F153" s="6" t="n">
        <v>3</v>
      </c>
      <c r="G153" s="6" t="n">
        <v>23</v>
      </c>
      <c r="H153" s="6" t="s">
        <v>6754</v>
      </c>
      <c r="I153" s="22" t="n">
        <v>715500</v>
      </c>
      <c r="J153" s="22" t="n">
        <v>4000</v>
      </c>
      <c r="K153" s="22" t="n">
        <v>53962.5</v>
      </c>
      <c r="L153" s="22" t="n">
        <v>773462.5</v>
      </c>
      <c r="M153" s="6" t="s">
        <v>132</v>
      </c>
      <c r="N153" s="6" t="s">
        <v>84</v>
      </c>
      <c r="O153" s="6" t="s">
        <v>879</v>
      </c>
      <c r="P153" s="6" t="s">
        <v>85</v>
      </c>
      <c r="Q153" s="6" t="str">
        <f aca="false">IF(P153="pass","No","Yes")</f>
        <v>Yes</v>
      </c>
      <c r="R153" s="6" t="s">
        <v>86</v>
      </c>
      <c r="S153" s="6" t="s">
        <v>880</v>
      </c>
      <c r="T153" s="6" t="s">
        <v>134</v>
      </c>
      <c r="U153" s="23" t="n">
        <v>2.144</v>
      </c>
      <c r="V153" s="6" t="s">
        <v>6755</v>
      </c>
      <c r="W153" s="6" t="s">
        <v>6756</v>
      </c>
      <c r="X153" s="6" t="s">
        <v>6757</v>
      </c>
      <c r="Y153" s="6" t="s">
        <v>86</v>
      </c>
      <c r="Z153" s="6" t="n">
        <v>0</v>
      </c>
      <c r="AA153" s="6" t="n">
        <v>1</v>
      </c>
      <c r="AB153" s="6" t="n">
        <v>0</v>
      </c>
      <c r="AC153" s="6" t="n">
        <v>1</v>
      </c>
      <c r="AD153" s="6" t="n">
        <v>0</v>
      </c>
      <c r="AE153" s="6" t="n">
        <v>0</v>
      </c>
      <c r="AF153" s="6" t="n">
        <v>0</v>
      </c>
      <c r="AG153" s="6" t="n">
        <v>0</v>
      </c>
      <c r="AH153" s="6" t="n">
        <v>0</v>
      </c>
      <c r="AI153" s="6" t="s">
        <v>84</v>
      </c>
    </row>
    <row r="154" customFormat="false" ht="15" hidden="false" customHeight="false" outlineLevel="0" collapsed="false">
      <c r="A154" s="6" t="n">
        <v>153</v>
      </c>
      <c r="B154" s="6" t="s">
        <v>6758</v>
      </c>
      <c r="C154" s="6" t="n">
        <v>4</v>
      </c>
      <c r="D154" s="6" t="s">
        <v>166</v>
      </c>
      <c r="E154" s="6" t="s">
        <v>74</v>
      </c>
      <c r="F154" s="6" t="n">
        <v>1</v>
      </c>
      <c r="G154" s="6" t="n">
        <v>6</v>
      </c>
      <c r="H154" s="6" t="s">
        <v>1783</v>
      </c>
      <c r="I154" s="22" t="n">
        <v>186000</v>
      </c>
      <c r="J154" s="22" t="n">
        <v>9000</v>
      </c>
      <c r="K154" s="22" t="n">
        <v>14625</v>
      </c>
      <c r="L154" s="22" t="n">
        <v>209625</v>
      </c>
      <c r="M154" s="6" t="s">
        <v>57</v>
      </c>
      <c r="N154" s="6" t="s">
        <v>58</v>
      </c>
      <c r="O154" s="6"/>
      <c r="P154" s="6" t="s">
        <v>69</v>
      </c>
      <c r="Q154" s="6" t="str">
        <f aca="false">IF(P154="pass","No","Yes")</f>
        <v>No</v>
      </c>
      <c r="R154" s="6" t="s">
        <v>60</v>
      </c>
      <c r="S154" s="6"/>
      <c r="T154" s="6"/>
      <c r="U154" s="23" t="n">
        <v>2.291</v>
      </c>
      <c r="V154" s="6" t="s">
        <v>6759</v>
      </c>
      <c r="W154" s="6" t="s">
        <v>6760</v>
      </c>
      <c r="X154" s="6" t="s">
        <v>6761</v>
      </c>
      <c r="Y154" s="6" t="s">
        <v>60</v>
      </c>
      <c r="Z154" s="6" t="n">
        <v>0</v>
      </c>
      <c r="AA154" s="6" t="n">
        <v>0</v>
      </c>
      <c r="AB154" s="6" t="n">
        <v>0</v>
      </c>
      <c r="AC154" s="6" t="n">
        <v>0</v>
      </c>
      <c r="AD154" s="6" t="n">
        <v>0</v>
      </c>
      <c r="AE154" s="6" t="n">
        <v>0</v>
      </c>
      <c r="AF154" s="6" t="n">
        <v>0</v>
      </c>
      <c r="AG154" s="6" t="n">
        <v>0</v>
      </c>
      <c r="AH154" s="6" t="n">
        <v>0</v>
      </c>
      <c r="AI154" s="6" t="s">
        <v>84</v>
      </c>
    </row>
    <row r="155" customFormat="false" ht="15" hidden="false" customHeight="false" outlineLevel="0" collapsed="false">
      <c r="A155" s="6" t="n">
        <v>154</v>
      </c>
      <c r="B155" s="6" t="s">
        <v>6762</v>
      </c>
      <c r="C155" s="6" t="n">
        <v>4</v>
      </c>
      <c r="D155" s="6" t="s">
        <v>63</v>
      </c>
      <c r="E155" s="6" t="s">
        <v>67</v>
      </c>
      <c r="F155" s="6" t="n">
        <v>1</v>
      </c>
      <c r="G155" s="6" t="n">
        <v>111</v>
      </c>
      <c r="H155" s="6" t="s">
        <v>6763</v>
      </c>
      <c r="I155" s="22" t="n">
        <v>1054500</v>
      </c>
      <c r="J155" s="22" t="n">
        <v>4500</v>
      </c>
      <c r="K155" s="22" t="n">
        <v>79425</v>
      </c>
      <c r="L155" s="22" t="n">
        <v>1138425</v>
      </c>
      <c r="M155" s="6" t="s">
        <v>57</v>
      </c>
      <c r="N155" s="6" t="s">
        <v>58</v>
      </c>
      <c r="O155" s="6"/>
      <c r="P155" s="6" t="s">
        <v>59</v>
      </c>
      <c r="Q155" s="6" t="str">
        <f aca="false">IF(P155="pass","No","Yes")</f>
        <v>Yes</v>
      </c>
      <c r="R155" s="6" t="s">
        <v>60</v>
      </c>
      <c r="S155" s="6" t="s">
        <v>915</v>
      </c>
      <c r="T155" s="6" t="s">
        <v>6764</v>
      </c>
      <c r="U155" s="23" t="n">
        <v>2.301</v>
      </c>
      <c r="V155" s="6" t="s">
        <v>6765</v>
      </c>
      <c r="W155" s="6" t="s">
        <v>6766</v>
      </c>
      <c r="X155" s="6" t="s">
        <v>6767</v>
      </c>
      <c r="Y155" s="6" t="s">
        <v>60</v>
      </c>
      <c r="Z155" s="6" t="n">
        <v>0</v>
      </c>
      <c r="AA155" s="6" t="n">
        <v>0</v>
      </c>
      <c r="AB155" s="6" t="n">
        <v>0</v>
      </c>
      <c r="AC155" s="6" t="n">
        <v>0</v>
      </c>
      <c r="AD155" s="6" t="n">
        <v>0</v>
      </c>
      <c r="AE155" s="6" t="n">
        <v>0</v>
      </c>
      <c r="AF155" s="6" t="n">
        <v>0</v>
      </c>
      <c r="AG155" s="6" t="n">
        <v>0</v>
      </c>
      <c r="AH155" s="6" t="n">
        <v>1</v>
      </c>
      <c r="AI155" s="6" t="s">
        <v>84</v>
      </c>
    </row>
    <row r="156" customFormat="false" ht="15" hidden="false" customHeight="false" outlineLevel="0" collapsed="false">
      <c r="A156" s="6" t="n">
        <v>155</v>
      </c>
      <c r="B156" s="6" t="s">
        <v>6768</v>
      </c>
      <c r="C156" s="6" t="n">
        <v>4</v>
      </c>
      <c r="D156" s="6" t="s">
        <v>177</v>
      </c>
      <c r="E156" s="6" t="s">
        <v>81</v>
      </c>
      <c r="F156" s="6" t="n">
        <v>2</v>
      </c>
      <c r="G156" s="6" t="n">
        <v>64</v>
      </c>
      <c r="H156" s="6" t="s">
        <v>6769</v>
      </c>
      <c r="I156" s="22" t="n">
        <v>1163000</v>
      </c>
      <c r="J156" s="22" t="n">
        <v>4000</v>
      </c>
      <c r="K156" s="22" t="n">
        <v>87525</v>
      </c>
      <c r="L156" s="22" t="n">
        <v>1254525</v>
      </c>
      <c r="M156" s="6" t="s">
        <v>57</v>
      </c>
      <c r="N156" s="6" t="s">
        <v>58</v>
      </c>
      <c r="O156" s="6"/>
      <c r="P156" s="6" t="s">
        <v>69</v>
      </c>
      <c r="Q156" s="6" t="str">
        <f aca="false">IF(P156="pass","No","Yes")</f>
        <v>No</v>
      </c>
      <c r="R156" s="6" t="s">
        <v>60</v>
      </c>
      <c r="S156" s="6"/>
      <c r="T156" s="6"/>
      <c r="U156" s="23" t="n">
        <v>2.316</v>
      </c>
      <c r="V156" s="6" t="s">
        <v>6770</v>
      </c>
      <c r="W156" s="6" t="s">
        <v>6771</v>
      </c>
      <c r="X156" s="6" t="s">
        <v>6772</v>
      </c>
      <c r="Y156" s="6" t="s">
        <v>60</v>
      </c>
      <c r="Z156" s="6" t="n">
        <v>0</v>
      </c>
      <c r="AA156" s="6" t="n">
        <v>0</v>
      </c>
      <c r="AB156" s="6" t="n">
        <v>0</v>
      </c>
      <c r="AC156" s="6" t="n">
        <v>0</v>
      </c>
      <c r="AD156" s="6" t="n">
        <v>0</v>
      </c>
      <c r="AE156" s="6" t="n">
        <v>0</v>
      </c>
      <c r="AF156" s="6" t="n">
        <v>0</v>
      </c>
      <c r="AG156" s="6" t="n">
        <v>0</v>
      </c>
      <c r="AH156" s="6" t="n">
        <v>0</v>
      </c>
      <c r="AI156" s="6" t="s">
        <v>84</v>
      </c>
    </row>
    <row r="157" customFormat="false" ht="15" hidden="false" customHeight="false" outlineLevel="0" collapsed="false">
      <c r="A157" s="6" t="n">
        <v>156</v>
      </c>
      <c r="B157" s="6" t="s">
        <v>6773</v>
      </c>
      <c r="C157" s="6" t="n">
        <v>4</v>
      </c>
      <c r="D157" s="6" t="s">
        <v>154</v>
      </c>
      <c r="E157" s="6" t="s">
        <v>123</v>
      </c>
      <c r="F157" s="6" t="n">
        <v>3</v>
      </c>
      <c r="G157" s="6" t="n">
        <v>105</v>
      </c>
      <c r="H157" s="6" t="s">
        <v>6774</v>
      </c>
      <c r="I157" s="22" t="n">
        <v>1370500</v>
      </c>
      <c r="J157" s="22" t="n">
        <v>5000</v>
      </c>
      <c r="K157" s="22" t="n">
        <v>103162.5</v>
      </c>
      <c r="L157" s="22" t="n">
        <v>1478662.5</v>
      </c>
      <c r="M157" s="6" t="s">
        <v>83</v>
      </c>
      <c r="N157" s="6" t="s">
        <v>84</v>
      </c>
      <c r="O157" s="6" t="s">
        <v>886</v>
      </c>
      <c r="P157" s="6" t="s">
        <v>85</v>
      </c>
      <c r="Q157" s="6" t="str">
        <f aca="false">IF(P157="pass","No","Yes")</f>
        <v>Yes</v>
      </c>
      <c r="R157" s="6" t="s">
        <v>86</v>
      </c>
      <c r="S157" s="6" t="s">
        <v>886</v>
      </c>
      <c r="T157" s="6" t="s">
        <v>438</v>
      </c>
      <c r="U157" s="23" t="n">
        <v>1.855</v>
      </c>
      <c r="V157" s="6" t="s">
        <v>6775</v>
      </c>
      <c r="W157" s="6" t="s">
        <v>6776</v>
      </c>
      <c r="X157" s="6" t="s">
        <v>6777</v>
      </c>
      <c r="Y157" s="6" t="s">
        <v>86</v>
      </c>
      <c r="Z157" s="6" t="n">
        <v>0</v>
      </c>
      <c r="AA157" s="6" t="n">
        <v>0</v>
      </c>
      <c r="AB157" s="6" t="n">
        <v>1</v>
      </c>
      <c r="AC157" s="6" t="n">
        <v>0</v>
      </c>
      <c r="AD157" s="6" t="n">
        <v>0</v>
      </c>
      <c r="AE157" s="6" t="n">
        <v>0</v>
      </c>
      <c r="AF157" s="6" t="n">
        <v>0</v>
      </c>
      <c r="AG157" s="6" t="n">
        <v>0</v>
      </c>
      <c r="AH157" s="6" t="n">
        <v>0</v>
      </c>
      <c r="AI157" s="6" t="s">
        <v>84</v>
      </c>
    </row>
    <row r="158" customFormat="false" ht="15" hidden="false" customHeight="false" outlineLevel="0" collapsed="false">
      <c r="A158" s="6" t="n">
        <v>157</v>
      </c>
      <c r="B158" s="6" t="s">
        <v>6778</v>
      </c>
      <c r="C158" s="6" t="n">
        <v>4</v>
      </c>
      <c r="D158" s="6" t="s">
        <v>177</v>
      </c>
      <c r="E158" s="6" t="s">
        <v>81</v>
      </c>
      <c r="F158" s="6" t="n">
        <v>3</v>
      </c>
      <c r="G158" s="6" t="n">
        <v>316</v>
      </c>
      <c r="H158" s="6" t="s">
        <v>6779</v>
      </c>
      <c r="I158" s="22" t="n">
        <v>3338200</v>
      </c>
      <c r="J158" s="22" t="n">
        <v>4000</v>
      </c>
      <c r="K158" s="22" t="n">
        <v>250665</v>
      </c>
      <c r="L158" s="22" t="n">
        <v>3592865</v>
      </c>
      <c r="M158" s="6" t="s">
        <v>927</v>
      </c>
      <c r="N158" s="6" t="s">
        <v>58</v>
      </c>
      <c r="O158" s="6"/>
      <c r="P158" s="6" t="s">
        <v>59</v>
      </c>
      <c r="Q158" s="6" t="str">
        <f aca="false">IF(P158="pass","No","Yes")</f>
        <v>Yes</v>
      </c>
      <c r="R158" s="6" t="s">
        <v>60</v>
      </c>
      <c r="S158" s="6" t="s">
        <v>915</v>
      </c>
      <c r="T158" s="6" t="s">
        <v>4569</v>
      </c>
      <c r="U158" s="23" t="n">
        <v>2.474</v>
      </c>
      <c r="V158" s="6" t="s">
        <v>6780</v>
      </c>
      <c r="W158" s="6" t="s">
        <v>6781</v>
      </c>
      <c r="X158" s="6" t="s">
        <v>6782</v>
      </c>
      <c r="Y158" s="6" t="s">
        <v>60</v>
      </c>
      <c r="Z158" s="6" t="n">
        <v>0</v>
      </c>
      <c r="AA158" s="6" t="n">
        <v>0</v>
      </c>
      <c r="AB158" s="6" t="n">
        <v>0</v>
      </c>
      <c r="AC158" s="6" t="n">
        <v>0</v>
      </c>
      <c r="AD158" s="6" t="n">
        <v>0</v>
      </c>
      <c r="AE158" s="6" t="n">
        <v>0</v>
      </c>
      <c r="AF158" s="6" t="n">
        <v>0</v>
      </c>
      <c r="AG158" s="6" t="n">
        <v>0</v>
      </c>
      <c r="AH158" s="6" t="n">
        <v>1</v>
      </c>
      <c r="AI158" s="6" t="s">
        <v>84</v>
      </c>
    </row>
    <row r="159" customFormat="false" ht="15" hidden="false" customHeight="false" outlineLevel="0" collapsed="false">
      <c r="A159" s="6" t="n">
        <v>158</v>
      </c>
      <c r="B159" s="6" t="s">
        <v>6783</v>
      </c>
      <c r="C159" s="6" t="n">
        <v>4</v>
      </c>
      <c r="D159" s="6" t="s">
        <v>237</v>
      </c>
      <c r="E159" s="6" t="s">
        <v>116</v>
      </c>
      <c r="F159" s="6" t="n">
        <v>3</v>
      </c>
      <c r="G159" s="6" t="n">
        <v>10</v>
      </c>
      <c r="H159" s="6" t="s">
        <v>6784</v>
      </c>
      <c r="I159" s="22" t="n">
        <v>499000</v>
      </c>
      <c r="J159" s="22" t="n">
        <v>15000</v>
      </c>
      <c r="K159" s="22" t="n">
        <v>38550</v>
      </c>
      <c r="L159" s="22" t="n">
        <v>552550</v>
      </c>
      <c r="M159" s="6" t="s">
        <v>132</v>
      </c>
      <c r="N159" s="6" t="s">
        <v>84</v>
      </c>
      <c r="O159" s="6" t="s">
        <v>879</v>
      </c>
      <c r="P159" s="6" t="s">
        <v>85</v>
      </c>
      <c r="Q159" s="6" t="str">
        <f aca="false">IF(P159="pass","No","Yes")</f>
        <v>Yes</v>
      </c>
      <c r="R159" s="6" t="s">
        <v>86</v>
      </c>
      <c r="S159" s="6" t="s">
        <v>880</v>
      </c>
      <c r="T159" s="6" t="s">
        <v>134</v>
      </c>
      <c r="U159" s="23" t="n">
        <v>2.062</v>
      </c>
      <c r="V159" s="6" t="s">
        <v>6785</v>
      </c>
      <c r="W159" s="6" t="s">
        <v>6786</v>
      </c>
      <c r="X159" s="6" t="s">
        <v>6787</v>
      </c>
      <c r="Y159" s="6" t="s">
        <v>86</v>
      </c>
      <c r="Z159" s="6" t="n">
        <v>0</v>
      </c>
      <c r="AA159" s="6" t="n">
        <v>1</v>
      </c>
      <c r="AB159" s="6" t="n">
        <v>0</v>
      </c>
      <c r="AC159" s="6" t="n">
        <v>1</v>
      </c>
      <c r="AD159" s="6" t="n">
        <v>0</v>
      </c>
      <c r="AE159" s="6" t="n">
        <v>0</v>
      </c>
      <c r="AF159" s="6" t="n">
        <v>0</v>
      </c>
      <c r="AG159" s="6" t="n">
        <v>0</v>
      </c>
      <c r="AH159" s="6" t="n">
        <v>0</v>
      </c>
      <c r="AI159" s="6" t="s">
        <v>84</v>
      </c>
    </row>
    <row r="160" customFormat="false" ht="15" hidden="false" customHeight="false" outlineLevel="0" collapsed="false">
      <c r="A160" s="6" t="n">
        <v>159</v>
      </c>
      <c r="B160" s="6" t="s">
        <v>6788</v>
      </c>
      <c r="C160" s="6" t="n">
        <v>4</v>
      </c>
      <c r="D160" s="6" t="s">
        <v>63</v>
      </c>
      <c r="E160" s="6" t="s">
        <v>67</v>
      </c>
      <c r="F160" s="6" t="n">
        <v>4</v>
      </c>
      <c r="G160" s="6" t="n">
        <v>118</v>
      </c>
      <c r="H160" s="6" t="s">
        <v>6789</v>
      </c>
      <c r="I160" s="22" t="n">
        <v>893300</v>
      </c>
      <c r="J160" s="22" t="n">
        <v>4500</v>
      </c>
      <c r="K160" s="22" t="n">
        <v>67335</v>
      </c>
      <c r="L160" s="22" t="n">
        <v>965135</v>
      </c>
      <c r="M160" s="6" t="s">
        <v>83</v>
      </c>
      <c r="N160" s="6" t="s">
        <v>84</v>
      </c>
      <c r="O160" s="6" t="s">
        <v>886</v>
      </c>
      <c r="P160" s="6" t="s">
        <v>85</v>
      </c>
      <c r="Q160" s="6" t="str">
        <f aca="false">IF(P160="pass","No","Yes")</f>
        <v>Yes</v>
      </c>
      <c r="R160" s="6" t="s">
        <v>86</v>
      </c>
      <c r="S160" s="6" t="s">
        <v>1479</v>
      </c>
      <c r="T160" s="6" t="s">
        <v>6790</v>
      </c>
      <c r="U160" s="23" t="n">
        <v>2.101</v>
      </c>
      <c r="V160" s="6" t="s">
        <v>6791</v>
      </c>
      <c r="W160" s="6" t="s">
        <v>6792</v>
      </c>
      <c r="X160" s="6" t="s">
        <v>6793</v>
      </c>
      <c r="Y160" s="6" t="s">
        <v>86</v>
      </c>
      <c r="Z160" s="6" t="n">
        <v>0</v>
      </c>
      <c r="AA160" s="6" t="n">
        <v>0</v>
      </c>
      <c r="AB160" s="6" t="n">
        <v>1</v>
      </c>
      <c r="AC160" s="6" t="n">
        <v>0</v>
      </c>
      <c r="AD160" s="6" t="n">
        <v>0</v>
      </c>
      <c r="AE160" s="6" t="n">
        <v>0</v>
      </c>
      <c r="AF160" s="6" t="n">
        <v>0</v>
      </c>
      <c r="AG160" s="6" t="n">
        <v>0</v>
      </c>
      <c r="AH160" s="6" t="n">
        <v>1</v>
      </c>
      <c r="AI160" s="6" t="s">
        <v>84</v>
      </c>
    </row>
    <row r="161" customFormat="false" ht="15" hidden="false" customHeight="false" outlineLevel="0" collapsed="false">
      <c r="A161" s="6" t="n">
        <v>160</v>
      </c>
      <c r="B161" s="6" t="s">
        <v>6794</v>
      </c>
      <c r="C161" s="6" t="n">
        <v>4</v>
      </c>
      <c r="D161" s="6" t="s">
        <v>89</v>
      </c>
      <c r="E161" s="6" t="s">
        <v>67</v>
      </c>
      <c r="F161" s="6" t="n">
        <v>3</v>
      </c>
      <c r="G161" s="6" t="n">
        <v>99</v>
      </c>
      <c r="H161" s="6" t="s">
        <v>6795</v>
      </c>
      <c r="I161" s="22" t="n">
        <v>1211800</v>
      </c>
      <c r="J161" s="22" t="n">
        <v>4500</v>
      </c>
      <c r="K161" s="22" t="n">
        <v>91222.5</v>
      </c>
      <c r="L161" s="22" t="n">
        <v>1307522.5</v>
      </c>
      <c r="M161" s="6" t="s">
        <v>57</v>
      </c>
      <c r="N161" s="6" t="s">
        <v>58</v>
      </c>
      <c r="O161" s="6"/>
      <c r="P161" s="6" t="s">
        <v>69</v>
      </c>
      <c r="Q161" s="6" t="str">
        <f aca="false">IF(P161="pass","No","Yes")</f>
        <v>No</v>
      </c>
      <c r="R161" s="6" t="s">
        <v>60</v>
      </c>
      <c r="S161" s="6"/>
      <c r="T161" s="6"/>
      <c r="U161" s="23" t="n">
        <v>2.467</v>
      </c>
      <c r="V161" s="6" t="s">
        <v>6796</v>
      </c>
      <c r="W161" s="6" t="s">
        <v>6797</v>
      </c>
      <c r="X161" s="6" t="s">
        <v>6798</v>
      </c>
      <c r="Y161" s="6" t="s">
        <v>60</v>
      </c>
      <c r="Z161" s="6" t="n">
        <v>0</v>
      </c>
      <c r="AA161" s="6" t="n">
        <v>0</v>
      </c>
      <c r="AB161" s="6" t="n">
        <v>0</v>
      </c>
      <c r="AC161" s="6" t="n">
        <v>0</v>
      </c>
      <c r="AD161" s="6" t="n">
        <v>0</v>
      </c>
      <c r="AE161" s="6" t="n">
        <v>0</v>
      </c>
      <c r="AF161" s="6" t="n">
        <v>0</v>
      </c>
      <c r="AG161" s="6" t="n">
        <v>0</v>
      </c>
      <c r="AH161" s="6" t="n">
        <v>0</v>
      </c>
      <c r="AI161" s="6" t="s">
        <v>84</v>
      </c>
    </row>
    <row r="162" customFormat="false" ht="15" hidden="false" customHeight="false" outlineLevel="0" collapsed="false">
      <c r="A162" s="6" t="n">
        <v>161</v>
      </c>
      <c r="B162" s="6" t="s">
        <v>6799</v>
      </c>
      <c r="C162" s="6" t="n">
        <v>4</v>
      </c>
      <c r="D162" s="6" t="s">
        <v>237</v>
      </c>
      <c r="E162" s="6" t="s">
        <v>116</v>
      </c>
      <c r="F162" s="6" t="n">
        <v>3</v>
      </c>
      <c r="G162" s="6" t="n">
        <v>32</v>
      </c>
      <c r="H162" s="6" t="s">
        <v>6800</v>
      </c>
      <c r="I162" s="22" t="n">
        <v>383800</v>
      </c>
      <c r="J162" s="22" t="n">
        <v>15000</v>
      </c>
      <c r="K162" s="22" t="n">
        <v>29910</v>
      </c>
      <c r="L162" s="22" t="n">
        <v>428710</v>
      </c>
      <c r="M162" s="6" t="s">
        <v>984</v>
      </c>
      <c r="N162" s="6" t="s">
        <v>84</v>
      </c>
      <c r="O162" s="6" t="s">
        <v>985</v>
      </c>
      <c r="P162" s="6" t="s">
        <v>85</v>
      </c>
      <c r="Q162" s="6" t="str">
        <f aca="false">IF(P162="pass","No","Yes")</f>
        <v>Yes</v>
      </c>
      <c r="R162" s="6" t="s">
        <v>86</v>
      </c>
      <c r="S162" s="6" t="s">
        <v>985</v>
      </c>
      <c r="T162" s="6" t="s">
        <v>3244</v>
      </c>
      <c r="U162" s="23" t="n">
        <v>1.889</v>
      </c>
      <c r="V162" s="6" t="s">
        <v>6801</v>
      </c>
      <c r="W162" s="6" t="s">
        <v>6802</v>
      </c>
      <c r="X162" s="6" t="s">
        <v>6803</v>
      </c>
      <c r="Y162" s="6" t="s">
        <v>86</v>
      </c>
      <c r="Z162" s="6" t="n">
        <v>0</v>
      </c>
      <c r="AA162" s="6" t="n">
        <v>0</v>
      </c>
      <c r="AB162" s="6" t="n">
        <v>0</v>
      </c>
      <c r="AC162" s="6" t="n">
        <v>0</v>
      </c>
      <c r="AD162" s="6" t="n">
        <v>0</v>
      </c>
      <c r="AE162" s="6" t="n">
        <v>1</v>
      </c>
      <c r="AF162" s="6" t="n">
        <v>0</v>
      </c>
      <c r="AG162" s="6" t="n">
        <v>0</v>
      </c>
      <c r="AH162" s="6" t="n">
        <v>0</v>
      </c>
      <c r="AI162" s="6" t="s">
        <v>84</v>
      </c>
    </row>
    <row r="163" customFormat="false" ht="15" hidden="false" customHeight="false" outlineLevel="0" collapsed="false">
      <c r="A163" s="6" t="n">
        <v>162</v>
      </c>
      <c r="B163" s="6" t="s">
        <v>6804</v>
      </c>
      <c r="C163" s="6" t="n">
        <v>4</v>
      </c>
      <c r="D163" s="6" t="s">
        <v>100</v>
      </c>
      <c r="E163" s="6" t="s">
        <v>67</v>
      </c>
      <c r="F163" s="6" t="n">
        <v>3</v>
      </c>
      <c r="G163" s="6" t="n">
        <v>23</v>
      </c>
      <c r="H163" s="6" t="s">
        <v>6805</v>
      </c>
      <c r="I163" s="22" t="n">
        <v>1203000</v>
      </c>
      <c r="J163" s="22" t="n">
        <v>4500</v>
      </c>
      <c r="K163" s="22" t="n">
        <v>90562.5</v>
      </c>
      <c r="L163" s="22" t="n">
        <v>1298062.5</v>
      </c>
      <c r="M163" s="6" t="s">
        <v>132</v>
      </c>
      <c r="N163" s="6" t="s">
        <v>84</v>
      </c>
      <c r="O163" s="6" t="s">
        <v>879</v>
      </c>
      <c r="P163" s="6" t="s">
        <v>85</v>
      </c>
      <c r="Q163" s="6" t="str">
        <f aca="false">IF(P163="pass","No","Yes")</f>
        <v>Yes</v>
      </c>
      <c r="R163" s="6" t="s">
        <v>86</v>
      </c>
      <c r="S163" s="6" t="s">
        <v>880</v>
      </c>
      <c r="T163" s="6" t="s">
        <v>134</v>
      </c>
      <c r="U163" s="23" t="n">
        <v>2.059</v>
      </c>
      <c r="V163" s="6" t="s">
        <v>6806</v>
      </c>
      <c r="W163" s="6" t="s">
        <v>6807</v>
      </c>
      <c r="X163" s="6" t="s">
        <v>6808</v>
      </c>
      <c r="Y163" s="6" t="s">
        <v>86</v>
      </c>
      <c r="Z163" s="6" t="n">
        <v>0</v>
      </c>
      <c r="AA163" s="6" t="n">
        <v>1</v>
      </c>
      <c r="AB163" s="6" t="n">
        <v>0</v>
      </c>
      <c r="AC163" s="6" t="n">
        <v>1</v>
      </c>
      <c r="AD163" s="6" t="n">
        <v>0</v>
      </c>
      <c r="AE163" s="6" t="n">
        <v>0</v>
      </c>
      <c r="AF163" s="6" t="n">
        <v>0</v>
      </c>
      <c r="AG163" s="6" t="n">
        <v>0</v>
      </c>
      <c r="AH163" s="6" t="n">
        <v>0</v>
      </c>
      <c r="AI163" s="6" t="s">
        <v>84</v>
      </c>
    </row>
    <row r="164" customFormat="false" ht="15" hidden="false" customHeight="false" outlineLevel="0" collapsed="false">
      <c r="A164" s="6" t="n">
        <v>163</v>
      </c>
      <c r="B164" s="6" t="s">
        <v>6809</v>
      </c>
      <c r="C164" s="6" t="n">
        <v>4</v>
      </c>
      <c r="D164" s="6" t="s">
        <v>63</v>
      </c>
      <c r="E164" s="6" t="s">
        <v>67</v>
      </c>
      <c r="F164" s="6" t="n">
        <v>2</v>
      </c>
      <c r="G164" s="6" t="n">
        <v>8</v>
      </c>
      <c r="H164" s="6" t="s">
        <v>6810</v>
      </c>
      <c r="I164" s="22" t="n">
        <v>304000</v>
      </c>
      <c r="J164" s="22" t="n">
        <v>4500</v>
      </c>
      <c r="K164" s="22" t="n">
        <v>23137.5</v>
      </c>
      <c r="L164" s="22" t="n">
        <v>331637.5</v>
      </c>
      <c r="M164" s="6" t="s">
        <v>272</v>
      </c>
      <c r="N164" s="6" t="s">
        <v>84</v>
      </c>
      <c r="O164" s="6" t="s">
        <v>879</v>
      </c>
      <c r="P164" s="6" t="s">
        <v>85</v>
      </c>
      <c r="Q164" s="6" t="str">
        <f aca="false">IF(P164="pass","No","Yes")</f>
        <v>Yes</v>
      </c>
      <c r="R164" s="6" t="s">
        <v>86</v>
      </c>
      <c r="S164" s="6" t="s">
        <v>879</v>
      </c>
      <c r="T164" s="6" t="s">
        <v>6811</v>
      </c>
      <c r="U164" s="23" t="n">
        <v>1.9</v>
      </c>
      <c r="V164" s="6" t="s">
        <v>6812</v>
      </c>
      <c r="W164" s="6" t="s">
        <v>6813</v>
      </c>
      <c r="X164" s="6" t="s">
        <v>6814</v>
      </c>
      <c r="Y164" s="6" t="s">
        <v>86</v>
      </c>
      <c r="Z164" s="6" t="n">
        <v>0</v>
      </c>
      <c r="AA164" s="6" t="n">
        <v>1</v>
      </c>
      <c r="AB164" s="6" t="n">
        <v>0</v>
      </c>
      <c r="AC164" s="6" t="n">
        <v>0</v>
      </c>
      <c r="AD164" s="6" t="n">
        <v>0</v>
      </c>
      <c r="AE164" s="6" t="n">
        <v>0</v>
      </c>
      <c r="AF164" s="6" t="n">
        <v>0</v>
      </c>
      <c r="AG164" s="6" t="n">
        <v>0</v>
      </c>
      <c r="AH164" s="6" t="n">
        <v>0</v>
      </c>
      <c r="AI164" s="6" t="s">
        <v>84</v>
      </c>
    </row>
    <row r="165" customFormat="false" ht="15" hidden="false" customHeight="false" outlineLevel="0" collapsed="false">
      <c r="A165" s="6" t="n">
        <v>164</v>
      </c>
      <c r="B165" s="6" t="s">
        <v>6815</v>
      </c>
      <c r="C165" s="6" t="n">
        <v>4</v>
      </c>
      <c r="D165" s="6" t="s">
        <v>198</v>
      </c>
      <c r="E165" s="6" t="s">
        <v>81</v>
      </c>
      <c r="F165" s="6" t="n">
        <v>1</v>
      </c>
      <c r="G165" s="6" t="n">
        <v>30</v>
      </c>
      <c r="H165" s="6" t="s">
        <v>6816</v>
      </c>
      <c r="I165" s="22" t="n">
        <v>354000</v>
      </c>
      <c r="J165" s="22" t="n">
        <v>4000</v>
      </c>
      <c r="K165" s="22" t="n">
        <v>26850</v>
      </c>
      <c r="L165" s="22" t="n">
        <v>384850</v>
      </c>
      <c r="M165" s="6" t="s">
        <v>57</v>
      </c>
      <c r="N165" s="6" t="s">
        <v>58</v>
      </c>
      <c r="O165" s="6"/>
      <c r="P165" s="6" t="s">
        <v>69</v>
      </c>
      <c r="Q165" s="6" t="str">
        <f aca="false">IF(P165="pass","No","Yes")</f>
        <v>No</v>
      </c>
      <c r="R165" s="6" t="s">
        <v>60</v>
      </c>
      <c r="S165" s="6"/>
      <c r="T165" s="6"/>
      <c r="U165" s="23" t="n">
        <v>2.368</v>
      </c>
      <c r="V165" s="6" t="s">
        <v>6817</v>
      </c>
      <c r="W165" s="6" t="s">
        <v>6818</v>
      </c>
      <c r="X165" s="6" t="s">
        <v>6819</v>
      </c>
      <c r="Y165" s="6" t="s">
        <v>60</v>
      </c>
      <c r="Z165" s="6" t="n">
        <v>0</v>
      </c>
      <c r="AA165" s="6" t="n">
        <v>0</v>
      </c>
      <c r="AB165" s="6" t="n">
        <v>0</v>
      </c>
      <c r="AC165" s="6" t="n">
        <v>0</v>
      </c>
      <c r="AD165" s="6" t="n">
        <v>0</v>
      </c>
      <c r="AE165" s="6" t="n">
        <v>0</v>
      </c>
      <c r="AF165" s="6" t="n">
        <v>0</v>
      </c>
      <c r="AG165" s="6" t="n">
        <v>0</v>
      </c>
      <c r="AH165" s="6" t="n">
        <v>0</v>
      </c>
      <c r="AI165" s="6" t="s">
        <v>84</v>
      </c>
    </row>
    <row r="166" customFormat="false" ht="15" hidden="false" customHeight="false" outlineLevel="0" collapsed="false">
      <c r="A166" s="6" t="n">
        <v>165</v>
      </c>
      <c r="B166" s="6" t="s">
        <v>6820</v>
      </c>
      <c r="C166" s="6" t="n">
        <v>4</v>
      </c>
      <c r="D166" s="6" t="s">
        <v>100</v>
      </c>
      <c r="E166" s="6" t="s">
        <v>67</v>
      </c>
      <c r="F166" s="6" t="n">
        <v>3</v>
      </c>
      <c r="G166" s="6" t="n">
        <v>148</v>
      </c>
      <c r="H166" s="6" t="s">
        <v>6821</v>
      </c>
      <c r="I166" s="22" t="n">
        <v>2049000</v>
      </c>
      <c r="J166" s="22" t="n">
        <v>4500</v>
      </c>
      <c r="K166" s="22" t="n">
        <v>154012.5</v>
      </c>
      <c r="L166" s="22" t="n">
        <v>2207512.5</v>
      </c>
      <c r="M166" s="6" t="s">
        <v>132</v>
      </c>
      <c r="N166" s="6" t="s">
        <v>84</v>
      </c>
      <c r="O166" s="6" t="s">
        <v>879</v>
      </c>
      <c r="P166" s="6" t="s">
        <v>85</v>
      </c>
      <c r="Q166" s="6" t="str">
        <f aca="false">IF(P166="pass","No","Yes")</f>
        <v>Yes</v>
      </c>
      <c r="R166" s="6" t="s">
        <v>86</v>
      </c>
      <c r="S166" s="6" t="s">
        <v>880</v>
      </c>
      <c r="T166" s="6" t="s">
        <v>134</v>
      </c>
      <c r="U166" s="23" t="n">
        <v>2.238</v>
      </c>
      <c r="V166" s="6" t="s">
        <v>6822</v>
      </c>
      <c r="W166" s="6" t="s">
        <v>6823</v>
      </c>
      <c r="X166" s="6" t="s">
        <v>6824</v>
      </c>
      <c r="Y166" s="6" t="s">
        <v>86</v>
      </c>
      <c r="Z166" s="6" t="n">
        <v>0</v>
      </c>
      <c r="AA166" s="6" t="n">
        <v>1</v>
      </c>
      <c r="AB166" s="6" t="n">
        <v>0</v>
      </c>
      <c r="AC166" s="6" t="n">
        <v>1</v>
      </c>
      <c r="AD166" s="6" t="n">
        <v>0</v>
      </c>
      <c r="AE166" s="6" t="n">
        <v>0</v>
      </c>
      <c r="AF166" s="6" t="n">
        <v>0</v>
      </c>
      <c r="AG166" s="6" t="n">
        <v>0</v>
      </c>
      <c r="AH166" s="6" t="n">
        <v>0</v>
      </c>
      <c r="AI166" s="6" t="s">
        <v>84</v>
      </c>
    </row>
    <row r="167" customFormat="false" ht="15" hidden="false" customHeight="false" outlineLevel="0" collapsed="false">
      <c r="A167" s="6" t="n">
        <v>166</v>
      </c>
      <c r="B167" s="6" t="s">
        <v>6825</v>
      </c>
      <c r="C167" s="6" t="n">
        <v>4</v>
      </c>
      <c r="D167" s="6" t="s">
        <v>142</v>
      </c>
      <c r="E167" s="6" t="s">
        <v>74</v>
      </c>
      <c r="F167" s="6" t="n">
        <v>3</v>
      </c>
      <c r="G167" s="6" t="n">
        <v>126</v>
      </c>
      <c r="H167" s="6" t="s">
        <v>6826</v>
      </c>
      <c r="I167" s="22" t="n">
        <v>1131200</v>
      </c>
      <c r="J167" s="22" t="n">
        <v>9000</v>
      </c>
      <c r="K167" s="22" t="n">
        <v>85515</v>
      </c>
      <c r="L167" s="22" t="n">
        <v>1225715</v>
      </c>
      <c r="M167" s="6" t="s">
        <v>57</v>
      </c>
      <c r="N167" s="6" t="s">
        <v>58</v>
      </c>
      <c r="O167" s="6"/>
      <c r="P167" s="6" t="s">
        <v>59</v>
      </c>
      <c r="Q167" s="6" t="str">
        <f aca="false">IF(P167="pass","No","Yes")</f>
        <v>Yes</v>
      </c>
      <c r="R167" s="6" t="s">
        <v>60</v>
      </c>
      <c r="S167" s="6" t="s">
        <v>915</v>
      </c>
      <c r="T167" s="6" t="s">
        <v>6827</v>
      </c>
      <c r="U167" s="23" t="n">
        <v>2.578</v>
      </c>
      <c r="V167" s="6" t="s">
        <v>6828</v>
      </c>
      <c r="W167" s="6" t="s">
        <v>6829</v>
      </c>
      <c r="X167" s="6" t="s">
        <v>6830</v>
      </c>
      <c r="Y167" s="6" t="s">
        <v>60</v>
      </c>
      <c r="Z167" s="6" t="n">
        <v>0</v>
      </c>
      <c r="AA167" s="6" t="n">
        <v>0</v>
      </c>
      <c r="AB167" s="6" t="n">
        <v>0</v>
      </c>
      <c r="AC167" s="6" t="n">
        <v>0</v>
      </c>
      <c r="AD167" s="6" t="n">
        <v>0</v>
      </c>
      <c r="AE167" s="6" t="n">
        <v>0</v>
      </c>
      <c r="AF167" s="6" t="n">
        <v>0</v>
      </c>
      <c r="AG167" s="6" t="n">
        <v>0</v>
      </c>
      <c r="AH167" s="6" t="n">
        <v>1</v>
      </c>
      <c r="AI167" s="6" t="s">
        <v>84</v>
      </c>
    </row>
    <row r="168" customFormat="false" ht="15" hidden="false" customHeight="false" outlineLevel="0" collapsed="false">
      <c r="A168" s="6" t="n">
        <v>167</v>
      </c>
      <c r="B168" s="6" t="s">
        <v>6831</v>
      </c>
      <c r="C168" s="6" t="n">
        <v>4</v>
      </c>
      <c r="D168" s="6" t="s">
        <v>198</v>
      </c>
      <c r="E168" s="6" t="s">
        <v>81</v>
      </c>
      <c r="F168" s="6" t="n">
        <v>3</v>
      </c>
      <c r="G168" s="6" t="n">
        <v>107</v>
      </c>
      <c r="H168" s="6" t="s">
        <v>6832</v>
      </c>
      <c r="I168" s="22" t="n">
        <v>1009800</v>
      </c>
      <c r="J168" s="22" t="n">
        <v>4000</v>
      </c>
      <c r="K168" s="22" t="n">
        <v>76035</v>
      </c>
      <c r="L168" s="22" t="n">
        <v>1089835</v>
      </c>
      <c r="M168" s="6" t="s">
        <v>57</v>
      </c>
      <c r="N168" s="6" t="s">
        <v>58</v>
      </c>
      <c r="O168" s="6"/>
      <c r="P168" s="6" t="s">
        <v>59</v>
      </c>
      <c r="Q168" s="6" t="str">
        <f aca="false">IF(P168="pass","No","Yes")</f>
        <v>Yes</v>
      </c>
      <c r="R168" s="6" t="s">
        <v>60</v>
      </c>
      <c r="S168" s="6" t="s">
        <v>915</v>
      </c>
      <c r="T168" s="6" t="s">
        <v>6833</v>
      </c>
      <c r="U168" s="23" t="n">
        <v>2.525</v>
      </c>
      <c r="V168" s="6" t="s">
        <v>6834</v>
      </c>
      <c r="W168" s="6" t="s">
        <v>6835</v>
      </c>
      <c r="X168" s="6" t="s">
        <v>6836</v>
      </c>
      <c r="Y168" s="6" t="s">
        <v>60</v>
      </c>
      <c r="Z168" s="6" t="n">
        <v>0</v>
      </c>
      <c r="AA168" s="6" t="n">
        <v>0</v>
      </c>
      <c r="AB168" s="6" t="n">
        <v>0</v>
      </c>
      <c r="AC168" s="6" t="n">
        <v>0</v>
      </c>
      <c r="AD168" s="6" t="n">
        <v>0</v>
      </c>
      <c r="AE168" s="6" t="n">
        <v>0</v>
      </c>
      <c r="AF168" s="6" t="n">
        <v>0</v>
      </c>
      <c r="AG168" s="6" t="n">
        <v>0</v>
      </c>
      <c r="AH168" s="6" t="n">
        <v>1</v>
      </c>
      <c r="AI168" s="6" t="s">
        <v>84</v>
      </c>
    </row>
    <row r="169" customFormat="false" ht="15" hidden="false" customHeight="false" outlineLevel="0" collapsed="false">
      <c r="A169" s="6" t="n">
        <v>168</v>
      </c>
      <c r="B169" s="6" t="s">
        <v>6837</v>
      </c>
      <c r="C169" s="6" t="n">
        <v>4</v>
      </c>
      <c r="D169" s="6" t="s">
        <v>166</v>
      </c>
      <c r="E169" s="6" t="s">
        <v>74</v>
      </c>
      <c r="F169" s="6" t="n">
        <v>3</v>
      </c>
      <c r="G169" s="6" t="n">
        <v>65</v>
      </c>
      <c r="H169" s="6" t="s">
        <v>6838</v>
      </c>
      <c r="I169" s="22" t="n">
        <v>1075000</v>
      </c>
      <c r="J169" s="22" t="n">
        <v>9000</v>
      </c>
      <c r="K169" s="22" t="n">
        <v>81300</v>
      </c>
      <c r="L169" s="22" t="n">
        <v>1165300</v>
      </c>
      <c r="M169" s="6" t="s">
        <v>224</v>
      </c>
      <c r="N169" s="6" t="s">
        <v>84</v>
      </c>
      <c r="O169" s="6" t="s">
        <v>866</v>
      </c>
      <c r="P169" s="6" t="s">
        <v>85</v>
      </c>
      <c r="Q169" s="6" t="str">
        <f aca="false">IF(P169="pass","No","Yes")</f>
        <v>Yes</v>
      </c>
      <c r="R169" s="6" t="s">
        <v>86</v>
      </c>
      <c r="S169" s="6" t="s">
        <v>866</v>
      </c>
      <c r="T169" s="6" t="s">
        <v>225</v>
      </c>
      <c r="U169" s="23" t="n">
        <v>1.954</v>
      </c>
      <c r="V169" s="6" t="s">
        <v>6839</v>
      </c>
      <c r="W169" s="6" t="s">
        <v>6840</v>
      </c>
      <c r="X169" s="6" t="s">
        <v>6841</v>
      </c>
      <c r="Y169" s="6" t="s">
        <v>86</v>
      </c>
      <c r="Z169" s="6" t="n">
        <v>1</v>
      </c>
      <c r="AA169" s="6" t="n">
        <v>0</v>
      </c>
      <c r="AB169" s="6" t="n">
        <v>0</v>
      </c>
      <c r="AC169" s="6" t="n">
        <v>0</v>
      </c>
      <c r="AD169" s="6" t="n">
        <v>0</v>
      </c>
      <c r="AE169" s="6" t="n">
        <v>0</v>
      </c>
      <c r="AF169" s="6" t="n">
        <v>0</v>
      </c>
      <c r="AG169" s="6" t="n">
        <v>0</v>
      </c>
      <c r="AH169" s="6" t="n">
        <v>0</v>
      </c>
      <c r="AI169" s="6" t="s">
        <v>58</v>
      </c>
    </row>
    <row r="170" customFormat="false" ht="15" hidden="false" customHeight="false" outlineLevel="0" collapsed="false">
      <c r="A170" s="6" t="n">
        <v>169</v>
      </c>
      <c r="B170" s="6" t="s">
        <v>6842</v>
      </c>
      <c r="C170" s="6" t="n">
        <v>4</v>
      </c>
      <c r="D170" s="6" t="s">
        <v>137</v>
      </c>
      <c r="E170" s="6" t="s">
        <v>55</v>
      </c>
      <c r="F170" s="6" t="n">
        <v>1</v>
      </c>
      <c r="G170" s="6" t="n">
        <v>160</v>
      </c>
      <c r="H170" s="6" t="s">
        <v>6843</v>
      </c>
      <c r="I170" s="22" t="n">
        <v>1520000</v>
      </c>
      <c r="J170" s="22" t="n">
        <v>6000</v>
      </c>
      <c r="K170" s="22" t="n">
        <v>114450</v>
      </c>
      <c r="L170" s="22" t="n">
        <v>1640450</v>
      </c>
      <c r="M170" s="6" t="s">
        <v>57</v>
      </c>
      <c r="N170" s="6" t="s">
        <v>58</v>
      </c>
      <c r="O170" s="6"/>
      <c r="P170" s="6" t="s">
        <v>69</v>
      </c>
      <c r="Q170" s="6" t="str">
        <f aca="false">IF(P170="pass","No","Yes")</f>
        <v>No</v>
      </c>
      <c r="R170" s="6" t="s">
        <v>60</v>
      </c>
      <c r="S170" s="6"/>
      <c r="T170" s="6"/>
      <c r="U170" s="23" t="n">
        <v>2.32</v>
      </c>
      <c r="V170" s="6" t="s">
        <v>6844</v>
      </c>
      <c r="W170" s="6" t="s">
        <v>6845</v>
      </c>
      <c r="X170" s="6" t="s">
        <v>6846</v>
      </c>
      <c r="Y170" s="6" t="s">
        <v>60</v>
      </c>
      <c r="Z170" s="6" t="n">
        <v>0</v>
      </c>
      <c r="AA170" s="6" t="n">
        <v>0</v>
      </c>
      <c r="AB170" s="6" t="n">
        <v>0</v>
      </c>
      <c r="AC170" s="6" t="n">
        <v>0</v>
      </c>
      <c r="AD170" s="6" t="n">
        <v>0</v>
      </c>
      <c r="AE170" s="6" t="n">
        <v>0</v>
      </c>
      <c r="AF170" s="6" t="n">
        <v>0</v>
      </c>
      <c r="AG170" s="6" t="n">
        <v>0</v>
      </c>
      <c r="AH170" s="6" t="n">
        <v>0</v>
      </c>
      <c r="AI170" s="6" t="s">
        <v>84</v>
      </c>
    </row>
    <row r="171" customFormat="false" ht="15" hidden="false" customHeight="false" outlineLevel="0" collapsed="false">
      <c r="A171" s="6" t="n">
        <v>170</v>
      </c>
      <c r="B171" s="6" t="s">
        <v>6847</v>
      </c>
      <c r="C171" s="6" t="n">
        <v>4</v>
      </c>
      <c r="D171" s="6" t="s">
        <v>70</v>
      </c>
      <c r="E171" s="6" t="s">
        <v>74</v>
      </c>
      <c r="F171" s="6" t="n">
        <v>1</v>
      </c>
      <c r="G171" s="6" t="n">
        <v>5</v>
      </c>
      <c r="H171" s="6" t="s">
        <v>4029</v>
      </c>
      <c r="I171" s="22" t="n">
        <v>43000</v>
      </c>
      <c r="J171" s="22" t="n">
        <v>9000</v>
      </c>
      <c r="K171" s="22" t="n">
        <v>3900</v>
      </c>
      <c r="L171" s="22" t="n">
        <v>55900</v>
      </c>
      <c r="M171" s="6" t="s">
        <v>57</v>
      </c>
      <c r="N171" s="6" t="s">
        <v>58</v>
      </c>
      <c r="O171" s="6"/>
      <c r="P171" s="6" t="s">
        <v>69</v>
      </c>
      <c r="Q171" s="6" t="str">
        <f aca="false">IF(P171="pass","No","Yes")</f>
        <v>No</v>
      </c>
      <c r="R171" s="6" t="s">
        <v>60</v>
      </c>
      <c r="S171" s="6"/>
      <c r="T171" s="6"/>
      <c r="U171" s="23" t="n">
        <v>2.605</v>
      </c>
      <c r="V171" s="6" t="s">
        <v>6848</v>
      </c>
      <c r="W171" s="6" t="s">
        <v>6849</v>
      </c>
      <c r="X171" s="6" t="s">
        <v>6850</v>
      </c>
      <c r="Y171" s="6" t="s">
        <v>60</v>
      </c>
      <c r="Z171" s="6" t="n">
        <v>0</v>
      </c>
      <c r="AA171" s="6" t="n">
        <v>0</v>
      </c>
      <c r="AB171" s="6" t="n">
        <v>0</v>
      </c>
      <c r="AC171" s="6" t="n">
        <v>0</v>
      </c>
      <c r="AD171" s="6" t="n">
        <v>0</v>
      </c>
      <c r="AE171" s="6" t="n">
        <v>0</v>
      </c>
      <c r="AF171" s="6" t="n">
        <v>0</v>
      </c>
      <c r="AG171" s="6" t="n">
        <v>0</v>
      </c>
      <c r="AH171" s="6" t="n">
        <v>0</v>
      </c>
      <c r="AI171" s="6" t="s">
        <v>84</v>
      </c>
    </row>
    <row r="172" customFormat="false" ht="15" hidden="false" customHeight="false" outlineLevel="0" collapsed="false">
      <c r="A172" s="6" t="n">
        <v>171</v>
      </c>
      <c r="B172" s="6" t="s">
        <v>6851</v>
      </c>
      <c r="C172" s="6" t="n">
        <v>4</v>
      </c>
      <c r="D172" s="6" t="s">
        <v>177</v>
      </c>
      <c r="E172" s="6" t="s">
        <v>81</v>
      </c>
      <c r="F172" s="6" t="n">
        <v>1</v>
      </c>
      <c r="G172" s="6" t="n">
        <v>54</v>
      </c>
      <c r="H172" s="6" t="s">
        <v>6852</v>
      </c>
      <c r="I172" s="22" t="n">
        <v>388800</v>
      </c>
      <c r="J172" s="22" t="n">
        <v>4000</v>
      </c>
      <c r="K172" s="22" t="n">
        <v>29460</v>
      </c>
      <c r="L172" s="22" t="n">
        <v>422260</v>
      </c>
      <c r="M172" s="6" t="s">
        <v>984</v>
      </c>
      <c r="N172" s="6" t="s">
        <v>84</v>
      </c>
      <c r="O172" s="6" t="s">
        <v>985</v>
      </c>
      <c r="P172" s="6" t="s">
        <v>85</v>
      </c>
      <c r="Q172" s="6" t="str">
        <f aca="false">IF(P172="pass","No","Yes")</f>
        <v>Yes</v>
      </c>
      <c r="R172" s="6" t="s">
        <v>86</v>
      </c>
      <c r="S172" s="6" t="s">
        <v>985</v>
      </c>
      <c r="T172" s="6" t="s">
        <v>2655</v>
      </c>
      <c r="U172" s="23" t="n">
        <v>2.023</v>
      </c>
      <c r="V172" s="6" t="s">
        <v>6853</v>
      </c>
      <c r="W172" s="6" t="s">
        <v>6854</v>
      </c>
      <c r="X172" s="6" t="s">
        <v>6855</v>
      </c>
      <c r="Y172" s="6" t="s">
        <v>86</v>
      </c>
      <c r="Z172" s="6" t="n">
        <v>0</v>
      </c>
      <c r="AA172" s="6" t="n">
        <v>0</v>
      </c>
      <c r="AB172" s="6" t="n">
        <v>0</v>
      </c>
      <c r="AC172" s="6" t="n">
        <v>0</v>
      </c>
      <c r="AD172" s="6" t="n">
        <v>0</v>
      </c>
      <c r="AE172" s="6" t="n">
        <v>1</v>
      </c>
      <c r="AF172" s="6" t="n">
        <v>0</v>
      </c>
      <c r="AG172" s="6" t="n">
        <v>0</v>
      </c>
      <c r="AH172" s="6" t="n">
        <v>0</v>
      </c>
      <c r="AI172" s="6" t="s">
        <v>84</v>
      </c>
    </row>
    <row r="173" customFormat="false" ht="15" hidden="false" customHeight="false" outlineLevel="0" collapsed="false">
      <c r="A173" s="6" t="n">
        <v>172</v>
      </c>
      <c r="B173" s="6" t="s">
        <v>6856</v>
      </c>
      <c r="C173" s="6" t="n">
        <v>4</v>
      </c>
      <c r="D173" s="6" t="s">
        <v>137</v>
      </c>
      <c r="E173" s="6" t="s">
        <v>55</v>
      </c>
      <c r="F173" s="6" t="n">
        <v>1</v>
      </c>
      <c r="G173" s="6" t="n">
        <v>21</v>
      </c>
      <c r="H173" s="6" t="s">
        <v>6857</v>
      </c>
      <c r="I173" s="22" t="n">
        <v>199500</v>
      </c>
      <c r="J173" s="22" t="n">
        <v>6000</v>
      </c>
      <c r="K173" s="22" t="n">
        <v>15412.5</v>
      </c>
      <c r="L173" s="22" t="n">
        <v>220912.5</v>
      </c>
      <c r="M173" s="6" t="s">
        <v>57</v>
      </c>
      <c r="N173" s="6" t="s">
        <v>58</v>
      </c>
      <c r="O173" s="6"/>
      <c r="P173" s="6" t="s">
        <v>69</v>
      </c>
      <c r="Q173" s="6" t="str">
        <f aca="false">IF(P173="pass","No","Yes")</f>
        <v>No</v>
      </c>
      <c r="R173" s="6" t="s">
        <v>60</v>
      </c>
      <c r="S173" s="6"/>
      <c r="T173" s="6"/>
      <c r="U173" s="23" t="n">
        <v>2.345</v>
      </c>
      <c r="V173" s="6" t="s">
        <v>6858</v>
      </c>
      <c r="W173" s="6" t="s">
        <v>6859</v>
      </c>
      <c r="X173" s="6" t="s">
        <v>6860</v>
      </c>
      <c r="Y173" s="6" t="s">
        <v>60</v>
      </c>
      <c r="Z173" s="6" t="n">
        <v>0</v>
      </c>
      <c r="AA173" s="6" t="n">
        <v>0</v>
      </c>
      <c r="AB173" s="6" t="n">
        <v>0</v>
      </c>
      <c r="AC173" s="6" t="n">
        <v>0</v>
      </c>
      <c r="AD173" s="6" t="n">
        <v>0</v>
      </c>
      <c r="AE173" s="6" t="n">
        <v>0</v>
      </c>
      <c r="AF173" s="6" t="n">
        <v>0</v>
      </c>
      <c r="AG173" s="6" t="n">
        <v>0</v>
      </c>
      <c r="AH173" s="6" t="n">
        <v>0</v>
      </c>
      <c r="AI173" s="6" t="s">
        <v>84</v>
      </c>
    </row>
    <row r="174" customFormat="false" ht="15" hidden="false" customHeight="false" outlineLevel="0" collapsed="false">
      <c r="A174" s="6" t="n">
        <v>173</v>
      </c>
      <c r="B174" s="6" t="s">
        <v>6861</v>
      </c>
      <c r="C174" s="6" t="n">
        <v>4</v>
      </c>
      <c r="D174" s="6" t="s">
        <v>186</v>
      </c>
      <c r="E174" s="6" t="s">
        <v>123</v>
      </c>
      <c r="F174" s="6" t="n">
        <v>2</v>
      </c>
      <c r="G174" s="6" t="n">
        <v>11</v>
      </c>
      <c r="H174" s="6" t="s">
        <v>6862</v>
      </c>
      <c r="I174" s="22" t="n">
        <v>94600</v>
      </c>
      <c r="J174" s="22" t="n">
        <v>5000</v>
      </c>
      <c r="K174" s="22" t="n">
        <v>7470</v>
      </c>
      <c r="L174" s="22" t="n">
        <v>107070</v>
      </c>
      <c r="M174" s="6" t="s">
        <v>272</v>
      </c>
      <c r="N174" s="6" t="s">
        <v>84</v>
      </c>
      <c r="O174" s="6" t="s">
        <v>879</v>
      </c>
      <c r="P174" s="6" t="s">
        <v>85</v>
      </c>
      <c r="Q174" s="6" t="str">
        <f aca="false">IF(P174="pass","No","Yes")</f>
        <v>Yes</v>
      </c>
      <c r="R174" s="6" t="s">
        <v>86</v>
      </c>
      <c r="S174" s="6" t="s">
        <v>879</v>
      </c>
      <c r="T174" s="6" t="s">
        <v>6863</v>
      </c>
      <c r="U174" s="23" t="n">
        <v>1.947</v>
      </c>
      <c r="V174" s="6" t="s">
        <v>6864</v>
      </c>
      <c r="W174" s="6" t="s">
        <v>6865</v>
      </c>
      <c r="X174" s="6" t="s">
        <v>6866</v>
      </c>
      <c r="Y174" s="6" t="s">
        <v>86</v>
      </c>
      <c r="Z174" s="6" t="n">
        <v>0</v>
      </c>
      <c r="AA174" s="6" t="n">
        <v>1</v>
      </c>
      <c r="AB174" s="6" t="n">
        <v>0</v>
      </c>
      <c r="AC174" s="6" t="n">
        <v>0</v>
      </c>
      <c r="AD174" s="6" t="n">
        <v>0</v>
      </c>
      <c r="AE174" s="6" t="n">
        <v>0</v>
      </c>
      <c r="AF174" s="6" t="n">
        <v>0</v>
      </c>
      <c r="AG174" s="6" t="n">
        <v>0</v>
      </c>
      <c r="AH174" s="6" t="n">
        <v>0</v>
      </c>
      <c r="AI174" s="6" t="s">
        <v>84</v>
      </c>
    </row>
    <row r="175" customFormat="false" ht="15" hidden="false" customHeight="false" outlineLevel="0" collapsed="false">
      <c r="A175" s="6" t="n">
        <v>174</v>
      </c>
      <c r="B175" s="6" t="s">
        <v>6867</v>
      </c>
      <c r="C175" s="6" t="n">
        <v>4</v>
      </c>
      <c r="D175" s="6" t="s">
        <v>51</v>
      </c>
      <c r="E175" s="6" t="s">
        <v>55</v>
      </c>
      <c r="F175" s="6" t="n">
        <v>2</v>
      </c>
      <c r="G175" s="6" t="n">
        <v>23</v>
      </c>
      <c r="H175" s="6" t="s">
        <v>6868</v>
      </c>
      <c r="I175" s="22" t="n">
        <v>197800</v>
      </c>
      <c r="J175" s="22" t="n">
        <v>6000</v>
      </c>
      <c r="K175" s="22" t="n">
        <v>15285</v>
      </c>
      <c r="L175" s="22" t="n">
        <v>219085</v>
      </c>
      <c r="M175" s="6" t="s">
        <v>152</v>
      </c>
      <c r="N175" s="6" t="s">
        <v>84</v>
      </c>
      <c r="O175" s="6" t="s">
        <v>886</v>
      </c>
      <c r="P175" s="6" t="s">
        <v>85</v>
      </c>
      <c r="Q175" s="6" t="str">
        <f aca="false">IF(P175="pass","No","Yes")</f>
        <v>Yes</v>
      </c>
      <c r="R175" s="6" t="s">
        <v>86</v>
      </c>
      <c r="S175" s="6" t="s">
        <v>886</v>
      </c>
      <c r="T175" s="6" t="s">
        <v>264</v>
      </c>
      <c r="U175" s="23" t="n">
        <v>1.956</v>
      </c>
      <c r="V175" s="6" t="s">
        <v>6869</v>
      </c>
      <c r="W175" s="6" t="s">
        <v>6870</v>
      </c>
      <c r="X175" s="6" t="s">
        <v>6871</v>
      </c>
      <c r="Y175" s="6" t="s">
        <v>86</v>
      </c>
      <c r="Z175" s="6" t="n">
        <v>0</v>
      </c>
      <c r="AA175" s="6" t="n">
        <v>0</v>
      </c>
      <c r="AB175" s="6" t="n">
        <v>1</v>
      </c>
      <c r="AC175" s="6" t="n">
        <v>0</v>
      </c>
      <c r="AD175" s="6" t="n">
        <v>0</v>
      </c>
      <c r="AE175" s="6" t="n">
        <v>0</v>
      </c>
      <c r="AF175" s="6" t="n">
        <v>0</v>
      </c>
      <c r="AG175" s="6" t="n">
        <v>0</v>
      </c>
      <c r="AH175" s="6" t="n">
        <v>0</v>
      </c>
      <c r="AI175" s="6" t="s">
        <v>84</v>
      </c>
    </row>
    <row r="176" customFormat="false" ht="15" hidden="false" customHeight="false" outlineLevel="0" collapsed="false">
      <c r="A176" s="6" t="n">
        <v>175</v>
      </c>
      <c r="B176" s="6" t="s">
        <v>6872</v>
      </c>
      <c r="C176" s="6" t="n">
        <v>4</v>
      </c>
      <c r="D176" s="6" t="s">
        <v>105</v>
      </c>
      <c r="E176" s="6" t="s">
        <v>81</v>
      </c>
      <c r="F176" s="6" t="n">
        <v>2</v>
      </c>
      <c r="G176" s="6" t="n">
        <v>78</v>
      </c>
      <c r="H176" s="6" t="s">
        <v>6873</v>
      </c>
      <c r="I176" s="22" t="n">
        <v>571400</v>
      </c>
      <c r="J176" s="22" t="n">
        <v>4000</v>
      </c>
      <c r="K176" s="22" t="n">
        <v>43155</v>
      </c>
      <c r="L176" s="22" t="n">
        <v>618555</v>
      </c>
      <c r="M176" s="6" t="s">
        <v>94</v>
      </c>
      <c r="N176" s="6" t="s">
        <v>84</v>
      </c>
      <c r="O176" s="6" t="s">
        <v>909</v>
      </c>
      <c r="P176" s="6" t="s">
        <v>85</v>
      </c>
      <c r="Q176" s="6" t="str">
        <f aca="false">IF(P176="pass","No","Yes")</f>
        <v>Yes</v>
      </c>
      <c r="R176" s="6" t="s">
        <v>86</v>
      </c>
      <c r="S176" s="6" t="s">
        <v>909</v>
      </c>
      <c r="T176" s="6" t="s">
        <v>254</v>
      </c>
      <c r="U176" s="23" t="n">
        <v>2.006</v>
      </c>
      <c r="V176" s="6" t="s">
        <v>6874</v>
      </c>
      <c r="W176" s="6" t="s">
        <v>6875</v>
      </c>
      <c r="X176" s="6" t="s">
        <v>6876</v>
      </c>
      <c r="Y176" s="6" t="s">
        <v>86</v>
      </c>
      <c r="Z176" s="6" t="n">
        <v>0</v>
      </c>
      <c r="AA176" s="6" t="n">
        <v>0</v>
      </c>
      <c r="AB176" s="6" t="n">
        <v>0</v>
      </c>
      <c r="AC176" s="6" t="n">
        <v>0</v>
      </c>
      <c r="AD176" s="6" t="n">
        <v>0</v>
      </c>
      <c r="AE176" s="6" t="n">
        <v>0</v>
      </c>
      <c r="AF176" s="6" t="n">
        <v>1</v>
      </c>
      <c r="AG176" s="6" t="n">
        <v>0</v>
      </c>
      <c r="AH176" s="6" t="n">
        <v>0</v>
      </c>
      <c r="AI176" s="6" t="s">
        <v>84</v>
      </c>
    </row>
    <row r="177" customFormat="false" ht="15" hidden="false" customHeight="false" outlineLevel="0" collapsed="false">
      <c r="A177" s="6" t="n">
        <v>176</v>
      </c>
      <c r="B177" s="6" t="s">
        <v>6877</v>
      </c>
      <c r="C177" s="6" t="n">
        <v>4</v>
      </c>
      <c r="D177" s="6" t="s">
        <v>112</v>
      </c>
      <c r="E177" s="6" t="s">
        <v>116</v>
      </c>
      <c r="F177" s="6" t="n">
        <v>1</v>
      </c>
      <c r="G177" s="6" t="n">
        <v>29</v>
      </c>
      <c r="H177" s="6" t="s">
        <v>4126</v>
      </c>
      <c r="I177" s="22" t="n">
        <v>1102000</v>
      </c>
      <c r="J177" s="22" t="n">
        <v>15000</v>
      </c>
      <c r="K177" s="22" t="n">
        <v>83775</v>
      </c>
      <c r="L177" s="22" t="n">
        <v>1200775</v>
      </c>
      <c r="M177" s="6" t="s">
        <v>960</v>
      </c>
      <c r="N177" s="6" t="s">
        <v>84</v>
      </c>
      <c r="O177" s="6" t="s">
        <v>961</v>
      </c>
      <c r="P177" s="6" t="s">
        <v>85</v>
      </c>
      <c r="Q177" s="6" t="str">
        <f aca="false">IF(P177="pass","No","Yes")</f>
        <v>Yes</v>
      </c>
      <c r="R177" s="6" t="s">
        <v>86</v>
      </c>
      <c r="S177" s="6" t="s">
        <v>961</v>
      </c>
      <c r="T177" s="6" t="s">
        <v>962</v>
      </c>
      <c r="U177" s="23" t="n">
        <v>1.928</v>
      </c>
      <c r="V177" s="6" t="s">
        <v>6878</v>
      </c>
      <c r="W177" s="6" t="s">
        <v>6879</v>
      </c>
      <c r="X177" s="6" t="s">
        <v>6880</v>
      </c>
      <c r="Y177" s="6" t="s">
        <v>86</v>
      </c>
      <c r="Z177" s="6" t="n">
        <v>0</v>
      </c>
      <c r="AA177" s="6" t="n">
        <v>0</v>
      </c>
      <c r="AB177" s="6" t="n">
        <v>0</v>
      </c>
      <c r="AC177" s="6" t="n">
        <v>0</v>
      </c>
      <c r="AD177" s="6" t="n">
        <v>1</v>
      </c>
      <c r="AE177" s="6" t="n">
        <v>0</v>
      </c>
      <c r="AF177" s="6" t="n">
        <v>0</v>
      </c>
      <c r="AG177" s="6" t="n">
        <v>0</v>
      </c>
      <c r="AH177" s="6" t="n">
        <v>0</v>
      </c>
      <c r="AI177" s="6" t="s">
        <v>84</v>
      </c>
    </row>
    <row r="178" customFormat="false" ht="15" hidden="false" customHeight="false" outlineLevel="0" collapsed="false">
      <c r="A178" s="6" t="n">
        <v>177</v>
      </c>
      <c r="B178" s="6" t="s">
        <v>6881</v>
      </c>
      <c r="C178" s="6" t="n">
        <v>4</v>
      </c>
      <c r="D178" s="6" t="s">
        <v>119</v>
      </c>
      <c r="E178" s="6" t="s">
        <v>123</v>
      </c>
      <c r="F178" s="6" t="n">
        <v>2</v>
      </c>
      <c r="G178" s="6" t="n">
        <v>29</v>
      </c>
      <c r="H178" s="6" t="s">
        <v>6882</v>
      </c>
      <c r="I178" s="22" t="n">
        <v>342200</v>
      </c>
      <c r="J178" s="22" t="n">
        <v>5000</v>
      </c>
      <c r="K178" s="22" t="n">
        <v>26040</v>
      </c>
      <c r="L178" s="22" t="n">
        <v>373240</v>
      </c>
      <c r="M178" s="6" t="s">
        <v>152</v>
      </c>
      <c r="N178" s="6" t="s">
        <v>84</v>
      </c>
      <c r="O178" s="6" t="s">
        <v>886</v>
      </c>
      <c r="P178" s="6" t="s">
        <v>85</v>
      </c>
      <c r="Q178" s="6" t="str">
        <f aca="false">IF(P178="pass","No","Yes")</f>
        <v>Yes</v>
      </c>
      <c r="R178" s="6" t="s">
        <v>86</v>
      </c>
      <c r="S178" s="6" t="s">
        <v>886</v>
      </c>
      <c r="T178" s="6" t="s">
        <v>322</v>
      </c>
      <c r="U178" s="23" t="n">
        <v>1.922</v>
      </c>
      <c r="V178" s="6" t="s">
        <v>6883</v>
      </c>
      <c r="W178" s="6" t="s">
        <v>6884</v>
      </c>
      <c r="X178" s="6" t="s">
        <v>6885</v>
      </c>
      <c r="Y178" s="6" t="s">
        <v>86</v>
      </c>
      <c r="Z178" s="6" t="n">
        <v>0</v>
      </c>
      <c r="AA178" s="6" t="n">
        <v>0</v>
      </c>
      <c r="AB178" s="6" t="n">
        <v>1</v>
      </c>
      <c r="AC178" s="6" t="n">
        <v>0</v>
      </c>
      <c r="AD178" s="6" t="n">
        <v>0</v>
      </c>
      <c r="AE178" s="6" t="n">
        <v>0</v>
      </c>
      <c r="AF178" s="6" t="n">
        <v>0</v>
      </c>
      <c r="AG178" s="6" t="n">
        <v>0</v>
      </c>
      <c r="AH178" s="6" t="n">
        <v>0</v>
      </c>
      <c r="AI178" s="6" t="s">
        <v>84</v>
      </c>
    </row>
    <row r="179" customFormat="false" ht="15" hidden="false" customHeight="false" outlineLevel="0" collapsed="false">
      <c r="A179" s="6" t="n">
        <v>178</v>
      </c>
      <c r="B179" s="6" t="s">
        <v>6886</v>
      </c>
      <c r="C179" s="6" t="n">
        <v>4</v>
      </c>
      <c r="D179" s="6" t="s">
        <v>154</v>
      </c>
      <c r="E179" s="6" t="s">
        <v>123</v>
      </c>
      <c r="F179" s="6" t="n">
        <v>1</v>
      </c>
      <c r="G179" s="6" t="n">
        <v>6</v>
      </c>
      <c r="H179" s="6" t="s">
        <v>6887</v>
      </c>
      <c r="I179" s="22" t="n">
        <v>70800</v>
      </c>
      <c r="J179" s="22" t="n">
        <v>5000</v>
      </c>
      <c r="K179" s="22" t="n">
        <v>5685</v>
      </c>
      <c r="L179" s="22" t="n">
        <v>81485</v>
      </c>
      <c r="M179" s="6" t="s">
        <v>57</v>
      </c>
      <c r="N179" s="6" t="s">
        <v>58</v>
      </c>
      <c r="O179" s="6"/>
      <c r="P179" s="6" t="s">
        <v>69</v>
      </c>
      <c r="Q179" s="6" t="str">
        <f aca="false">IF(P179="pass","No","Yes")</f>
        <v>No</v>
      </c>
      <c r="R179" s="6" t="s">
        <v>60</v>
      </c>
      <c r="S179" s="6"/>
      <c r="T179" s="6"/>
      <c r="U179" s="23" t="n">
        <v>2.254</v>
      </c>
      <c r="V179" s="6" t="s">
        <v>6888</v>
      </c>
      <c r="W179" s="6" t="s">
        <v>6889</v>
      </c>
      <c r="X179" s="6" t="s">
        <v>6890</v>
      </c>
      <c r="Y179" s="6" t="s">
        <v>60</v>
      </c>
      <c r="Z179" s="6" t="n">
        <v>0</v>
      </c>
      <c r="AA179" s="6" t="n">
        <v>0</v>
      </c>
      <c r="AB179" s="6" t="n">
        <v>0</v>
      </c>
      <c r="AC179" s="6" t="n">
        <v>0</v>
      </c>
      <c r="AD179" s="6" t="n">
        <v>0</v>
      </c>
      <c r="AE179" s="6" t="n">
        <v>0</v>
      </c>
      <c r="AF179" s="6" t="n">
        <v>0</v>
      </c>
      <c r="AG179" s="6" t="n">
        <v>0</v>
      </c>
      <c r="AH179" s="6" t="n">
        <v>0</v>
      </c>
      <c r="AI179" s="6" t="s">
        <v>84</v>
      </c>
    </row>
    <row r="180" customFormat="false" ht="15" hidden="false" customHeight="false" outlineLevel="0" collapsed="false">
      <c r="A180" s="6" t="n">
        <v>179</v>
      </c>
      <c r="B180" s="6" t="s">
        <v>6891</v>
      </c>
      <c r="C180" s="6" t="n">
        <v>4</v>
      </c>
      <c r="D180" s="6" t="s">
        <v>177</v>
      </c>
      <c r="E180" s="6" t="s">
        <v>81</v>
      </c>
      <c r="F180" s="6" t="n">
        <v>3</v>
      </c>
      <c r="G180" s="6" t="n">
        <v>168</v>
      </c>
      <c r="H180" s="6" t="s">
        <v>6892</v>
      </c>
      <c r="I180" s="22" t="n">
        <v>1587500</v>
      </c>
      <c r="J180" s="22" t="n">
        <v>4000</v>
      </c>
      <c r="K180" s="22" t="n">
        <v>119362.5</v>
      </c>
      <c r="L180" s="22" t="n">
        <v>1710862.5</v>
      </c>
      <c r="M180" s="6" t="s">
        <v>927</v>
      </c>
      <c r="N180" s="6" t="s">
        <v>58</v>
      </c>
      <c r="O180" s="6"/>
      <c r="P180" s="6" t="s">
        <v>59</v>
      </c>
      <c r="Q180" s="6" t="str">
        <f aca="false">IF(P180="pass","No","Yes")</f>
        <v>Yes</v>
      </c>
      <c r="R180" s="6" t="s">
        <v>60</v>
      </c>
      <c r="S180" s="6" t="s">
        <v>915</v>
      </c>
      <c r="T180" s="6" t="s">
        <v>6893</v>
      </c>
      <c r="U180" s="23" t="n">
        <v>3.198</v>
      </c>
      <c r="V180" s="6" t="s">
        <v>6894</v>
      </c>
      <c r="W180" s="6" t="s">
        <v>6895</v>
      </c>
      <c r="X180" s="6" t="s">
        <v>6896</v>
      </c>
      <c r="Y180" s="6" t="s">
        <v>60</v>
      </c>
      <c r="Z180" s="6" t="n">
        <v>0</v>
      </c>
      <c r="AA180" s="6" t="n">
        <v>0</v>
      </c>
      <c r="AB180" s="6" t="n">
        <v>0</v>
      </c>
      <c r="AC180" s="6" t="n">
        <v>0</v>
      </c>
      <c r="AD180" s="6" t="n">
        <v>0</v>
      </c>
      <c r="AE180" s="6" t="n">
        <v>0</v>
      </c>
      <c r="AF180" s="6" t="n">
        <v>0</v>
      </c>
      <c r="AG180" s="6" t="n">
        <v>0</v>
      </c>
      <c r="AH180" s="6" t="n">
        <v>1</v>
      </c>
      <c r="AI180" s="6" t="s">
        <v>84</v>
      </c>
    </row>
    <row r="181" customFormat="false" ht="15" hidden="false" customHeight="false" outlineLevel="0" collapsed="false">
      <c r="A181" s="6" t="n">
        <v>180</v>
      </c>
      <c r="B181" s="6" t="s">
        <v>6897</v>
      </c>
      <c r="C181" s="6" t="n">
        <v>4</v>
      </c>
      <c r="D181" s="6" t="s">
        <v>166</v>
      </c>
      <c r="E181" s="6" t="s">
        <v>74</v>
      </c>
      <c r="F181" s="6" t="n">
        <v>3</v>
      </c>
      <c r="G181" s="6" t="n">
        <v>27</v>
      </c>
      <c r="H181" s="6" t="s">
        <v>6898</v>
      </c>
      <c r="I181" s="22" t="n">
        <v>1119200</v>
      </c>
      <c r="J181" s="22" t="n">
        <v>9000</v>
      </c>
      <c r="K181" s="22" t="n">
        <v>84615</v>
      </c>
      <c r="L181" s="22" t="n">
        <v>1212815</v>
      </c>
      <c r="M181" s="6" t="s">
        <v>57</v>
      </c>
      <c r="N181" s="6" t="s">
        <v>58</v>
      </c>
      <c r="O181" s="6"/>
      <c r="P181" s="6" t="s">
        <v>69</v>
      </c>
      <c r="Q181" s="6" t="str">
        <f aca="false">IF(P181="pass","No","Yes")</f>
        <v>No</v>
      </c>
      <c r="R181" s="6" t="s">
        <v>60</v>
      </c>
      <c r="S181" s="6"/>
      <c r="T181" s="6"/>
      <c r="U181" s="23" t="n">
        <v>2.337</v>
      </c>
      <c r="V181" s="6" t="s">
        <v>6899</v>
      </c>
      <c r="W181" s="6" t="s">
        <v>6900</v>
      </c>
      <c r="X181" s="6" t="s">
        <v>6901</v>
      </c>
      <c r="Y181" s="6" t="s">
        <v>60</v>
      </c>
      <c r="Z181" s="6" t="n">
        <v>0</v>
      </c>
      <c r="AA181" s="6" t="n">
        <v>0</v>
      </c>
      <c r="AB181" s="6" t="n">
        <v>0</v>
      </c>
      <c r="AC181" s="6" t="n">
        <v>0</v>
      </c>
      <c r="AD181" s="6" t="n">
        <v>0</v>
      </c>
      <c r="AE181" s="6" t="n">
        <v>0</v>
      </c>
      <c r="AF181" s="6" t="n">
        <v>0</v>
      </c>
      <c r="AG181" s="6" t="n">
        <v>0</v>
      </c>
      <c r="AH181" s="6" t="n">
        <v>0</v>
      </c>
      <c r="AI181" s="6" t="s">
        <v>84</v>
      </c>
    </row>
    <row r="182" customFormat="false" ht="15" hidden="false" customHeight="false" outlineLevel="0" collapsed="false">
      <c r="A182" s="6" t="n">
        <v>181</v>
      </c>
      <c r="B182" s="6" t="s">
        <v>6902</v>
      </c>
      <c r="C182" s="6" t="n">
        <v>4</v>
      </c>
      <c r="D182" s="6" t="s">
        <v>154</v>
      </c>
      <c r="E182" s="6" t="s">
        <v>123</v>
      </c>
      <c r="F182" s="6" t="n">
        <v>2</v>
      </c>
      <c r="G182" s="6" t="n">
        <v>41</v>
      </c>
      <c r="H182" s="6" t="s">
        <v>6903</v>
      </c>
      <c r="I182" s="22" t="n">
        <v>411000</v>
      </c>
      <c r="J182" s="22" t="n">
        <v>5000</v>
      </c>
      <c r="K182" s="22" t="n">
        <v>31200</v>
      </c>
      <c r="L182" s="22" t="n">
        <v>447200</v>
      </c>
      <c r="M182" s="6" t="s">
        <v>57</v>
      </c>
      <c r="N182" s="6" t="s">
        <v>58</v>
      </c>
      <c r="O182" s="6"/>
      <c r="P182" s="6" t="s">
        <v>69</v>
      </c>
      <c r="Q182" s="6" t="str">
        <f aca="false">IF(P182="pass","No","Yes")</f>
        <v>No</v>
      </c>
      <c r="R182" s="6" t="s">
        <v>60</v>
      </c>
      <c r="S182" s="6"/>
      <c r="T182" s="6"/>
      <c r="U182" s="23" t="n">
        <v>2.3</v>
      </c>
      <c r="V182" s="6" t="s">
        <v>6904</v>
      </c>
      <c r="W182" s="6" t="s">
        <v>6905</v>
      </c>
      <c r="X182" s="6" t="s">
        <v>6906</v>
      </c>
      <c r="Y182" s="6" t="s">
        <v>60</v>
      </c>
      <c r="Z182" s="6" t="n">
        <v>0</v>
      </c>
      <c r="AA182" s="6" t="n">
        <v>0</v>
      </c>
      <c r="AB182" s="6" t="n">
        <v>0</v>
      </c>
      <c r="AC182" s="6" t="n">
        <v>0</v>
      </c>
      <c r="AD182" s="6" t="n">
        <v>0</v>
      </c>
      <c r="AE182" s="6" t="n">
        <v>0</v>
      </c>
      <c r="AF182" s="6" t="n">
        <v>0</v>
      </c>
      <c r="AG182" s="6" t="n">
        <v>0</v>
      </c>
      <c r="AH182" s="6" t="n">
        <v>0</v>
      </c>
      <c r="AI182" s="6" t="s">
        <v>84</v>
      </c>
    </row>
    <row r="183" customFormat="false" ht="15" hidden="false" customHeight="false" outlineLevel="0" collapsed="false">
      <c r="A183" s="6" t="n">
        <v>182</v>
      </c>
      <c r="B183" s="6" t="s">
        <v>6907</v>
      </c>
      <c r="C183" s="6" t="n">
        <v>4</v>
      </c>
      <c r="D183" s="6" t="s">
        <v>137</v>
      </c>
      <c r="E183" s="6" t="s">
        <v>55</v>
      </c>
      <c r="F183" s="6" t="n">
        <v>3</v>
      </c>
      <c r="G183" s="6" t="n">
        <v>36</v>
      </c>
      <c r="H183" s="6" t="s">
        <v>6908</v>
      </c>
      <c r="I183" s="22" t="n">
        <v>399200</v>
      </c>
      <c r="J183" s="22" t="n">
        <v>6000</v>
      </c>
      <c r="K183" s="22" t="n">
        <v>30390</v>
      </c>
      <c r="L183" s="22" t="n">
        <v>435590</v>
      </c>
      <c r="M183" s="6" t="s">
        <v>152</v>
      </c>
      <c r="N183" s="6" t="s">
        <v>84</v>
      </c>
      <c r="O183" s="6" t="s">
        <v>886</v>
      </c>
      <c r="P183" s="6" t="s">
        <v>85</v>
      </c>
      <c r="Q183" s="6" t="str">
        <f aca="false">IF(P183="pass","No","Yes")</f>
        <v>Yes</v>
      </c>
      <c r="R183" s="6" t="s">
        <v>86</v>
      </c>
      <c r="S183" s="6" t="s">
        <v>886</v>
      </c>
      <c r="T183" s="6" t="s">
        <v>336</v>
      </c>
      <c r="U183" s="23" t="n">
        <v>1.997</v>
      </c>
      <c r="V183" s="6" t="s">
        <v>6909</v>
      </c>
      <c r="W183" s="6" t="s">
        <v>6910</v>
      </c>
      <c r="X183" s="6" t="s">
        <v>6911</v>
      </c>
      <c r="Y183" s="6" t="s">
        <v>86</v>
      </c>
      <c r="Z183" s="6" t="n">
        <v>0</v>
      </c>
      <c r="AA183" s="6" t="n">
        <v>0</v>
      </c>
      <c r="AB183" s="6" t="n">
        <v>1</v>
      </c>
      <c r="AC183" s="6" t="n">
        <v>0</v>
      </c>
      <c r="AD183" s="6" t="n">
        <v>0</v>
      </c>
      <c r="AE183" s="6" t="n">
        <v>0</v>
      </c>
      <c r="AF183" s="6" t="n">
        <v>0</v>
      </c>
      <c r="AG183" s="6" t="n">
        <v>0</v>
      </c>
      <c r="AH183" s="6" t="n">
        <v>0</v>
      </c>
      <c r="AI183" s="6" t="s">
        <v>84</v>
      </c>
    </row>
    <row r="184" customFormat="false" ht="15" hidden="false" customHeight="false" outlineLevel="0" collapsed="false">
      <c r="A184" s="6" t="n">
        <v>183</v>
      </c>
      <c r="B184" s="6" t="s">
        <v>6912</v>
      </c>
      <c r="C184" s="6" t="n">
        <v>4</v>
      </c>
      <c r="D184" s="6" t="s">
        <v>70</v>
      </c>
      <c r="E184" s="6" t="s">
        <v>74</v>
      </c>
      <c r="F184" s="6" t="n">
        <v>1</v>
      </c>
      <c r="G184" s="6" t="n">
        <v>6</v>
      </c>
      <c r="H184" s="6" t="s">
        <v>4827</v>
      </c>
      <c r="I184" s="22" t="n">
        <v>228000</v>
      </c>
      <c r="J184" s="22" t="n">
        <v>9000</v>
      </c>
      <c r="K184" s="22" t="n">
        <v>17775</v>
      </c>
      <c r="L184" s="22" t="n">
        <v>254775</v>
      </c>
      <c r="M184" s="6" t="s">
        <v>57</v>
      </c>
      <c r="N184" s="6" t="s">
        <v>58</v>
      </c>
      <c r="O184" s="6"/>
      <c r="P184" s="6" t="s">
        <v>69</v>
      </c>
      <c r="Q184" s="6" t="str">
        <f aca="false">IF(P184="pass","No","Yes")</f>
        <v>No</v>
      </c>
      <c r="R184" s="6" t="s">
        <v>60</v>
      </c>
      <c r="S184" s="6"/>
      <c r="T184" s="6"/>
      <c r="U184" s="23" t="n">
        <v>2.577</v>
      </c>
      <c r="V184" s="6" t="s">
        <v>6913</v>
      </c>
      <c r="W184" s="6" t="s">
        <v>6914</v>
      </c>
      <c r="X184" s="6" t="s">
        <v>6915</v>
      </c>
      <c r="Y184" s="6" t="s">
        <v>60</v>
      </c>
      <c r="Z184" s="6" t="n">
        <v>0</v>
      </c>
      <c r="AA184" s="6" t="n">
        <v>0</v>
      </c>
      <c r="AB184" s="6" t="n">
        <v>0</v>
      </c>
      <c r="AC184" s="6" t="n">
        <v>0</v>
      </c>
      <c r="AD184" s="6" t="n">
        <v>0</v>
      </c>
      <c r="AE184" s="6" t="n">
        <v>0</v>
      </c>
      <c r="AF184" s="6" t="n">
        <v>0</v>
      </c>
      <c r="AG184" s="6" t="n">
        <v>0</v>
      </c>
      <c r="AH184" s="6" t="n">
        <v>0</v>
      </c>
      <c r="AI184" s="6" t="s">
        <v>84</v>
      </c>
    </row>
    <row r="185" customFormat="false" ht="15" hidden="false" customHeight="false" outlineLevel="0" collapsed="false">
      <c r="A185" s="6" t="n">
        <v>184</v>
      </c>
      <c r="B185" s="6" t="s">
        <v>6916</v>
      </c>
      <c r="C185" s="6" t="n">
        <v>4</v>
      </c>
      <c r="D185" s="6" t="s">
        <v>166</v>
      </c>
      <c r="E185" s="6" t="s">
        <v>74</v>
      </c>
      <c r="F185" s="6" t="n">
        <v>4</v>
      </c>
      <c r="G185" s="6" t="n">
        <v>87</v>
      </c>
      <c r="H185" s="6" t="s">
        <v>6917</v>
      </c>
      <c r="I185" s="22" t="n">
        <v>1412000</v>
      </c>
      <c r="J185" s="22" t="n">
        <v>9000</v>
      </c>
      <c r="K185" s="22" t="n">
        <v>106575</v>
      </c>
      <c r="L185" s="22" t="n">
        <v>1527575</v>
      </c>
      <c r="M185" s="6" t="s">
        <v>272</v>
      </c>
      <c r="N185" s="6" t="s">
        <v>84</v>
      </c>
      <c r="O185" s="6" t="s">
        <v>879</v>
      </c>
      <c r="P185" s="6" t="s">
        <v>85</v>
      </c>
      <c r="Q185" s="6" t="str">
        <f aca="false">IF(P185="pass","No","Yes")</f>
        <v>Yes</v>
      </c>
      <c r="R185" s="6" t="s">
        <v>86</v>
      </c>
      <c r="S185" s="6" t="s">
        <v>879</v>
      </c>
      <c r="T185" s="6" t="s">
        <v>6918</v>
      </c>
      <c r="U185" s="23" t="n">
        <v>2.158</v>
      </c>
      <c r="V185" s="6" t="s">
        <v>6919</v>
      </c>
      <c r="W185" s="6" t="s">
        <v>6920</v>
      </c>
      <c r="X185" s="6" t="s">
        <v>6921</v>
      </c>
      <c r="Y185" s="6" t="s">
        <v>86</v>
      </c>
      <c r="Z185" s="6" t="n">
        <v>0</v>
      </c>
      <c r="AA185" s="6" t="n">
        <v>1</v>
      </c>
      <c r="AB185" s="6" t="n">
        <v>0</v>
      </c>
      <c r="AC185" s="6" t="n">
        <v>0</v>
      </c>
      <c r="AD185" s="6" t="n">
        <v>0</v>
      </c>
      <c r="AE185" s="6" t="n">
        <v>0</v>
      </c>
      <c r="AF185" s="6" t="n">
        <v>0</v>
      </c>
      <c r="AG185" s="6" t="n">
        <v>0</v>
      </c>
      <c r="AH185" s="6" t="n">
        <v>0</v>
      </c>
      <c r="AI185" s="6" t="s">
        <v>84</v>
      </c>
    </row>
    <row r="186" customFormat="false" ht="15" hidden="false" customHeight="false" outlineLevel="0" collapsed="false">
      <c r="A186" s="6" t="n">
        <v>185</v>
      </c>
      <c r="B186" s="6" t="s">
        <v>6922</v>
      </c>
      <c r="C186" s="6" t="n">
        <v>4</v>
      </c>
      <c r="D186" s="6" t="s">
        <v>137</v>
      </c>
      <c r="E186" s="6" t="s">
        <v>55</v>
      </c>
      <c r="F186" s="6" t="n">
        <v>2</v>
      </c>
      <c r="G186" s="6" t="n">
        <v>162</v>
      </c>
      <c r="H186" s="6" t="s">
        <v>6923</v>
      </c>
      <c r="I186" s="22" t="n">
        <v>1624000</v>
      </c>
      <c r="J186" s="22" t="n">
        <v>6000</v>
      </c>
      <c r="K186" s="22" t="n">
        <v>122250</v>
      </c>
      <c r="L186" s="22" t="n">
        <v>1752250</v>
      </c>
      <c r="M186" s="6" t="s">
        <v>57</v>
      </c>
      <c r="N186" s="6" t="s">
        <v>58</v>
      </c>
      <c r="O186" s="6"/>
      <c r="P186" s="6" t="s">
        <v>69</v>
      </c>
      <c r="Q186" s="6" t="str">
        <f aca="false">IF(P186="pass","No","Yes")</f>
        <v>No</v>
      </c>
      <c r="R186" s="6" t="s">
        <v>60</v>
      </c>
      <c r="S186" s="6"/>
      <c r="T186" s="6"/>
      <c r="U186" s="23" t="n">
        <v>2.533</v>
      </c>
      <c r="V186" s="6" t="s">
        <v>6924</v>
      </c>
      <c r="W186" s="6" t="s">
        <v>6925</v>
      </c>
      <c r="X186" s="6" t="s">
        <v>6926</v>
      </c>
      <c r="Y186" s="6" t="s">
        <v>60</v>
      </c>
      <c r="Z186" s="6" t="n">
        <v>0</v>
      </c>
      <c r="AA186" s="6" t="n">
        <v>0</v>
      </c>
      <c r="AB186" s="6" t="n">
        <v>0</v>
      </c>
      <c r="AC186" s="6" t="n">
        <v>0</v>
      </c>
      <c r="AD186" s="6" t="n">
        <v>0</v>
      </c>
      <c r="AE186" s="6" t="n">
        <v>0</v>
      </c>
      <c r="AF186" s="6" t="n">
        <v>0</v>
      </c>
      <c r="AG186" s="6" t="n">
        <v>0</v>
      </c>
      <c r="AH186" s="6" t="n">
        <v>0</v>
      </c>
      <c r="AI186" s="6" t="s">
        <v>84</v>
      </c>
    </row>
    <row r="187" customFormat="false" ht="15" hidden="false" customHeight="false" outlineLevel="0" collapsed="false">
      <c r="A187" s="6" t="n">
        <v>186</v>
      </c>
      <c r="B187" s="6" t="s">
        <v>6927</v>
      </c>
      <c r="C187" s="6" t="n">
        <v>4</v>
      </c>
      <c r="D187" s="6" t="s">
        <v>112</v>
      </c>
      <c r="E187" s="6" t="s">
        <v>116</v>
      </c>
      <c r="F187" s="6" t="n">
        <v>2</v>
      </c>
      <c r="G187" s="6" t="n">
        <v>66</v>
      </c>
      <c r="H187" s="6" t="s">
        <v>6928</v>
      </c>
      <c r="I187" s="22" t="n">
        <v>475200</v>
      </c>
      <c r="J187" s="22" t="n">
        <v>15000</v>
      </c>
      <c r="K187" s="22" t="n">
        <v>36765</v>
      </c>
      <c r="L187" s="22" t="n">
        <v>526965</v>
      </c>
      <c r="M187" s="6" t="s">
        <v>152</v>
      </c>
      <c r="N187" s="6" t="s">
        <v>84</v>
      </c>
      <c r="O187" s="6" t="s">
        <v>886</v>
      </c>
      <c r="P187" s="6" t="s">
        <v>85</v>
      </c>
      <c r="Q187" s="6" t="str">
        <f aca="false">IF(P187="pass","No","Yes")</f>
        <v>Yes</v>
      </c>
      <c r="R187" s="6" t="s">
        <v>86</v>
      </c>
      <c r="S187" s="6" t="s">
        <v>886</v>
      </c>
      <c r="T187" s="6" t="s">
        <v>336</v>
      </c>
      <c r="U187" s="23" t="n">
        <v>2.233</v>
      </c>
      <c r="V187" s="6" t="s">
        <v>6929</v>
      </c>
      <c r="W187" s="6" t="s">
        <v>6930</v>
      </c>
      <c r="X187" s="6" t="s">
        <v>6931</v>
      </c>
      <c r="Y187" s="6" t="s">
        <v>86</v>
      </c>
      <c r="Z187" s="6" t="n">
        <v>0</v>
      </c>
      <c r="AA187" s="6" t="n">
        <v>0</v>
      </c>
      <c r="AB187" s="6" t="n">
        <v>1</v>
      </c>
      <c r="AC187" s="6" t="n">
        <v>0</v>
      </c>
      <c r="AD187" s="6" t="n">
        <v>0</v>
      </c>
      <c r="AE187" s="6" t="n">
        <v>0</v>
      </c>
      <c r="AF187" s="6" t="n">
        <v>0</v>
      </c>
      <c r="AG187" s="6" t="n">
        <v>0</v>
      </c>
      <c r="AH187" s="6" t="n">
        <v>0</v>
      </c>
      <c r="AI187" s="6" t="s">
        <v>84</v>
      </c>
    </row>
    <row r="188" customFormat="false" ht="15" hidden="false" customHeight="false" outlineLevel="0" collapsed="false">
      <c r="A188" s="6" t="n">
        <v>187</v>
      </c>
      <c r="B188" s="6" t="s">
        <v>6932</v>
      </c>
      <c r="C188" s="6" t="n">
        <v>4</v>
      </c>
      <c r="D188" s="6" t="s">
        <v>198</v>
      </c>
      <c r="E188" s="6" t="s">
        <v>81</v>
      </c>
      <c r="F188" s="6" t="n">
        <v>3</v>
      </c>
      <c r="G188" s="6" t="n">
        <v>45</v>
      </c>
      <c r="H188" s="6" t="s">
        <v>6933</v>
      </c>
      <c r="I188" s="22" t="n">
        <v>598500</v>
      </c>
      <c r="J188" s="22" t="n">
        <v>4000</v>
      </c>
      <c r="K188" s="22" t="n">
        <v>45187.5</v>
      </c>
      <c r="L188" s="22" t="n">
        <v>647687.5</v>
      </c>
      <c r="M188" s="6" t="s">
        <v>57</v>
      </c>
      <c r="N188" s="6" t="s">
        <v>58</v>
      </c>
      <c r="O188" s="6"/>
      <c r="P188" s="6" t="s">
        <v>69</v>
      </c>
      <c r="Q188" s="6" t="str">
        <f aca="false">IF(P188="pass","No","Yes")</f>
        <v>No</v>
      </c>
      <c r="R188" s="6" t="s">
        <v>60</v>
      </c>
      <c r="S188" s="6"/>
      <c r="T188" s="6"/>
      <c r="U188" s="23" t="n">
        <v>2.547</v>
      </c>
      <c r="V188" s="6" t="s">
        <v>6934</v>
      </c>
      <c r="W188" s="6" t="s">
        <v>6935</v>
      </c>
      <c r="X188" s="6" t="s">
        <v>6936</v>
      </c>
      <c r="Y188" s="6" t="s">
        <v>60</v>
      </c>
      <c r="Z188" s="6" t="n">
        <v>0</v>
      </c>
      <c r="AA188" s="6" t="n">
        <v>0</v>
      </c>
      <c r="AB188" s="6" t="n">
        <v>0</v>
      </c>
      <c r="AC188" s="6" t="n">
        <v>0</v>
      </c>
      <c r="AD188" s="6" t="n">
        <v>0</v>
      </c>
      <c r="AE188" s="6" t="n">
        <v>0</v>
      </c>
      <c r="AF188" s="6" t="n">
        <v>0</v>
      </c>
      <c r="AG188" s="6" t="n">
        <v>0</v>
      </c>
      <c r="AH188" s="6" t="n">
        <v>0</v>
      </c>
      <c r="AI188" s="6" t="s">
        <v>84</v>
      </c>
    </row>
    <row r="189" customFormat="false" ht="15" hidden="false" customHeight="false" outlineLevel="0" collapsed="false">
      <c r="A189" s="6" t="n">
        <v>188</v>
      </c>
      <c r="B189" s="6" t="s">
        <v>6937</v>
      </c>
      <c r="C189" s="6" t="n">
        <v>4</v>
      </c>
      <c r="D189" s="6" t="s">
        <v>213</v>
      </c>
      <c r="E189" s="6" t="s">
        <v>67</v>
      </c>
      <c r="F189" s="6" t="n">
        <v>2</v>
      </c>
      <c r="G189" s="6" t="n">
        <v>203</v>
      </c>
      <c r="H189" s="6" t="s">
        <v>6938</v>
      </c>
      <c r="I189" s="22" t="n">
        <v>1911400</v>
      </c>
      <c r="J189" s="22" t="n">
        <v>4500</v>
      </c>
      <c r="K189" s="22" t="n">
        <v>143692.5</v>
      </c>
      <c r="L189" s="22" t="n">
        <v>2059592.5</v>
      </c>
      <c r="M189" s="6" t="s">
        <v>57</v>
      </c>
      <c r="N189" s="6" t="s">
        <v>58</v>
      </c>
      <c r="O189" s="6"/>
      <c r="P189" s="6" t="s">
        <v>59</v>
      </c>
      <c r="Q189" s="6" t="str">
        <f aca="false">IF(P189="pass","No","Yes")</f>
        <v>Yes</v>
      </c>
      <c r="R189" s="6" t="s">
        <v>60</v>
      </c>
      <c r="S189" s="6" t="s">
        <v>915</v>
      </c>
      <c r="T189" s="6" t="s">
        <v>6262</v>
      </c>
      <c r="U189" s="23" t="n">
        <v>2.595</v>
      </c>
      <c r="V189" s="6" t="s">
        <v>6939</v>
      </c>
      <c r="W189" s="6" t="s">
        <v>6940</v>
      </c>
      <c r="X189" s="6" t="s">
        <v>6941</v>
      </c>
      <c r="Y189" s="6" t="s">
        <v>60</v>
      </c>
      <c r="Z189" s="6" t="n">
        <v>0</v>
      </c>
      <c r="AA189" s="6" t="n">
        <v>0</v>
      </c>
      <c r="AB189" s="6" t="n">
        <v>0</v>
      </c>
      <c r="AC189" s="6" t="n">
        <v>0</v>
      </c>
      <c r="AD189" s="6" t="n">
        <v>0</v>
      </c>
      <c r="AE189" s="6" t="n">
        <v>0</v>
      </c>
      <c r="AF189" s="6" t="n">
        <v>0</v>
      </c>
      <c r="AG189" s="6" t="n">
        <v>0</v>
      </c>
      <c r="AH189" s="6" t="n">
        <v>1</v>
      </c>
      <c r="AI189" s="6" t="s">
        <v>84</v>
      </c>
    </row>
    <row r="190" customFormat="false" ht="15" hidden="false" customHeight="false" outlineLevel="0" collapsed="false">
      <c r="A190" s="6" t="n">
        <v>189</v>
      </c>
      <c r="B190" s="6" t="s">
        <v>6942</v>
      </c>
      <c r="C190" s="6" t="n">
        <v>4</v>
      </c>
      <c r="D190" s="6" t="s">
        <v>191</v>
      </c>
      <c r="E190" s="6" t="s">
        <v>116</v>
      </c>
      <c r="F190" s="6" t="n">
        <v>3</v>
      </c>
      <c r="G190" s="6" t="n">
        <v>77</v>
      </c>
      <c r="H190" s="6" t="s">
        <v>6943</v>
      </c>
      <c r="I190" s="22" t="n">
        <v>907200</v>
      </c>
      <c r="J190" s="22" t="n">
        <v>15000</v>
      </c>
      <c r="K190" s="22" t="n">
        <v>69165</v>
      </c>
      <c r="L190" s="22" t="n">
        <v>991365</v>
      </c>
      <c r="M190" s="6" t="s">
        <v>57</v>
      </c>
      <c r="N190" s="6" t="s">
        <v>58</v>
      </c>
      <c r="O190" s="6"/>
      <c r="P190" s="6" t="s">
        <v>69</v>
      </c>
      <c r="Q190" s="6" t="str">
        <f aca="false">IF(P190="pass","No","Yes")</f>
        <v>No</v>
      </c>
      <c r="R190" s="6" t="s">
        <v>60</v>
      </c>
      <c r="S190" s="6"/>
      <c r="T190" s="6"/>
      <c r="U190" s="23" t="n">
        <v>2.495</v>
      </c>
      <c r="V190" s="6" t="s">
        <v>6944</v>
      </c>
      <c r="W190" s="6" t="s">
        <v>6945</v>
      </c>
      <c r="X190" s="6" t="s">
        <v>6946</v>
      </c>
      <c r="Y190" s="6" t="s">
        <v>60</v>
      </c>
      <c r="Z190" s="6" t="n">
        <v>0</v>
      </c>
      <c r="AA190" s="6" t="n">
        <v>0</v>
      </c>
      <c r="AB190" s="6" t="n">
        <v>0</v>
      </c>
      <c r="AC190" s="6" t="n">
        <v>0</v>
      </c>
      <c r="AD190" s="6" t="n">
        <v>0</v>
      </c>
      <c r="AE190" s="6" t="n">
        <v>0</v>
      </c>
      <c r="AF190" s="6" t="n">
        <v>0</v>
      </c>
      <c r="AG190" s="6" t="n">
        <v>0</v>
      </c>
      <c r="AH190" s="6" t="n">
        <v>0</v>
      </c>
      <c r="AI190" s="6" t="s">
        <v>84</v>
      </c>
    </row>
    <row r="191" customFormat="false" ht="15" hidden="false" customHeight="false" outlineLevel="0" collapsed="false">
      <c r="A191" s="6" t="n">
        <v>190</v>
      </c>
      <c r="B191" s="6" t="s">
        <v>6947</v>
      </c>
      <c r="C191" s="6" t="n">
        <v>4</v>
      </c>
      <c r="D191" s="6" t="s">
        <v>89</v>
      </c>
      <c r="E191" s="6" t="s">
        <v>67</v>
      </c>
      <c r="F191" s="6" t="n">
        <v>2</v>
      </c>
      <c r="G191" s="6" t="n">
        <v>36</v>
      </c>
      <c r="H191" s="6" t="s">
        <v>6948</v>
      </c>
      <c r="I191" s="22" t="n">
        <v>616800</v>
      </c>
      <c r="J191" s="22" t="n">
        <v>4500</v>
      </c>
      <c r="K191" s="22" t="n">
        <v>46597.5</v>
      </c>
      <c r="L191" s="22" t="n">
        <v>667897.5</v>
      </c>
      <c r="M191" s="6" t="s">
        <v>57</v>
      </c>
      <c r="N191" s="6" t="s">
        <v>58</v>
      </c>
      <c r="O191" s="6"/>
      <c r="P191" s="6" t="s">
        <v>69</v>
      </c>
      <c r="Q191" s="6" t="str">
        <f aca="false">IF(P191="pass","No","Yes")</f>
        <v>No</v>
      </c>
      <c r="R191" s="6" t="s">
        <v>60</v>
      </c>
      <c r="S191" s="6"/>
      <c r="T191" s="6"/>
      <c r="U191" s="23" t="n">
        <v>2.429</v>
      </c>
      <c r="V191" s="6" t="s">
        <v>6949</v>
      </c>
      <c r="W191" s="6" t="s">
        <v>6950</v>
      </c>
      <c r="X191" s="6" t="s">
        <v>6951</v>
      </c>
      <c r="Y191" s="6" t="s">
        <v>60</v>
      </c>
      <c r="Z191" s="6" t="n">
        <v>0</v>
      </c>
      <c r="AA191" s="6" t="n">
        <v>0</v>
      </c>
      <c r="AB191" s="6" t="n">
        <v>0</v>
      </c>
      <c r="AC191" s="6" t="n">
        <v>0</v>
      </c>
      <c r="AD191" s="6" t="n">
        <v>0</v>
      </c>
      <c r="AE191" s="6" t="n">
        <v>0</v>
      </c>
      <c r="AF191" s="6" t="n">
        <v>0</v>
      </c>
      <c r="AG191" s="6" t="n">
        <v>0</v>
      </c>
      <c r="AH191" s="6" t="n">
        <v>0</v>
      </c>
      <c r="AI191" s="6" t="s">
        <v>84</v>
      </c>
    </row>
    <row r="192" customFormat="false" ht="15" hidden="false" customHeight="false" outlineLevel="0" collapsed="false">
      <c r="A192" s="6" t="n">
        <v>191</v>
      </c>
      <c r="B192" s="6" t="s">
        <v>6952</v>
      </c>
      <c r="C192" s="6" t="n">
        <v>4</v>
      </c>
      <c r="D192" s="6" t="s">
        <v>119</v>
      </c>
      <c r="E192" s="6" t="s">
        <v>123</v>
      </c>
      <c r="F192" s="6" t="n">
        <v>1</v>
      </c>
      <c r="G192" s="6" t="n">
        <v>9</v>
      </c>
      <c r="H192" s="6" t="s">
        <v>6953</v>
      </c>
      <c r="I192" s="22" t="n">
        <v>279000</v>
      </c>
      <c r="J192" s="22" t="n">
        <v>5000</v>
      </c>
      <c r="K192" s="22" t="n">
        <v>21300</v>
      </c>
      <c r="L192" s="22" t="n">
        <v>305300</v>
      </c>
      <c r="M192" s="6" t="s">
        <v>984</v>
      </c>
      <c r="N192" s="6" t="s">
        <v>84</v>
      </c>
      <c r="O192" s="6" t="s">
        <v>985</v>
      </c>
      <c r="P192" s="6" t="s">
        <v>85</v>
      </c>
      <c r="Q192" s="6" t="str">
        <f aca="false">IF(P192="pass","No","Yes")</f>
        <v>Yes</v>
      </c>
      <c r="R192" s="6" t="s">
        <v>86</v>
      </c>
      <c r="S192" s="6" t="s">
        <v>985</v>
      </c>
      <c r="T192" s="6" t="s">
        <v>3600</v>
      </c>
      <c r="U192" s="23" t="n">
        <v>1.942</v>
      </c>
      <c r="V192" s="6" t="s">
        <v>6954</v>
      </c>
      <c r="W192" s="6" t="s">
        <v>6955</v>
      </c>
      <c r="X192" s="6" t="s">
        <v>6956</v>
      </c>
      <c r="Y192" s="6" t="s">
        <v>86</v>
      </c>
      <c r="Z192" s="6" t="n">
        <v>0</v>
      </c>
      <c r="AA192" s="6" t="n">
        <v>0</v>
      </c>
      <c r="AB192" s="6" t="n">
        <v>0</v>
      </c>
      <c r="AC192" s="6" t="n">
        <v>0</v>
      </c>
      <c r="AD192" s="6" t="n">
        <v>0</v>
      </c>
      <c r="AE192" s="6" t="n">
        <v>1</v>
      </c>
      <c r="AF192" s="6" t="n">
        <v>0</v>
      </c>
      <c r="AG192" s="6" t="n">
        <v>0</v>
      </c>
      <c r="AH192" s="6" t="n">
        <v>0</v>
      </c>
      <c r="AI192" s="6" t="s">
        <v>84</v>
      </c>
    </row>
    <row r="193" customFormat="false" ht="15" hidden="false" customHeight="false" outlineLevel="0" collapsed="false">
      <c r="A193" s="6" t="n">
        <v>192</v>
      </c>
      <c r="B193" s="6" t="s">
        <v>6957</v>
      </c>
      <c r="C193" s="6" t="n">
        <v>4</v>
      </c>
      <c r="D193" s="6" t="s">
        <v>112</v>
      </c>
      <c r="E193" s="6" t="s">
        <v>116</v>
      </c>
      <c r="F193" s="6" t="n">
        <v>2</v>
      </c>
      <c r="G193" s="6" t="n">
        <v>263</v>
      </c>
      <c r="H193" s="6" t="s">
        <v>6958</v>
      </c>
      <c r="I193" s="22" t="n">
        <v>2153500</v>
      </c>
      <c r="J193" s="22" t="n">
        <v>15000</v>
      </c>
      <c r="K193" s="22" t="n">
        <v>162637.5</v>
      </c>
      <c r="L193" s="22" t="n">
        <v>2331137.5</v>
      </c>
      <c r="M193" s="6" t="s">
        <v>927</v>
      </c>
      <c r="N193" s="6" t="s">
        <v>58</v>
      </c>
      <c r="O193" s="6"/>
      <c r="P193" s="6" t="s">
        <v>59</v>
      </c>
      <c r="Q193" s="6" t="str">
        <f aca="false">IF(P193="pass","No","Yes")</f>
        <v>Yes</v>
      </c>
      <c r="R193" s="6" t="s">
        <v>60</v>
      </c>
      <c r="S193" s="6" t="s">
        <v>915</v>
      </c>
      <c r="T193" s="6" t="s">
        <v>6959</v>
      </c>
      <c r="U193" s="23" t="n">
        <v>2.583</v>
      </c>
      <c r="V193" s="6" t="s">
        <v>6960</v>
      </c>
      <c r="W193" s="6" t="s">
        <v>6961</v>
      </c>
      <c r="X193" s="6" t="s">
        <v>6962</v>
      </c>
      <c r="Y193" s="6" t="s">
        <v>60</v>
      </c>
      <c r="Z193" s="6" t="n">
        <v>0</v>
      </c>
      <c r="AA193" s="6" t="n">
        <v>0</v>
      </c>
      <c r="AB193" s="6" t="n">
        <v>0</v>
      </c>
      <c r="AC193" s="6" t="n">
        <v>0</v>
      </c>
      <c r="AD193" s="6" t="n">
        <v>0</v>
      </c>
      <c r="AE193" s="6" t="n">
        <v>0</v>
      </c>
      <c r="AF193" s="6" t="n">
        <v>0</v>
      </c>
      <c r="AG193" s="6" t="n">
        <v>0</v>
      </c>
      <c r="AH193" s="6" t="n">
        <v>1</v>
      </c>
      <c r="AI193" s="6" t="s">
        <v>84</v>
      </c>
    </row>
    <row r="194" customFormat="false" ht="15" hidden="false" customHeight="false" outlineLevel="0" collapsed="false">
      <c r="A194" s="6" t="n">
        <v>193</v>
      </c>
      <c r="B194" s="6" t="s">
        <v>6963</v>
      </c>
      <c r="C194" s="6" t="n">
        <v>4</v>
      </c>
      <c r="D194" s="6" t="s">
        <v>112</v>
      </c>
      <c r="E194" s="6" t="s">
        <v>116</v>
      </c>
      <c r="F194" s="6" t="n">
        <v>2</v>
      </c>
      <c r="G194" s="6" t="n">
        <v>7</v>
      </c>
      <c r="H194" s="6" t="s">
        <v>6964</v>
      </c>
      <c r="I194" s="22" t="n">
        <v>203200</v>
      </c>
      <c r="J194" s="22" t="n">
        <v>15000</v>
      </c>
      <c r="K194" s="22" t="n">
        <v>16365</v>
      </c>
      <c r="L194" s="22" t="n">
        <v>234565</v>
      </c>
      <c r="M194" s="6" t="s">
        <v>83</v>
      </c>
      <c r="N194" s="6" t="s">
        <v>84</v>
      </c>
      <c r="O194" s="6" t="s">
        <v>886</v>
      </c>
      <c r="P194" s="6" t="s">
        <v>85</v>
      </c>
      <c r="Q194" s="6" t="str">
        <f aca="false">IF(P194="pass","No","Yes")</f>
        <v>Yes</v>
      </c>
      <c r="R194" s="6" t="s">
        <v>86</v>
      </c>
      <c r="S194" s="6" t="s">
        <v>886</v>
      </c>
      <c r="T194" s="6" t="s">
        <v>290</v>
      </c>
      <c r="U194" s="23" t="n">
        <v>1.997</v>
      </c>
      <c r="V194" s="6" t="s">
        <v>6965</v>
      </c>
      <c r="W194" s="6" t="s">
        <v>6966</v>
      </c>
      <c r="X194" s="6" t="s">
        <v>6967</v>
      </c>
      <c r="Y194" s="6" t="s">
        <v>86</v>
      </c>
      <c r="Z194" s="6" t="n">
        <v>0</v>
      </c>
      <c r="AA194" s="6" t="n">
        <v>0</v>
      </c>
      <c r="AB194" s="6" t="n">
        <v>1</v>
      </c>
      <c r="AC194" s="6" t="n">
        <v>0</v>
      </c>
      <c r="AD194" s="6" t="n">
        <v>0</v>
      </c>
      <c r="AE194" s="6" t="n">
        <v>0</v>
      </c>
      <c r="AF194" s="6" t="n">
        <v>0</v>
      </c>
      <c r="AG194" s="6" t="n">
        <v>0</v>
      </c>
      <c r="AH194" s="6" t="n">
        <v>0</v>
      </c>
      <c r="AI194" s="6" t="s">
        <v>84</v>
      </c>
    </row>
    <row r="195" customFormat="false" ht="15" hidden="false" customHeight="false" outlineLevel="0" collapsed="false">
      <c r="A195" s="6" t="n">
        <v>194</v>
      </c>
      <c r="B195" s="6" t="s">
        <v>6968</v>
      </c>
      <c r="C195" s="6" t="n">
        <v>4</v>
      </c>
      <c r="D195" s="6" t="s">
        <v>112</v>
      </c>
      <c r="E195" s="6" t="s">
        <v>116</v>
      </c>
      <c r="F195" s="6" t="n">
        <v>3</v>
      </c>
      <c r="G195" s="6" t="n">
        <v>30</v>
      </c>
      <c r="H195" s="6" t="s">
        <v>6969</v>
      </c>
      <c r="I195" s="22" t="n">
        <v>792700</v>
      </c>
      <c r="J195" s="22" t="n">
        <v>15000</v>
      </c>
      <c r="K195" s="22" t="n">
        <v>60577.5</v>
      </c>
      <c r="L195" s="22" t="n">
        <v>868277.5</v>
      </c>
      <c r="M195" s="6" t="s">
        <v>224</v>
      </c>
      <c r="N195" s="6" t="s">
        <v>84</v>
      </c>
      <c r="O195" s="6" t="s">
        <v>866</v>
      </c>
      <c r="P195" s="6" t="s">
        <v>85</v>
      </c>
      <c r="Q195" s="6" t="str">
        <f aca="false">IF(P195="pass","No","Yes")</f>
        <v>Yes</v>
      </c>
      <c r="R195" s="6" t="s">
        <v>86</v>
      </c>
      <c r="S195" s="6" t="s">
        <v>866</v>
      </c>
      <c r="T195" s="6" t="s">
        <v>225</v>
      </c>
      <c r="U195" s="23" t="n">
        <v>2.078</v>
      </c>
      <c r="V195" s="6" t="s">
        <v>6970</v>
      </c>
      <c r="W195" s="6" t="s">
        <v>6971</v>
      </c>
      <c r="X195" s="6" t="s">
        <v>6972</v>
      </c>
      <c r="Y195" s="6" t="s">
        <v>86</v>
      </c>
      <c r="Z195" s="6" t="n">
        <v>1</v>
      </c>
      <c r="AA195" s="6" t="n">
        <v>0</v>
      </c>
      <c r="AB195" s="6" t="n">
        <v>0</v>
      </c>
      <c r="AC195" s="6" t="n">
        <v>0</v>
      </c>
      <c r="AD195" s="6" t="n">
        <v>0</v>
      </c>
      <c r="AE195" s="6" t="n">
        <v>0</v>
      </c>
      <c r="AF195" s="6" t="n">
        <v>0</v>
      </c>
      <c r="AG195" s="6" t="n">
        <v>0</v>
      </c>
      <c r="AH195" s="6" t="n">
        <v>0</v>
      </c>
      <c r="AI195" s="6" t="s">
        <v>58</v>
      </c>
    </row>
    <row r="196" customFormat="false" ht="15" hidden="false" customHeight="false" outlineLevel="0" collapsed="false">
      <c r="A196" s="6" t="n">
        <v>195</v>
      </c>
      <c r="B196" s="6" t="s">
        <v>6973</v>
      </c>
      <c r="C196" s="6" t="n">
        <v>4</v>
      </c>
      <c r="D196" s="6" t="s">
        <v>213</v>
      </c>
      <c r="E196" s="6" t="s">
        <v>67</v>
      </c>
      <c r="F196" s="6" t="n">
        <v>3</v>
      </c>
      <c r="G196" s="6" t="n">
        <v>44</v>
      </c>
      <c r="H196" s="6" t="s">
        <v>6974</v>
      </c>
      <c r="I196" s="22" t="n">
        <v>728800</v>
      </c>
      <c r="J196" s="22" t="n">
        <v>4500</v>
      </c>
      <c r="K196" s="22" t="n">
        <v>54997.5</v>
      </c>
      <c r="L196" s="22" t="n">
        <v>788297.5</v>
      </c>
      <c r="M196" s="6" t="s">
        <v>272</v>
      </c>
      <c r="N196" s="6" t="s">
        <v>84</v>
      </c>
      <c r="O196" s="6" t="s">
        <v>879</v>
      </c>
      <c r="P196" s="6" t="s">
        <v>85</v>
      </c>
      <c r="Q196" s="6" t="str">
        <f aca="false">IF(P196="pass","No","Yes")</f>
        <v>Yes</v>
      </c>
      <c r="R196" s="6" t="s">
        <v>86</v>
      </c>
      <c r="S196" s="6" t="s">
        <v>879</v>
      </c>
      <c r="T196" s="6" t="s">
        <v>6975</v>
      </c>
      <c r="U196" s="23" t="n">
        <v>2.126</v>
      </c>
      <c r="V196" s="6" t="s">
        <v>6976</v>
      </c>
      <c r="W196" s="6" t="s">
        <v>6977</v>
      </c>
      <c r="X196" s="6" t="s">
        <v>6978</v>
      </c>
      <c r="Y196" s="6" t="s">
        <v>86</v>
      </c>
      <c r="Z196" s="6" t="n">
        <v>0</v>
      </c>
      <c r="AA196" s="6" t="n">
        <v>1</v>
      </c>
      <c r="AB196" s="6" t="n">
        <v>0</v>
      </c>
      <c r="AC196" s="6" t="n">
        <v>0</v>
      </c>
      <c r="AD196" s="6" t="n">
        <v>0</v>
      </c>
      <c r="AE196" s="6" t="n">
        <v>0</v>
      </c>
      <c r="AF196" s="6" t="n">
        <v>0</v>
      </c>
      <c r="AG196" s="6" t="n">
        <v>0</v>
      </c>
      <c r="AH196" s="6" t="n">
        <v>0</v>
      </c>
      <c r="AI196" s="6" t="s">
        <v>84</v>
      </c>
    </row>
    <row r="197" customFormat="false" ht="15" hidden="false" customHeight="false" outlineLevel="0" collapsed="false">
      <c r="A197" s="6" t="n">
        <v>196</v>
      </c>
      <c r="B197" s="6" t="s">
        <v>6979</v>
      </c>
      <c r="C197" s="6" t="n">
        <v>4</v>
      </c>
      <c r="D197" s="6" t="s">
        <v>186</v>
      </c>
      <c r="E197" s="6" t="s">
        <v>123</v>
      </c>
      <c r="F197" s="6" t="n">
        <v>1</v>
      </c>
      <c r="G197" s="6" t="n">
        <v>8</v>
      </c>
      <c r="H197" s="6" t="s">
        <v>6980</v>
      </c>
      <c r="I197" s="22" t="n">
        <v>304000</v>
      </c>
      <c r="J197" s="22" t="n">
        <v>5000</v>
      </c>
      <c r="K197" s="22" t="n">
        <v>23175</v>
      </c>
      <c r="L197" s="22" t="n">
        <v>332175</v>
      </c>
      <c r="M197" s="6" t="s">
        <v>960</v>
      </c>
      <c r="N197" s="6" t="s">
        <v>84</v>
      </c>
      <c r="O197" s="6" t="s">
        <v>961</v>
      </c>
      <c r="P197" s="6" t="s">
        <v>85</v>
      </c>
      <c r="Q197" s="6" t="str">
        <f aca="false">IF(P197="pass","No","Yes")</f>
        <v>Yes</v>
      </c>
      <c r="R197" s="6" t="s">
        <v>86</v>
      </c>
      <c r="S197" s="6" t="s">
        <v>961</v>
      </c>
      <c r="T197" s="6" t="s">
        <v>962</v>
      </c>
      <c r="U197" s="23" t="n">
        <v>2.097</v>
      </c>
      <c r="V197" s="6" t="s">
        <v>6981</v>
      </c>
      <c r="W197" s="6" t="s">
        <v>6982</v>
      </c>
      <c r="X197" s="6" t="s">
        <v>6983</v>
      </c>
      <c r="Y197" s="6" t="s">
        <v>86</v>
      </c>
      <c r="Z197" s="6" t="n">
        <v>0</v>
      </c>
      <c r="AA197" s="6" t="n">
        <v>0</v>
      </c>
      <c r="AB197" s="6" t="n">
        <v>0</v>
      </c>
      <c r="AC197" s="6" t="n">
        <v>0</v>
      </c>
      <c r="AD197" s="6" t="n">
        <v>1</v>
      </c>
      <c r="AE197" s="6" t="n">
        <v>0</v>
      </c>
      <c r="AF197" s="6" t="n">
        <v>0</v>
      </c>
      <c r="AG197" s="6" t="n">
        <v>0</v>
      </c>
      <c r="AH197" s="6" t="n">
        <v>0</v>
      </c>
      <c r="AI197" s="6" t="s">
        <v>84</v>
      </c>
    </row>
    <row r="198" customFormat="false" ht="15" hidden="false" customHeight="false" outlineLevel="0" collapsed="false">
      <c r="A198" s="6" t="n">
        <v>197</v>
      </c>
      <c r="B198" s="6" t="s">
        <v>6984</v>
      </c>
      <c r="C198" s="6" t="n">
        <v>4</v>
      </c>
      <c r="D198" s="6" t="s">
        <v>70</v>
      </c>
      <c r="E198" s="6" t="s">
        <v>74</v>
      </c>
      <c r="F198" s="6" t="n">
        <v>1</v>
      </c>
      <c r="G198" s="6" t="n">
        <v>2</v>
      </c>
      <c r="H198" s="6" t="s">
        <v>2836</v>
      </c>
      <c r="I198" s="22" t="n">
        <v>62000</v>
      </c>
      <c r="J198" s="22" t="n">
        <v>9000</v>
      </c>
      <c r="K198" s="22" t="n">
        <v>5325</v>
      </c>
      <c r="L198" s="22" t="n">
        <v>76325</v>
      </c>
      <c r="M198" s="6" t="s">
        <v>224</v>
      </c>
      <c r="N198" s="6" t="s">
        <v>84</v>
      </c>
      <c r="O198" s="6" t="s">
        <v>866</v>
      </c>
      <c r="P198" s="6" t="s">
        <v>85</v>
      </c>
      <c r="Q198" s="6" t="str">
        <f aca="false">IF(P198="pass","No","Yes")</f>
        <v>Yes</v>
      </c>
      <c r="R198" s="6" t="s">
        <v>86</v>
      </c>
      <c r="S198" s="6" t="s">
        <v>866</v>
      </c>
      <c r="T198" s="6" t="s">
        <v>225</v>
      </c>
      <c r="U198" s="23" t="n">
        <v>1.927</v>
      </c>
      <c r="V198" s="6" t="s">
        <v>6985</v>
      </c>
      <c r="W198" s="6" t="s">
        <v>6986</v>
      </c>
      <c r="X198" s="6" t="s">
        <v>6987</v>
      </c>
      <c r="Y198" s="6" t="s">
        <v>86</v>
      </c>
      <c r="Z198" s="6" t="n">
        <v>1</v>
      </c>
      <c r="AA198" s="6" t="n">
        <v>0</v>
      </c>
      <c r="AB198" s="6" t="n">
        <v>0</v>
      </c>
      <c r="AC198" s="6" t="n">
        <v>0</v>
      </c>
      <c r="AD198" s="6" t="n">
        <v>0</v>
      </c>
      <c r="AE198" s="6" t="n">
        <v>0</v>
      </c>
      <c r="AF198" s="6" t="n">
        <v>0</v>
      </c>
      <c r="AG198" s="6" t="n">
        <v>0</v>
      </c>
      <c r="AH198" s="6" t="n">
        <v>0</v>
      </c>
      <c r="AI198" s="6" t="s">
        <v>58</v>
      </c>
    </row>
    <row r="199" customFormat="false" ht="15" hidden="false" customHeight="false" outlineLevel="0" collapsed="false">
      <c r="A199" s="6" t="n">
        <v>198</v>
      </c>
      <c r="B199" s="6" t="s">
        <v>6988</v>
      </c>
      <c r="C199" s="6" t="n">
        <v>4</v>
      </c>
      <c r="D199" s="6" t="s">
        <v>166</v>
      </c>
      <c r="E199" s="6" t="s">
        <v>74</v>
      </c>
      <c r="F199" s="6" t="n">
        <v>3</v>
      </c>
      <c r="G199" s="6" t="n">
        <v>234</v>
      </c>
      <c r="H199" s="6" t="s">
        <v>6989</v>
      </c>
      <c r="I199" s="22" t="n">
        <v>2367700</v>
      </c>
      <c r="J199" s="22" t="n">
        <v>9000</v>
      </c>
      <c r="K199" s="22" t="n">
        <v>178252.5</v>
      </c>
      <c r="L199" s="22" t="n">
        <v>2554952.5</v>
      </c>
      <c r="M199" s="6" t="s">
        <v>57</v>
      </c>
      <c r="N199" s="6" t="s">
        <v>58</v>
      </c>
      <c r="O199" s="6"/>
      <c r="P199" s="6" t="s">
        <v>59</v>
      </c>
      <c r="Q199" s="6" t="str">
        <f aca="false">IF(P199="pass","No","Yes")</f>
        <v>Yes</v>
      </c>
      <c r="R199" s="6" t="s">
        <v>60</v>
      </c>
      <c r="S199" s="6" t="s">
        <v>915</v>
      </c>
      <c r="T199" s="6" t="s">
        <v>6990</v>
      </c>
      <c r="U199" s="23" t="n">
        <v>2.416</v>
      </c>
      <c r="V199" s="6" t="s">
        <v>6991</v>
      </c>
      <c r="W199" s="6" t="s">
        <v>6992</v>
      </c>
      <c r="X199" s="6" t="s">
        <v>6993</v>
      </c>
      <c r="Y199" s="6" t="s">
        <v>60</v>
      </c>
      <c r="Z199" s="6" t="n">
        <v>0</v>
      </c>
      <c r="AA199" s="6" t="n">
        <v>0</v>
      </c>
      <c r="AB199" s="6" t="n">
        <v>0</v>
      </c>
      <c r="AC199" s="6" t="n">
        <v>0</v>
      </c>
      <c r="AD199" s="6" t="n">
        <v>0</v>
      </c>
      <c r="AE199" s="6" t="n">
        <v>0</v>
      </c>
      <c r="AF199" s="6" t="n">
        <v>0</v>
      </c>
      <c r="AG199" s="6" t="n">
        <v>0</v>
      </c>
      <c r="AH199" s="6" t="n">
        <v>1</v>
      </c>
      <c r="AI199" s="6" t="s">
        <v>84</v>
      </c>
    </row>
    <row r="200" customFormat="false" ht="15" hidden="false" customHeight="false" outlineLevel="0" collapsed="false">
      <c r="A200" s="6" t="n">
        <v>199</v>
      </c>
      <c r="B200" s="6" t="s">
        <v>6994</v>
      </c>
      <c r="C200" s="6" t="n">
        <v>4</v>
      </c>
      <c r="D200" s="6" t="s">
        <v>70</v>
      </c>
      <c r="E200" s="6" t="s">
        <v>74</v>
      </c>
      <c r="F200" s="6" t="n">
        <v>1</v>
      </c>
      <c r="G200" s="6" t="n">
        <v>1</v>
      </c>
      <c r="H200" s="6" t="s">
        <v>4283</v>
      </c>
      <c r="I200" s="22" t="n">
        <v>31000</v>
      </c>
      <c r="J200" s="22" t="n">
        <v>9000</v>
      </c>
      <c r="K200" s="22" t="n">
        <v>3000</v>
      </c>
      <c r="L200" s="22" t="n">
        <v>43000</v>
      </c>
      <c r="M200" s="6" t="s">
        <v>1042</v>
      </c>
      <c r="N200" s="6" t="s">
        <v>58</v>
      </c>
      <c r="O200" s="6"/>
      <c r="P200" s="6" t="s">
        <v>69</v>
      </c>
      <c r="Q200" s="6" t="str">
        <f aca="false">IF(P200="pass","No","Yes")</f>
        <v>No</v>
      </c>
      <c r="R200" s="6" t="s">
        <v>60</v>
      </c>
      <c r="S200" s="6"/>
      <c r="T200" s="6"/>
      <c r="U200" s="23" t="n">
        <v>2.342</v>
      </c>
      <c r="V200" s="6" t="s">
        <v>6995</v>
      </c>
      <c r="W200" s="6" t="s">
        <v>6996</v>
      </c>
      <c r="X200" s="6" t="s">
        <v>6997</v>
      </c>
      <c r="Y200" s="6" t="s">
        <v>60</v>
      </c>
      <c r="Z200" s="6" t="n">
        <v>0</v>
      </c>
      <c r="AA200" s="6" t="n">
        <v>0</v>
      </c>
      <c r="AB200" s="6" t="n">
        <v>0</v>
      </c>
      <c r="AC200" s="6" t="n">
        <v>0</v>
      </c>
      <c r="AD200" s="6" t="n">
        <v>0</v>
      </c>
      <c r="AE200" s="6" t="n">
        <v>0</v>
      </c>
      <c r="AF200" s="6" t="n">
        <v>0</v>
      </c>
      <c r="AG200" s="6" t="n">
        <v>0</v>
      </c>
      <c r="AH200" s="6" t="n">
        <v>0</v>
      </c>
      <c r="AI200" s="6" t="s">
        <v>84</v>
      </c>
    </row>
    <row r="201" customFormat="false" ht="15" hidden="false" customHeight="false" outlineLevel="0" collapsed="false">
      <c r="A201" s="6" t="n">
        <v>200</v>
      </c>
      <c r="B201" s="6" t="s">
        <v>6998</v>
      </c>
      <c r="C201" s="6" t="n">
        <v>4</v>
      </c>
      <c r="D201" s="6" t="s">
        <v>100</v>
      </c>
      <c r="E201" s="6" t="s">
        <v>67</v>
      </c>
      <c r="F201" s="6" t="n">
        <v>1</v>
      </c>
      <c r="G201" s="6" t="n">
        <v>50</v>
      </c>
      <c r="H201" s="6" t="s">
        <v>6999</v>
      </c>
      <c r="I201" s="22" t="n">
        <v>590000</v>
      </c>
      <c r="J201" s="22" t="n">
        <v>4500</v>
      </c>
      <c r="K201" s="22" t="n">
        <v>44587.5</v>
      </c>
      <c r="L201" s="22" t="n">
        <v>639087.5</v>
      </c>
      <c r="M201" s="6" t="s">
        <v>57</v>
      </c>
      <c r="N201" s="6" t="s">
        <v>58</v>
      </c>
      <c r="O201" s="6"/>
      <c r="P201" s="6" t="s">
        <v>69</v>
      </c>
      <c r="Q201" s="6" t="str">
        <f aca="false">IF(P201="pass","No","Yes")</f>
        <v>No</v>
      </c>
      <c r="R201" s="6" t="s">
        <v>60</v>
      </c>
      <c r="S201" s="6"/>
      <c r="T201" s="6"/>
      <c r="U201" s="23" t="n">
        <v>2.251</v>
      </c>
      <c r="V201" s="6" t="s">
        <v>7000</v>
      </c>
      <c r="W201" s="6" t="s">
        <v>7001</v>
      </c>
      <c r="X201" s="6" t="s">
        <v>7002</v>
      </c>
      <c r="Y201" s="6" t="s">
        <v>60</v>
      </c>
      <c r="Z201" s="6" t="n">
        <v>0</v>
      </c>
      <c r="AA201" s="6" t="n">
        <v>0</v>
      </c>
      <c r="AB201" s="6" t="n">
        <v>0</v>
      </c>
      <c r="AC201" s="6" t="n">
        <v>0</v>
      </c>
      <c r="AD201" s="6" t="n">
        <v>0</v>
      </c>
      <c r="AE201" s="6" t="n">
        <v>0</v>
      </c>
      <c r="AF201" s="6" t="n">
        <v>0</v>
      </c>
      <c r="AG201" s="6" t="n">
        <v>0</v>
      </c>
      <c r="AH201" s="6" t="n">
        <v>0</v>
      </c>
      <c r="AI201" s="6" t="s">
        <v>84</v>
      </c>
    </row>
    <row r="202" customFormat="false" ht="15" hidden="false" customHeight="false" outlineLevel="0" collapsed="false">
      <c r="A202" s="6" t="n">
        <v>201</v>
      </c>
      <c r="B202" s="6" t="s">
        <v>7003</v>
      </c>
      <c r="C202" s="6" t="n">
        <v>5</v>
      </c>
      <c r="D202" s="6" t="s">
        <v>127</v>
      </c>
      <c r="E202" s="6" t="s">
        <v>55</v>
      </c>
      <c r="F202" s="6" t="n">
        <v>3</v>
      </c>
      <c r="G202" s="6" t="n">
        <v>172</v>
      </c>
      <c r="H202" s="6" t="s">
        <v>7004</v>
      </c>
      <c r="I202" s="22" t="n">
        <v>1810200</v>
      </c>
      <c r="J202" s="22" t="n">
        <v>6000</v>
      </c>
      <c r="K202" s="22" t="n">
        <v>136215</v>
      </c>
      <c r="L202" s="22" t="n">
        <v>1952415</v>
      </c>
      <c r="M202" s="6" t="s">
        <v>1009</v>
      </c>
      <c r="N202" s="6" t="s">
        <v>58</v>
      </c>
      <c r="O202" s="6"/>
      <c r="P202" s="6" t="s">
        <v>59</v>
      </c>
      <c r="Q202" s="6" t="str">
        <f aca="false">IF(P202="pass","No","Yes")</f>
        <v>Yes</v>
      </c>
      <c r="R202" s="6" t="s">
        <v>60</v>
      </c>
      <c r="S202" s="6" t="s">
        <v>915</v>
      </c>
      <c r="T202" s="6" t="s">
        <v>7005</v>
      </c>
      <c r="U202" s="23" t="n">
        <v>2.42</v>
      </c>
      <c r="V202" s="6" t="s">
        <v>7006</v>
      </c>
      <c r="W202" s="6" t="s">
        <v>7007</v>
      </c>
      <c r="X202" s="6" t="s">
        <v>7008</v>
      </c>
      <c r="Y202" s="6" t="s">
        <v>60</v>
      </c>
      <c r="Z202" s="6" t="n">
        <v>0</v>
      </c>
      <c r="AA202" s="6" t="n">
        <v>0</v>
      </c>
      <c r="AB202" s="6" t="n">
        <v>0</v>
      </c>
      <c r="AC202" s="6" t="n">
        <v>0</v>
      </c>
      <c r="AD202" s="6" t="n">
        <v>0</v>
      </c>
      <c r="AE202" s="6" t="n">
        <v>0</v>
      </c>
      <c r="AF202" s="6" t="n">
        <v>0</v>
      </c>
      <c r="AG202" s="6" t="n">
        <v>0</v>
      </c>
      <c r="AH202" s="6" t="n">
        <v>1</v>
      </c>
      <c r="AI202" s="6" t="s">
        <v>84</v>
      </c>
    </row>
    <row r="203" customFormat="false" ht="15" hidden="false" customHeight="false" outlineLevel="0" collapsed="false">
      <c r="A203" s="6" t="n">
        <v>202</v>
      </c>
      <c r="B203" s="6" t="s">
        <v>7009</v>
      </c>
      <c r="C203" s="6" t="n">
        <v>5</v>
      </c>
      <c r="D203" s="6" t="s">
        <v>105</v>
      </c>
      <c r="E203" s="6" t="s">
        <v>81</v>
      </c>
      <c r="F203" s="6" t="n">
        <v>2</v>
      </c>
      <c r="G203" s="6" t="n">
        <v>45</v>
      </c>
      <c r="H203" s="6" t="s">
        <v>7010</v>
      </c>
      <c r="I203" s="22" t="n">
        <v>633400</v>
      </c>
      <c r="J203" s="22" t="n">
        <v>4000</v>
      </c>
      <c r="K203" s="22" t="n">
        <v>47805</v>
      </c>
      <c r="L203" s="22" t="n">
        <v>685205</v>
      </c>
      <c r="M203" s="6" t="s">
        <v>57</v>
      </c>
      <c r="N203" s="6" t="s">
        <v>58</v>
      </c>
      <c r="O203" s="6"/>
      <c r="P203" s="6" t="s">
        <v>69</v>
      </c>
      <c r="Q203" s="6" t="str">
        <f aca="false">IF(P203="pass","No","Yes")</f>
        <v>No</v>
      </c>
      <c r="R203" s="6" t="s">
        <v>60</v>
      </c>
      <c r="S203" s="6"/>
      <c r="T203" s="6"/>
      <c r="U203" s="23" t="n">
        <v>2.488</v>
      </c>
      <c r="V203" s="6" t="s">
        <v>7011</v>
      </c>
      <c r="W203" s="6" t="s">
        <v>7012</v>
      </c>
      <c r="X203" s="6" t="s">
        <v>7013</v>
      </c>
      <c r="Y203" s="6" t="s">
        <v>60</v>
      </c>
      <c r="Z203" s="6" t="n">
        <v>0</v>
      </c>
      <c r="AA203" s="6" t="n">
        <v>0</v>
      </c>
      <c r="AB203" s="6" t="n">
        <v>0</v>
      </c>
      <c r="AC203" s="6" t="n">
        <v>0</v>
      </c>
      <c r="AD203" s="6" t="n">
        <v>0</v>
      </c>
      <c r="AE203" s="6" t="n">
        <v>0</v>
      </c>
      <c r="AF203" s="6" t="n">
        <v>0</v>
      </c>
      <c r="AG203" s="6" t="n">
        <v>0</v>
      </c>
      <c r="AH203" s="6" t="n">
        <v>0</v>
      </c>
      <c r="AI203" s="6" t="s">
        <v>84</v>
      </c>
    </row>
    <row r="204" customFormat="false" ht="15" hidden="false" customHeight="false" outlineLevel="0" collapsed="false">
      <c r="A204" s="6" t="n">
        <v>203</v>
      </c>
      <c r="B204" s="6" t="s">
        <v>7014</v>
      </c>
      <c r="C204" s="6" t="n">
        <v>5</v>
      </c>
      <c r="D204" s="6" t="s">
        <v>119</v>
      </c>
      <c r="E204" s="6" t="s">
        <v>123</v>
      </c>
      <c r="F204" s="6" t="n">
        <v>2</v>
      </c>
      <c r="G204" s="6" t="n">
        <v>15</v>
      </c>
      <c r="H204" s="6" t="s">
        <v>7015</v>
      </c>
      <c r="I204" s="22" t="n">
        <v>588400</v>
      </c>
      <c r="J204" s="22" t="n">
        <v>5000</v>
      </c>
      <c r="K204" s="22" t="n">
        <v>44505</v>
      </c>
      <c r="L204" s="22" t="n">
        <v>637905</v>
      </c>
      <c r="M204" s="6" t="s">
        <v>1009</v>
      </c>
      <c r="N204" s="6" t="s">
        <v>58</v>
      </c>
      <c r="O204" s="6"/>
      <c r="P204" s="6" t="s">
        <v>69</v>
      </c>
      <c r="Q204" s="6" t="str">
        <f aca="false">IF(P204="pass","No","Yes")</f>
        <v>No</v>
      </c>
      <c r="R204" s="6" t="s">
        <v>60</v>
      </c>
      <c r="S204" s="6"/>
      <c r="T204" s="6"/>
      <c r="U204" s="23" t="n">
        <v>2.501</v>
      </c>
      <c r="V204" s="6" t="s">
        <v>7016</v>
      </c>
      <c r="W204" s="6" t="s">
        <v>7017</v>
      </c>
      <c r="X204" s="6" t="s">
        <v>7018</v>
      </c>
      <c r="Y204" s="6" t="s">
        <v>60</v>
      </c>
      <c r="Z204" s="6" t="n">
        <v>0</v>
      </c>
      <c r="AA204" s="6" t="n">
        <v>0</v>
      </c>
      <c r="AB204" s="6" t="n">
        <v>0</v>
      </c>
      <c r="AC204" s="6" t="n">
        <v>0</v>
      </c>
      <c r="AD204" s="6" t="n">
        <v>0</v>
      </c>
      <c r="AE204" s="6" t="n">
        <v>0</v>
      </c>
      <c r="AF204" s="6" t="n">
        <v>0</v>
      </c>
      <c r="AG204" s="6" t="n">
        <v>0</v>
      </c>
      <c r="AH204" s="6" t="n">
        <v>0</v>
      </c>
      <c r="AI204" s="6" t="s">
        <v>84</v>
      </c>
    </row>
    <row r="205" customFormat="false" ht="15" hidden="false" customHeight="false" outlineLevel="0" collapsed="false">
      <c r="A205" s="6" t="n">
        <v>204</v>
      </c>
      <c r="B205" s="6" t="s">
        <v>7019</v>
      </c>
      <c r="C205" s="6" t="n">
        <v>5</v>
      </c>
      <c r="D205" s="6" t="s">
        <v>105</v>
      </c>
      <c r="E205" s="6" t="s">
        <v>81</v>
      </c>
      <c r="F205" s="6" t="n">
        <v>2</v>
      </c>
      <c r="G205" s="6" t="n">
        <v>45</v>
      </c>
      <c r="H205" s="6" t="s">
        <v>7010</v>
      </c>
      <c r="I205" s="22" t="n">
        <v>633400</v>
      </c>
      <c r="J205" s="22" t="n">
        <v>4000</v>
      </c>
      <c r="K205" s="22" t="n">
        <v>47805</v>
      </c>
      <c r="L205" s="22" t="n">
        <v>685205</v>
      </c>
      <c r="M205" s="6" t="s">
        <v>97</v>
      </c>
      <c r="N205" s="6" t="s">
        <v>84</v>
      </c>
      <c r="O205" s="6" t="s">
        <v>1185</v>
      </c>
      <c r="P205" s="6" t="s">
        <v>59</v>
      </c>
      <c r="Q205" s="6" t="str">
        <f aca="false">IF(P205="pass","No","Yes")</f>
        <v>Yes</v>
      </c>
      <c r="R205" s="6" t="s">
        <v>98</v>
      </c>
      <c r="S205" s="6" t="s">
        <v>1185</v>
      </c>
      <c r="T205" s="6" t="s">
        <v>7020</v>
      </c>
      <c r="U205" s="23" t="n">
        <v>1.423</v>
      </c>
      <c r="V205" s="6" t="s">
        <v>7021</v>
      </c>
      <c r="W205" s="6"/>
      <c r="X205" s="6" t="s">
        <v>7021</v>
      </c>
      <c r="Y205" s="6" t="s">
        <v>98</v>
      </c>
      <c r="Z205" s="6" t="n">
        <v>0</v>
      </c>
      <c r="AA205" s="6" t="n">
        <v>0</v>
      </c>
      <c r="AB205" s="6" t="n">
        <v>0</v>
      </c>
      <c r="AC205" s="6" t="n">
        <v>0</v>
      </c>
      <c r="AD205" s="6" t="n">
        <v>0</v>
      </c>
      <c r="AE205" s="6" t="n">
        <v>0</v>
      </c>
      <c r="AF205" s="6" t="n">
        <v>0</v>
      </c>
      <c r="AG205" s="6" t="n">
        <v>1</v>
      </c>
      <c r="AH205" s="6" t="n">
        <v>0</v>
      </c>
      <c r="AI205" s="6" t="s">
        <v>84</v>
      </c>
    </row>
    <row r="206" customFormat="false" ht="15" hidden="false" customHeight="false" outlineLevel="0" collapsed="false">
      <c r="A206" s="6" t="n">
        <v>205</v>
      </c>
      <c r="B206" s="6" t="s">
        <v>7022</v>
      </c>
      <c r="C206" s="6" t="n">
        <v>5</v>
      </c>
      <c r="D206" s="6" t="s">
        <v>137</v>
      </c>
      <c r="E206" s="6" t="s">
        <v>55</v>
      </c>
      <c r="F206" s="6" t="n">
        <v>3</v>
      </c>
      <c r="G206" s="6" t="n">
        <v>141</v>
      </c>
      <c r="H206" s="6" t="s">
        <v>7023</v>
      </c>
      <c r="I206" s="22" t="n">
        <v>1997400</v>
      </c>
      <c r="J206" s="22" t="n">
        <v>6000</v>
      </c>
      <c r="K206" s="22" t="n">
        <v>150255</v>
      </c>
      <c r="L206" s="22" t="n">
        <v>2153655</v>
      </c>
      <c r="M206" s="6" t="s">
        <v>57</v>
      </c>
      <c r="N206" s="6" t="s">
        <v>58</v>
      </c>
      <c r="O206" s="6"/>
      <c r="P206" s="6" t="s">
        <v>69</v>
      </c>
      <c r="Q206" s="6" t="str">
        <f aca="false">IF(P206="pass","No","Yes")</f>
        <v>No</v>
      </c>
      <c r="R206" s="6" t="s">
        <v>60</v>
      </c>
      <c r="S206" s="6"/>
      <c r="T206" s="6"/>
      <c r="U206" s="23" t="n">
        <v>2.536</v>
      </c>
      <c r="V206" s="6" t="s">
        <v>7024</v>
      </c>
      <c r="W206" s="6" t="s">
        <v>7025</v>
      </c>
      <c r="X206" s="6" t="s">
        <v>7026</v>
      </c>
      <c r="Y206" s="6" t="s">
        <v>60</v>
      </c>
      <c r="Z206" s="6" t="n">
        <v>0</v>
      </c>
      <c r="AA206" s="6" t="n">
        <v>0</v>
      </c>
      <c r="AB206" s="6" t="n">
        <v>0</v>
      </c>
      <c r="AC206" s="6" t="n">
        <v>0</v>
      </c>
      <c r="AD206" s="6" t="n">
        <v>0</v>
      </c>
      <c r="AE206" s="6" t="n">
        <v>0</v>
      </c>
      <c r="AF206" s="6" t="n">
        <v>0</v>
      </c>
      <c r="AG206" s="6" t="n">
        <v>0</v>
      </c>
      <c r="AH206" s="6" t="n">
        <v>0</v>
      </c>
      <c r="AI206" s="6" t="s">
        <v>84</v>
      </c>
    </row>
    <row r="207" customFormat="false" ht="15" hidden="false" customHeight="false" outlineLevel="0" collapsed="false">
      <c r="A207" s="6" t="n">
        <v>206</v>
      </c>
      <c r="B207" s="6" t="s">
        <v>7027</v>
      </c>
      <c r="C207" s="6" t="n">
        <v>5</v>
      </c>
      <c r="D207" s="6" t="s">
        <v>51</v>
      </c>
      <c r="E207" s="6" t="s">
        <v>55</v>
      </c>
      <c r="F207" s="6" t="n">
        <v>3</v>
      </c>
      <c r="G207" s="6" t="n">
        <v>90</v>
      </c>
      <c r="H207" s="6" t="s">
        <v>7028</v>
      </c>
      <c r="I207" s="22" t="n">
        <v>1101900</v>
      </c>
      <c r="J207" s="22" t="n">
        <v>6000</v>
      </c>
      <c r="K207" s="22" t="n">
        <v>83092.5</v>
      </c>
      <c r="L207" s="22" t="n">
        <v>1190992.5</v>
      </c>
      <c r="M207" s="6" t="s">
        <v>94</v>
      </c>
      <c r="N207" s="6" t="s">
        <v>84</v>
      </c>
      <c r="O207" s="6" t="s">
        <v>909</v>
      </c>
      <c r="P207" s="6" t="s">
        <v>85</v>
      </c>
      <c r="Q207" s="6" t="str">
        <f aca="false">IF(P207="pass","No","Yes")</f>
        <v>Yes</v>
      </c>
      <c r="R207" s="6" t="s">
        <v>86</v>
      </c>
      <c r="S207" s="6" t="s">
        <v>909</v>
      </c>
      <c r="T207" s="6" t="s">
        <v>254</v>
      </c>
      <c r="U207" s="23" t="n">
        <v>2.146</v>
      </c>
      <c r="V207" s="6" t="s">
        <v>7029</v>
      </c>
      <c r="W207" s="6" t="s">
        <v>7030</v>
      </c>
      <c r="X207" s="6" t="s">
        <v>7031</v>
      </c>
      <c r="Y207" s="6" t="s">
        <v>86</v>
      </c>
      <c r="Z207" s="6" t="n">
        <v>0</v>
      </c>
      <c r="AA207" s="6" t="n">
        <v>0</v>
      </c>
      <c r="AB207" s="6" t="n">
        <v>0</v>
      </c>
      <c r="AC207" s="6" t="n">
        <v>0</v>
      </c>
      <c r="AD207" s="6" t="n">
        <v>0</v>
      </c>
      <c r="AE207" s="6" t="n">
        <v>0</v>
      </c>
      <c r="AF207" s="6" t="n">
        <v>1</v>
      </c>
      <c r="AG207" s="6" t="n">
        <v>0</v>
      </c>
      <c r="AH207" s="6" t="n">
        <v>0</v>
      </c>
      <c r="AI207" s="6" t="s">
        <v>84</v>
      </c>
    </row>
    <row r="208" customFormat="false" ht="15" hidden="false" customHeight="false" outlineLevel="0" collapsed="false">
      <c r="A208" s="6" t="n">
        <v>207</v>
      </c>
      <c r="B208" s="6" t="s">
        <v>7032</v>
      </c>
      <c r="C208" s="6" t="n">
        <v>5</v>
      </c>
      <c r="D208" s="6" t="s">
        <v>137</v>
      </c>
      <c r="E208" s="6" t="s">
        <v>55</v>
      </c>
      <c r="F208" s="6" t="n">
        <v>3</v>
      </c>
      <c r="G208" s="6" t="n">
        <v>141</v>
      </c>
      <c r="H208" s="6" t="s">
        <v>7023</v>
      </c>
      <c r="I208" s="22" t="n">
        <v>1997400</v>
      </c>
      <c r="J208" s="22" t="n">
        <v>6000</v>
      </c>
      <c r="K208" s="22" t="n">
        <v>150255</v>
      </c>
      <c r="L208" s="22" t="n">
        <v>2153655</v>
      </c>
      <c r="M208" s="6" t="s">
        <v>97</v>
      </c>
      <c r="N208" s="6" t="s">
        <v>84</v>
      </c>
      <c r="O208" s="6" t="s">
        <v>1185</v>
      </c>
      <c r="P208" s="6" t="s">
        <v>59</v>
      </c>
      <c r="Q208" s="6" t="str">
        <f aca="false">IF(P208="pass","No","Yes")</f>
        <v>Yes</v>
      </c>
      <c r="R208" s="6" t="s">
        <v>98</v>
      </c>
      <c r="S208" s="6" t="s">
        <v>1185</v>
      </c>
      <c r="T208" s="6" t="s">
        <v>7033</v>
      </c>
      <c r="U208" s="23" t="n">
        <v>1.432</v>
      </c>
      <c r="V208" s="6" t="s">
        <v>7034</v>
      </c>
      <c r="W208" s="6"/>
      <c r="X208" s="6" t="s">
        <v>7034</v>
      </c>
      <c r="Y208" s="6" t="s">
        <v>98</v>
      </c>
      <c r="Z208" s="6" t="n">
        <v>0</v>
      </c>
      <c r="AA208" s="6" t="n">
        <v>0</v>
      </c>
      <c r="AB208" s="6" t="n">
        <v>0</v>
      </c>
      <c r="AC208" s="6" t="n">
        <v>0</v>
      </c>
      <c r="AD208" s="6" t="n">
        <v>0</v>
      </c>
      <c r="AE208" s="6" t="n">
        <v>0</v>
      </c>
      <c r="AF208" s="6" t="n">
        <v>0</v>
      </c>
      <c r="AG208" s="6" t="n">
        <v>1</v>
      </c>
      <c r="AH208" s="6" t="n">
        <v>0</v>
      </c>
      <c r="AI208" s="6" t="s">
        <v>84</v>
      </c>
    </row>
    <row r="209" customFormat="false" ht="15" hidden="false" customHeight="false" outlineLevel="0" collapsed="false">
      <c r="A209" s="6" t="n">
        <v>208</v>
      </c>
      <c r="B209" s="6" t="s">
        <v>7035</v>
      </c>
      <c r="C209" s="6" t="n">
        <v>5</v>
      </c>
      <c r="D209" s="6" t="s">
        <v>191</v>
      </c>
      <c r="E209" s="6" t="s">
        <v>116</v>
      </c>
      <c r="F209" s="6" t="n">
        <v>3</v>
      </c>
      <c r="G209" s="6" t="n">
        <v>236</v>
      </c>
      <c r="H209" s="6" t="s">
        <v>7036</v>
      </c>
      <c r="I209" s="22" t="n">
        <v>2474700</v>
      </c>
      <c r="J209" s="22" t="n">
        <v>15000</v>
      </c>
      <c r="K209" s="22" t="n">
        <v>186727.5</v>
      </c>
      <c r="L209" s="22" t="n">
        <v>2676427.5</v>
      </c>
      <c r="M209" s="6" t="s">
        <v>57</v>
      </c>
      <c r="N209" s="6" t="s">
        <v>58</v>
      </c>
      <c r="O209" s="6"/>
      <c r="P209" s="6" t="s">
        <v>59</v>
      </c>
      <c r="Q209" s="6" t="str">
        <f aca="false">IF(P209="pass","No","Yes")</f>
        <v>Yes</v>
      </c>
      <c r="R209" s="6" t="s">
        <v>60</v>
      </c>
      <c r="S209" s="6" t="s">
        <v>915</v>
      </c>
      <c r="T209" s="6" t="s">
        <v>7037</v>
      </c>
      <c r="U209" s="23" t="n">
        <v>2.593</v>
      </c>
      <c r="V209" s="6" t="s">
        <v>7038</v>
      </c>
      <c r="W209" s="6" t="s">
        <v>7039</v>
      </c>
      <c r="X209" s="6" t="s">
        <v>7040</v>
      </c>
      <c r="Y209" s="6" t="s">
        <v>60</v>
      </c>
      <c r="Z209" s="6" t="n">
        <v>0</v>
      </c>
      <c r="AA209" s="6" t="n">
        <v>0</v>
      </c>
      <c r="AB209" s="6" t="n">
        <v>0</v>
      </c>
      <c r="AC209" s="6" t="n">
        <v>0</v>
      </c>
      <c r="AD209" s="6" t="n">
        <v>0</v>
      </c>
      <c r="AE209" s="6" t="n">
        <v>0</v>
      </c>
      <c r="AF209" s="6" t="n">
        <v>0</v>
      </c>
      <c r="AG209" s="6" t="n">
        <v>0</v>
      </c>
      <c r="AH209" s="6" t="n">
        <v>1</v>
      </c>
      <c r="AI209" s="6" t="s">
        <v>84</v>
      </c>
    </row>
    <row r="210" customFormat="false" ht="15" hidden="false" customHeight="false" outlineLevel="0" collapsed="false">
      <c r="A210" s="6" t="n">
        <v>209</v>
      </c>
      <c r="B210" s="6" t="s">
        <v>7041</v>
      </c>
      <c r="C210" s="6" t="n">
        <v>5</v>
      </c>
      <c r="D210" s="6" t="s">
        <v>191</v>
      </c>
      <c r="E210" s="6" t="s">
        <v>116</v>
      </c>
      <c r="F210" s="6" t="n">
        <v>1</v>
      </c>
      <c r="G210" s="6" t="n">
        <v>114</v>
      </c>
      <c r="H210" s="6" t="s">
        <v>7042</v>
      </c>
      <c r="I210" s="22" t="n">
        <v>1083000</v>
      </c>
      <c r="J210" s="22" t="n">
        <v>15000</v>
      </c>
      <c r="K210" s="22" t="n">
        <v>82350</v>
      </c>
      <c r="L210" s="22" t="n">
        <v>1180350</v>
      </c>
      <c r="M210" s="6" t="s">
        <v>960</v>
      </c>
      <c r="N210" s="6" t="s">
        <v>84</v>
      </c>
      <c r="O210" s="6" t="s">
        <v>961</v>
      </c>
      <c r="P210" s="6" t="s">
        <v>85</v>
      </c>
      <c r="Q210" s="6" t="str">
        <f aca="false">IF(P210="pass","No","Yes")</f>
        <v>Yes</v>
      </c>
      <c r="R210" s="6" t="s">
        <v>86</v>
      </c>
      <c r="S210" s="6" t="s">
        <v>961</v>
      </c>
      <c r="T210" s="6" t="s">
        <v>962</v>
      </c>
      <c r="U210" s="23" t="n">
        <v>1.975</v>
      </c>
      <c r="V210" s="6" t="s">
        <v>7043</v>
      </c>
      <c r="W210" s="6" t="s">
        <v>7044</v>
      </c>
      <c r="X210" s="6" t="s">
        <v>7045</v>
      </c>
      <c r="Y210" s="6" t="s">
        <v>86</v>
      </c>
      <c r="Z210" s="6" t="n">
        <v>0</v>
      </c>
      <c r="AA210" s="6" t="n">
        <v>0</v>
      </c>
      <c r="AB210" s="6" t="n">
        <v>0</v>
      </c>
      <c r="AC210" s="6" t="n">
        <v>0</v>
      </c>
      <c r="AD210" s="6" t="n">
        <v>1</v>
      </c>
      <c r="AE210" s="6" t="n">
        <v>0</v>
      </c>
      <c r="AF210" s="6" t="n">
        <v>0</v>
      </c>
      <c r="AG210" s="6" t="n">
        <v>0</v>
      </c>
      <c r="AH210" s="6" t="n">
        <v>0</v>
      </c>
      <c r="AI210" s="6" t="s">
        <v>84</v>
      </c>
    </row>
    <row r="211" customFormat="false" ht="15" hidden="false" customHeight="false" outlineLevel="0" collapsed="false">
      <c r="A211" s="6" t="n">
        <v>210</v>
      </c>
      <c r="B211" s="6" t="s">
        <v>7046</v>
      </c>
      <c r="C211" s="6" t="n">
        <v>5</v>
      </c>
      <c r="D211" s="6" t="s">
        <v>105</v>
      </c>
      <c r="E211" s="6" t="s">
        <v>81</v>
      </c>
      <c r="F211" s="6" t="n">
        <v>2</v>
      </c>
      <c r="G211" s="6" t="n">
        <v>25</v>
      </c>
      <c r="H211" s="6" t="s">
        <v>7047</v>
      </c>
      <c r="I211" s="22" t="n">
        <v>279600</v>
      </c>
      <c r="J211" s="22" t="n">
        <v>4000</v>
      </c>
      <c r="K211" s="22" t="n">
        <v>21270</v>
      </c>
      <c r="L211" s="22" t="n">
        <v>304870</v>
      </c>
      <c r="M211" s="6" t="s">
        <v>1009</v>
      </c>
      <c r="N211" s="6" t="s">
        <v>58</v>
      </c>
      <c r="O211" s="6"/>
      <c r="P211" s="6" t="s">
        <v>69</v>
      </c>
      <c r="Q211" s="6" t="str">
        <f aca="false">IF(P211="pass","No","Yes")</f>
        <v>No</v>
      </c>
      <c r="R211" s="6" t="s">
        <v>60</v>
      </c>
      <c r="S211" s="6"/>
      <c r="T211" s="6"/>
      <c r="U211" s="23" t="n">
        <v>2.569</v>
      </c>
      <c r="V211" s="6" t="s">
        <v>7048</v>
      </c>
      <c r="W211" s="6" t="s">
        <v>7049</v>
      </c>
      <c r="X211" s="6" t="s">
        <v>7050</v>
      </c>
      <c r="Y211" s="6" t="s">
        <v>60</v>
      </c>
      <c r="Z211" s="6" t="n">
        <v>0</v>
      </c>
      <c r="AA211" s="6" t="n">
        <v>0</v>
      </c>
      <c r="AB211" s="6" t="n">
        <v>0</v>
      </c>
      <c r="AC211" s="6" t="n">
        <v>0</v>
      </c>
      <c r="AD211" s="6" t="n">
        <v>0</v>
      </c>
      <c r="AE211" s="6" t="n">
        <v>0</v>
      </c>
      <c r="AF211" s="6" t="n">
        <v>0</v>
      </c>
      <c r="AG211" s="6" t="n">
        <v>0</v>
      </c>
      <c r="AH211" s="6" t="n">
        <v>0</v>
      </c>
      <c r="AI211" s="6" t="s">
        <v>84</v>
      </c>
    </row>
    <row r="212" customFormat="false" ht="15" hidden="false" customHeight="false" outlineLevel="0" collapsed="false">
      <c r="A212" s="6" t="n">
        <v>211</v>
      </c>
      <c r="B212" s="6" t="s">
        <v>7051</v>
      </c>
      <c r="C212" s="6" t="n">
        <v>5</v>
      </c>
      <c r="D212" s="6" t="s">
        <v>237</v>
      </c>
      <c r="E212" s="6" t="s">
        <v>116</v>
      </c>
      <c r="F212" s="6" t="n">
        <v>3</v>
      </c>
      <c r="G212" s="6" t="n">
        <v>68</v>
      </c>
      <c r="H212" s="6" t="s">
        <v>7052</v>
      </c>
      <c r="I212" s="22" t="n">
        <v>1597000</v>
      </c>
      <c r="J212" s="22" t="n">
        <v>15000</v>
      </c>
      <c r="K212" s="22" t="n">
        <v>120900</v>
      </c>
      <c r="L212" s="22" t="n">
        <v>1732900</v>
      </c>
      <c r="M212" s="6" t="s">
        <v>57</v>
      </c>
      <c r="N212" s="6" t="s">
        <v>58</v>
      </c>
      <c r="O212" s="6"/>
      <c r="P212" s="6" t="s">
        <v>69</v>
      </c>
      <c r="Q212" s="6" t="str">
        <f aca="false">IF(P212="pass","No","Yes")</f>
        <v>No</v>
      </c>
      <c r="R212" s="6" t="s">
        <v>60</v>
      </c>
      <c r="S212" s="6"/>
      <c r="T212" s="6"/>
      <c r="U212" s="23" t="n">
        <v>2.529</v>
      </c>
      <c r="V212" s="6" t="s">
        <v>7053</v>
      </c>
      <c r="W212" s="6" t="s">
        <v>7054</v>
      </c>
      <c r="X212" s="6" t="s">
        <v>7055</v>
      </c>
      <c r="Y212" s="6" t="s">
        <v>60</v>
      </c>
      <c r="Z212" s="6" t="n">
        <v>0</v>
      </c>
      <c r="AA212" s="6" t="n">
        <v>0</v>
      </c>
      <c r="AB212" s="6" t="n">
        <v>0</v>
      </c>
      <c r="AC212" s="6" t="n">
        <v>0</v>
      </c>
      <c r="AD212" s="6" t="n">
        <v>0</v>
      </c>
      <c r="AE212" s="6" t="n">
        <v>0</v>
      </c>
      <c r="AF212" s="6" t="n">
        <v>0</v>
      </c>
      <c r="AG212" s="6" t="n">
        <v>0</v>
      </c>
      <c r="AH212" s="6" t="n">
        <v>0</v>
      </c>
      <c r="AI212" s="6" t="s">
        <v>84</v>
      </c>
    </row>
    <row r="213" customFormat="false" ht="15" hidden="false" customHeight="false" outlineLevel="0" collapsed="false">
      <c r="A213" s="6" t="n">
        <v>212</v>
      </c>
      <c r="B213" s="6" t="s">
        <v>7056</v>
      </c>
      <c r="C213" s="6" t="n">
        <v>5</v>
      </c>
      <c r="D213" s="6" t="s">
        <v>198</v>
      </c>
      <c r="E213" s="6" t="s">
        <v>81</v>
      </c>
      <c r="F213" s="6" t="n">
        <v>1</v>
      </c>
      <c r="G213" s="6" t="n">
        <v>55</v>
      </c>
      <c r="H213" s="6" t="s">
        <v>7057</v>
      </c>
      <c r="I213" s="22" t="n">
        <v>797500</v>
      </c>
      <c r="J213" s="22" t="n">
        <v>4000</v>
      </c>
      <c r="K213" s="22" t="n">
        <v>60112.5</v>
      </c>
      <c r="L213" s="22" t="n">
        <v>861612.5</v>
      </c>
      <c r="M213" s="6" t="s">
        <v>57</v>
      </c>
      <c r="N213" s="6" t="s">
        <v>58</v>
      </c>
      <c r="O213" s="6"/>
      <c r="P213" s="6" t="s">
        <v>69</v>
      </c>
      <c r="Q213" s="6" t="str">
        <f aca="false">IF(P213="pass","No","Yes")</f>
        <v>No</v>
      </c>
      <c r="R213" s="6" t="s">
        <v>60</v>
      </c>
      <c r="S213" s="6"/>
      <c r="T213" s="6"/>
      <c r="U213" s="23" t="n">
        <v>2.433</v>
      </c>
      <c r="V213" s="6" t="s">
        <v>7058</v>
      </c>
      <c r="W213" s="6" t="s">
        <v>7059</v>
      </c>
      <c r="X213" s="6" t="s">
        <v>7060</v>
      </c>
      <c r="Y213" s="6" t="s">
        <v>60</v>
      </c>
      <c r="Z213" s="6" t="n">
        <v>0</v>
      </c>
      <c r="AA213" s="6" t="n">
        <v>0</v>
      </c>
      <c r="AB213" s="6" t="n">
        <v>0</v>
      </c>
      <c r="AC213" s="6" t="n">
        <v>0</v>
      </c>
      <c r="AD213" s="6" t="n">
        <v>0</v>
      </c>
      <c r="AE213" s="6" t="n">
        <v>0</v>
      </c>
      <c r="AF213" s="6" t="n">
        <v>0</v>
      </c>
      <c r="AG213" s="6" t="n">
        <v>0</v>
      </c>
      <c r="AH213" s="6" t="n">
        <v>0</v>
      </c>
      <c r="AI213" s="6" t="s">
        <v>84</v>
      </c>
    </row>
    <row r="214" customFormat="false" ht="15" hidden="false" customHeight="false" outlineLevel="0" collapsed="false">
      <c r="A214" s="6" t="n">
        <v>213</v>
      </c>
      <c r="B214" s="6" t="s">
        <v>7061</v>
      </c>
      <c r="C214" s="6" t="n">
        <v>5</v>
      </c>
      <c r="D214" s="6" t="s">
        <v>100</v>
      </c>
      <c r="E214" s="6" t="s">
        <v>146</v>
      </c>
      <c r="F214" s="6" t="n">
        <v>1</v>
      </c>
      <c r="G214" s="6" t="n">
        <v>54</v>
      </c>
      <c r="H214" s="6" t="s">
        <v>7062</v>
      </c>
      <c r="I214" s="22" t="n">
        <v>513000</v>
      </c>
      <c r="J214" s="22" t="n">
        <v>0</v>
      </c>
      <c r="K214" s="22" t="n">
        <v>38475</v>
      </c>
      <c r="L214" s="22" t="n">
        <v>551475</v>
      </c>
      <c r="M214" s="6" t="s">
        <v>148</v>
      </c>
      <c r="N214" s="6" t="s">
        <v>84</v>
      </c>
      <c r="O214" s="6" t="s">
        <v>866</v>
      </c>
      <c r="P214" s="6" t="s">
        <v>85</v>
      </c>
      <c r="Q214" s="6" t="str">
        <f aca="false">IF(P214="pass","No","Yes")</f>
        <v>Yes</v>
      </c>
      <c r="R214" s="6" t="s">
        <v>86</v>
      </c>
      <c r="S214" s="6" t="s">
        <v>866</v>
      </c>
      <c r="T214" s="6" t="s">
        <v>150</v>
      </c>
      <c r="U214" s="23" t="n">
        <v>1.856</v>
      </c>
      <c r="V214" s="6" t="s">
        <v>7063</v>
      </c>
      <c r="W214" s="6" t="s">
        <v>7064</v>
      </c>
      <c r="X214" s="6" t="s">
        <v>7065</v>
      </c>
      <c r="Y214" s="6" t="s">
        <v>86</v>
      </c>
      <c r="Z214" s="6" t="n">
        <v>1</v>
      </c>
      <c r="AA214" s="6" t="n">
        <v>0</v>
      </c>
      <c r="AB214" s="6" t="n">
        <v>0</v>
      </c>
      <c r="AC214" s="6" t="n">
        <v>0</v>
      </c>
      <c r="AD214" s="6" t="n">
        <v>0</v>
      </c>
      <c r="AE214" s="6" t="n">
        <v>0</v>
      </c>
      <c r="AF214" s="6" t="n">
        <v>0</v>
      </c>
      <c r="AG214" s="6" t="n">
        <v>0</v>
      </c>
      <c r="AH214" s="6" t="n">
        <v>0</v>
      </c>
      <c r="AI214" s="6" t="s">
        <v>84</v>
      </c>
    </row>
    <row r="215" customFormat="false" ht="15" hidden="false" customHeight="false" outlineLevel="0" collapsed="false">
      <c r="A215" s="6" t="n">
        <v>214</v>
      </c>
      <c r="B215" s="6" t="s">
        <v>7066</v>
      </c>
      <c r="C215" s="6" t="n">
        <v>5</v>
      </c>
      <c r="D215" s="6" t="s">
        <v>51</v>
      </c>
      <c r="E215" s="6" t="s">
        <v>55</v>
      </c>
      <c r="F215" s="6" t="n">
        <v>2</v>
      </c>
      <c r="G215" s="6" t="n">
        <v>51</v>
      </c>
      <c r="H215" s="6" t="s">
        <v>7067</v>
      </c>
      <c r="I215" s="22" t="n">
        <v>428800</v>
      </c>
      <c r="J215" s="22" t="n">
        <v>6000</v>
      </c>
      <c r="K215" s="22" t="n">
        <v>32610</v>
      </c>
      <c r="L215" s="22" t="n">
        <v>467410</v>
      </c>
      <c r="M215" s="6" t="s">
        <v>960</v>
      </c>
      <c r="N215" s="6" t="s">
        <v>84</v>
      </c>
      <c r="O215" s="6" t="s">
        <v>961</v>
      </c>
      <c r="P215" s="6" t="s">
        <v>85</v>
      </c>
      <c r="Q215" s="6" t="str">
        <f aca="false">IF(P215="pass","No","Yes")</f>
        <v>Yes</v>
      </c>
      <c r="R215" s="6" t="s">
        <v>86</v>
      </c>
      <c r="S215" s="6" t="s">
        <v>1306</v>
      </c>
      <c r="T215" s="6" t="s">
        <v>7068</v>
      </c>
      <c r="U215" s="23" t="n">
        <v>2.065</v>
      </c>
      <c r="V215" s="6" t="s">
        <v>7069</v>
      </c>
      <c r="W215" s="6" t="s">
        <v>7070</v>
      </c>
      <c r="X215" s="6" t="s">
        <v>7071</v>
      </c>
      <c r="Y215" s="6" t="s">
        <v>86</v>
      </c>
      <c r="Z215" s="6" t="n">
        <v>0</v>
      </c>
      <c r="AA215" s="6" t="n">
        <v>0</v>
      </c>
      <c r="AB215" s="6" t="n">
        <v>0</v>
      </c>
      <c r="AC215" s="6" t="n">
        <v>0</v>
      </c>
      <c r="AD215" s="6" t="n">
        <v>1</v>
      </c>
      <c r="AE215" s="6" t="n">
        <v>0</v>
      </c>
      <c r="AF215" s="6" t="n">
        <v>0</v>
      </c>
      <c r="AG215" s="6" t="n">
        <v>0</v>
      </c>
      <c r="AH215" s="6" t="n">
        <v>1</v>
      </c>
      <c r="AI215" s="6" t="s">
        <v>84</v>
      </c>
    </row>
    <row r="216" customFormat="false" ht="15" hidden="false" customHeight="false" outlineLevel="0" collapsed="false">
      <c r="A216" s="6" t="n">
        <v>215</v>
      </c>
      <c r="B216" s="6" t="s">
        <v>7072</v>
      </c>
      <c r="C216" s="6" t="n">
        <v>5</v>
      </c>
      <c r="D216" s="6" t="s">
        <v>142</v>
      </c>
      <c r="E216" s="6" t="s">
        <v>74</v>
      </c>
      <c r="F216" s="6" t="n">
        <v>2</v>
      </c>
      <c r="G216" s="6" t="n">
        <v>48</v>
      </c>
      <c r="H216" s="6" t="s">
        <v>7073</v>
      </c>
      <c r="I216" s="22" t="n">
        <v>516000</v>
      </c>
      <c r="J216" s="22" t="n">
        <v>9000</v>
      </c>
      <c r="K216" s="22" t="n">
        <v>39375</v>
      </c>
      <c r="L216" s="22" t="n">
        <v>564375</v>
      </c>
      <c r="M216" s="6" t="s">
        <v>171</v>
      </c>
      <c r="N216" s="6" t="s">
        <v>84</v>
      </c>
      <c r="O216" s="6" t="s">
        <v>892</v>
      </c>
      <c r="P216" s="6" t="s">
        <v>85</v>
      </c>
      <c r="Q216" s="6" t="str">
        <f aca="false">IF(P216="pass","No","Yes")</f>
        <v>Yes</v>
      </c>
      <c r="R216" s="6" t="s">
        <v>86</v>
      </c>
      <c r="S216" s="6" t="s">
        <v>892</v>
      </c>
      <c r="T216" s="6" t="s">
        <v>242</v>
      </c>
      <c r="U216" s="23" t="n">
        <v>2.119</v>
      </c>
      <c r="V216" s="6" t="s">
        <v>7074</v>
      </c>
      <c r="W216" s="6" t="s">
        <v>7075</v>
      </c>
      <c r="X216" s="6" t="s">
        <v>7076</v>
      </c>
      <c r="Y216" s="6" t="s">
        <v>86</v>
      </c>
      <c r="Z216" s="6" t="n">
        <v>0</v>
      </c>
      <c r="AA216" s="6" t="n">
        <v>0</v>
      </c>
      <c r="AB216" s="6" t="n">
        <v>0</v>
      </c>
      <c r="AC216" s="6" t="n">
        <v>1</v>
      </c>
      <c r="AD216" s="6" t="n">
        <v>0</v>
      </c>
      <c r="AE216" s="6" t="n">
        <v>0</v>
      </c>
      <c r="AF216" s="6" t="n">
        <v>0</v>
      </c>
      <c r="AG216" s="6" t="n">
        <v>0</v>
      </c>
      <c r="AH216" s="6" t="n">
        <v>0</v>
      </c>
      <c r="AI216" s="6" t="s">
        <v>84</v>
      </c>
    </row>
    <row r="217" customFormat="false" ht="15" hidden="false" customHeight="false" outlineLevel="0" collapsed="false">
      <c r="A217" s="6" t="n">
        <v>216</v>
      </c>
      <c r="B217" s="6" t="s">
        <v>7077</v>
      </c>
      <c r="C217" s="6" t="n">
        <v>5</v>
      </c>
      <c r="D217" s="6" t="s">
        <v>237</v>
      </c>
      <c r="E217" s="6" t="s">
        <v>116</v>
      </c>
      <c r="F217" s="6" t="n">
        <v>4</v>
      </c>
      <c r="G217" s="6" t="n">
        <v>91</v>
      </c>
      <c r="H217" s="6" t="s">
        <v>7078</v>
      </c>
      <c r="I217" s="22" t="n">
        <v>1756100</v>
      </c>
      <c r="J217" s="22" t="n">
        <v>15000</v>
      </c>
      <c r="K217" s="22" t="n">
        <v>132832.5</v>
      </c>
      <c r="L217" s="22" t="n">
        <v>1903932.5</v>
      </c>
      <c r="M217" s="6" t="s">
        <v>1009</v>
      </c>
      <c r="N217" s="6" t="s">
        <v>58</v>
      </c>
      <c r="O217" s="6"/>
      <c r="P217" s="6" t="s">
        <v>69</v>
      </c>
      <c r="Q217" s="6" t="str">
        <f aca="false">IF(P217="pass","No","Yes")</f>
        <v>No</v>
      </c>
      <c r="R217" s="6" t="s">
        <v>60</v>
      </c>
      <c r="S217" s="6"/>
      <c r="T217" s="6"/>
      <c r="U217" s="23" t="n">
        <v>2.509</v>
      </c>
      <c r="V217" s="6" t="s">
        <v>7079</v>
      </c>
      <c r="W217" s="6" t="s">
        <v>7080</v>
      </c>
      <c r="X217" s="6" t="s">
        <v>7081</v>
      </c>
      <c r="Y217" s="6" t="s">
        <v>60</v>
      </c>
      <c r="Z217" s="6" t="n">
        <v>0</v>
      </c>
      <c r="AA217" s="6" t="n">
        <v>0</v>
      </c>
      <c r="AB217" s="6" t="n">
        <v>0</v>
      </c>
      <c r="AC217" s="6" t="n">
        <v>0</v>
      </c>
      <c r="AD217" s="6" t="n">
        <v>0</v>
      </c>
      <c r="AE217" s="6" t="n">
        <v>0</v>
      </c>
      <c r="AF217" s="6" t="n">
        <v>0</v>
      </c>
      <c r="AG217" s="6" t="n">
        <v>0</v>
      </c>
      <c r="AH217" s="6" t="n">
        <v>0</v>
      </c>
      <c r="AI217" s="6" t="s">
        <v>84</v>
      </c>
    </row>
    <row r="218" customFormat="false" ht="15" hidden="false" customHeight="false" outlineLevel="0" collapsed="false">
      <c r="A218" s="6" t="n">
        <v>217</v>
      </c>
      <c r="B218" s="6" t="s">
        <v>7082</v>
      </c>
      <c r="C218" s="6" t="n">
        <v>5</v>
      </c>
      <c r="D218" s="6" t="s">
        <v>177</v>
      </c>
      <c r="E218" s="6" t="s">
        <v>81</v>
      </c>
      <c r="F218" s="6" t="n">
        <v>3</v>
      </c>
      <c r="G218" s="6" t="n">
        <v>172</v>
      </c>
      <c r="H218" s="6" t="s">
        <v>7083</v>
      </c>
      <c r="I218" s="22" t="n">
        <v>2084400</v>
      </c>
      <c r="J218" s="22" t="n">
        <v>4000</v>
      </c>
      <c r="K218" s="22" t="n">
        <v>156630</v>
      </c>
      <c r="L218" s="22" t="n">
        <v>2245030</v>
      </c>
      <c r="M218" s="6" t="s">
        <v>57</v>
      </c>
      <c r="N218" s="6" t="s">
        <v>58</v>
      </c>
      <c r="O218" s="6"/>
      <c r="P218" s="6" t="s">
        <v>69</v>
      </c>
      <c r="Q218" s="6" t="str">
        <f aca="false">IF(P218="pass","No","Yes")</f>
        <v>No</v>
      </c>
      <c r="R218" s="6" t="s">
        <v>60</v>
      </c>
      <c r="S218" s="6"/>
      <c r="T218" s="6"/>
      <c r="U218" s="23" t="n">
        <v>2.7</v>
      </c>
      <c r="V218" s="6" t="s">
        <v>7084</v>
      </c>
      <c r="W218" s="6" t="s">
        <v>7085</v>
      </c>
      <c r="X218" s="6" t="s">
        <v>7086</v>
      </c>
      <c r="Y218" s="6" t="s">
        <v>60</v>
      </c>
      <c r="Z218" s="6" t="n">
        <v>0</v>
      </c>
      <c r="AA218" s="6" t="n">
        <v>0</v>
      </c>
      <c r="AB218" s="6" t="n">
        <v>0</v>
      </c>
      <c r="AC218" s="6" t="n">
        <v>0</v>
      </c>
      <c r="AD218" s="6" t="n">
        <v>0</v>
      </c>
      <c r="AE218" s="6" t="n">
        <v>0</v>
      </c>
      <c r="AF218" s="6" t="n">
        <v>0</v>
      </c>
      <c r="AG218" s="6" t="n">
        <v>0</v>
      </c>
      <c r="AH218" s="6" t="n">
        <v>0</v>
      </c>
      <c r="AI218" s="6" t="s">
        <v>84</v>
      </c>
    </row>
    <row r="219" customFormat="false" ht="15" hidden="false" customHeight="false" outlineLevel="0" collapsed="false">
      <c r="A219" s="6" t="n">
        <v>218</v>
      </c>
      <c r="B219" s="6" t="s">
        <v>7087</v>
      </c>
      <c r="C219" s="6" t="n">
        <v>5</v>
      </c>
      <c r="D219" s="6" t="s">
        <v>237</v>
      </c>
      <c r="E219" s="6" t="s">
        <v>116</v>
      </c>
      <c r="F219" s="6" t="n">
        <v>1</v>
      </c>
      <c r="G219" s="6" t="n">
        <v>6</v>
      </c>
      <c r="H219" s="6" t="s">
        <v>1783</v>
      </c>
      <c r="I219" s="22" t="n">
        <v>186000</v>
      </c>
      <c r="J219" s="22" t="n">
        <v>15000</v>
      </c>
      <c r="K219" s="22" t="n">
        <v>15075</v>
      </c>
      <c r="L219" s="22" t="n">
        <v>216075</v>
      </c>
      <c r="M219" s="6" t="s">
        <v>57</v>
      </c>
      <c r="N219" s="6" t="s">
        <v>58</v>
      </c>
      <c r="O219" s="6"/>
      <c r="P219" s="6" t="s">
        <v>69</v>
      </c>
      <c r="Q219" s="6" t="str">
        <f aca="false">IF(P219="pass","No","Yes")</f>
        <v>No</v>
      </c>
      <c r="R219" s="6" t="s">
        <v>60</v>
      </c>
      <c r="S219" s="6"/>
      <c r="T219" s="6"/>
      <c r="U219" s="23" t="n">
        <v>2.401</v>
      </c>
      <c r="V219" s="6" t="s">
        <v>7088</v>
      </c>
      <c r="W219" s="6" t="s">
        <v>7089</v>
      </c>
      <c r="X219" s="6" t="s">
        <v>7090</v>
      </c>
      <c r="Y219" s="6" t="s">
        <v>60</v>
      </c>
      <c r="Z219" s="6" t="n">
        <v>0</v>
      </c>
      <c r="AA219" s="6" t="n">
        <v>0</v>
      </c>
      <c r="AB219" s="6" t="n">
        <v>0</v>
      </c>
      <c r="AC219" s="6" t="n">
        <v>0</v>
      </c>
      <c r="AD219" s="6" t="n">
        <v>0</v>
      </c>
      <c r="AE219" s="6" t="n">
        <v>0</v>
      </c>
      <c r="AF219" s="6" t="n">
        <v>0</v>
      </c>
      <c r="AG219" s="6" t="n">
        <v>0</v>
      </c>
      <c r="AH219" s="6" t="n">
        <v>0</v>
      </c>
      <c r="AI219" s="6" t="s">
        <v>84</v>
      </c>
    </row>
    <row r="220" customFormat="false" ht="15" hidden="false" customHeight="false" outlineLevel="0" collapsed="false">
      <c r="A220" s="6" t="n">
        <v>219</v>
      </c>
      <c r="B220" s="6" t="s">
        <v>7091</v>
      </c>
      <c r="C220" s="6" t="n">
        <v>5</v>
      </c>
      <c r="D220" s="6" t="s">
        <v>77</v>
      </c>
      <c r="E220" s="6" t="s">
        <v>81</v>
      </c>
      <c r="F220" s="6" t="n">
        <v>2</v>
      </c>
      <c r="G220" s="6" t="n">
        <v>5</v>
      </c>
      <c r="H220" s="6" t="s">
        <v>7092</v>
      </c>
      <c r="I220" s="22" t="n">
        <v>155000</v>
      </c>
      <c r="J220" s="22" t="n">
        <v>4000</v>
      </c>
      <c r="K220" s="22" t="n">
        <v>11925</v>
      </c>
      <c r="L220" s="22" t="n">
        <v>170925</v>
      </c>
      <c r="M220" s="6" t="s">
        <v>152</v>
      </c>
      <c r="N220" s="6" t="s">
        <v>84</v>
      </c>
      <c r="O220" s="6" t="s">
        <v>886</v>
      </c>
      <c r="P220" s="6" t="s">
        <v>85</v>
      </c>
      <c r="Q220" s="6" t="str">
        <f aca="false">IF(P220="pass","No","Yes")</f>
        <v>Yes</v>
      </c>
      <c r="R220" s="6" t="s">
        <v>86</v>
      </c>
      <c r="S220" s="6" t="s">
        <v>886</v>
      </c>
      <c r="T220" s="6" t="s">
        <v>475</v>
      </c>
      <c r="U220" s="23" t="n">
        <v>1.934</v>
      </c>
      <c r="V220" s="6" t="s">
        <v>7093</v>
      </c>
      <c r="W220" s="6" t="s">
        <v>7094</v>
      </c>
      <c r="X220" s="6" t="s">
        <v>7095</v>
      </c>
      <c r="Y220" s="6" t="s">
        <v>86</v>
      </c>
      <c r="Z220" s="6" t="n">
        <v>0</v>
      </c>
      <c r="AA220" s="6" t="n">
        <v>0</v>
      </c>
      <c r="AB220" s="6" t="n">
        <v>1</v>
      </c>
      <c r="AC220" s="6" t="n">
        <v>0</v>
      </c>
      <c r="AD220" s="6" t="n">
        <v>0</v>
      </c>
      <c r="AE220" s="6" t="n">
        <v>0</v>
      </c>
      <c r="AF220" s="6" t="n">
        <v>0</v>
      </c>
      <c r="AG220" s="6" t="n">
        <v>0</v>
      </c>
      <c r="AH220" s="6" t="n">
        <v>0</v>
      </c>
      <c r="AI220" s="6" t="s">
        <v>84</v>
      </c>
    </row>
    <row r="221" customFormat="false" ht="15" hidden="false" customHeight="false" outlineLevel="0" collapsed="false">
      <c r="A221" s="6" t="n">
        <v>220</v>
      </c>
      <c r="B221" s="6" t="s">
        <v>7096</v>
      </c>
      <c r="C221" s="6" t="n">
        <v>5</v>
      </c>
      <c r="D221" s="6" t="s">
        <v>70</v>
      </c>
      <c r="E221" s="6" t="s">
        <v>74</v>
      </c>
      <c r="F221" s="6" t="n">
        <v>3</v>
      </c>
      <c r="G221" s="6" t="n">
        <v>2051</v>
      </c>
      <c r="H221" s="6" t="s">
        <v>7097</v>
      </c>
      <c r="I221" s="22" t="n">
        <v>19834500</v>
      </c>
      <c r="J221" s="22" t="n">
        <v>9000</v>
      </c>
      <c r="K221" s="22" t="n">
        <v>1488262.5</v>
      </c>
      <c r="L221" s="22" t="n">
        <v>21331762.5</v>
      </c>
      <c r="M221" s="6" t="s">
        <v>159</v>
      </c>
      <c r="N221" s="6" t="s">
        <v>84</v>
      </c>
      <c r="O221" s="6" t="s">
        <v>886</v>
      </c>
      <c r="P221" s="6" t="s">
        <v>85</v>
      </c>
      <c r="Q221" s="6" t="str">
        <f aca="false">IF(P221="pass","No","Yes")</f>
        <v>Yes</v>
      </c>
      <c r="R221" s="6" t="s">
        <v>86</v>
      </c>
      <c r="S221" s="6" t="s">
        <v>992</v>
      </c>
      <c r="T221" s="6" t="s">
        <v>7098</v>
      </c>
      <c r="U221" s="23" t="n">
        <v>2.553</v>
      </c>
      <c r="V221" s="6" t="s">
        <v>7099</v>
      </c>
      <c r="W221" s="6" t="s">
        <v>7100</v>
      </c>
      <c r="X221" s="6" t="s">
        <v>7101</v>
      </c>
      <c r="Y221" s="6" t="s">
        <v>86</v>
      </c>
      <c r="Z221" s="6" t="n">
        <v>0</v>
      </c>
      <c r="AA221" s="6" t="n">
        <v>0</v>
      </c>
      <c r="AB221" s="6" t="n">
        <v>1</v>
      </c>
      <c r="AC221" s="6" t="n">
        <v>1</v>
      </c>
      <c r="AD221" s="6" t="n">
        <v>0</v>
      </c>
      <c r="AE221" s="6" t="n">
        <v>0</v>
      </c>
      <c r="AF221" s="6" t="n">
        <v>0</v>
      </c>
      <c r="AG221" s="6" t="n">
        <v>0</v>
      </c>
      <c r="AH221" s="6" t="n">
        <v>1</v>
      </c>
      <c r="AI221" s="6" t="s">
        <v>84</v>
      </c>
    </row>
    <row r="222" customFormat="false" ht="15" hidden="false" customHeight="false" outlineLevel="0" collapsed="false">
      <c r="A222" s="6" t="n">
        <v>221</v>
      </c>
      <c r="B222" s="6" t="s">
        <v>7102</v>
      </c>
      <c r="C222" s="6" t="n">
        <v>5</v>
      </c>
      <c r="D222" s="6" t="s">
        <v>154</v>
      </c>
      <c r="E222" s="6" t="s">
        <v>123</v>
      </c>
      <c r="F222" s="6" t="n">
        <v>2</v>
      </c>
      <c r="G222" s="6" t="n">
        <v>49</v>
      </c>
      <c r="H222" s="6" t="s">
        <v>7103</v>
      </c>
      <c r="I222" s="22" t="n">
        <v>585500</v>
      </c>
      <c r="J222" s="22" t="n">
        <v>5000</v>
      </c>
      <c r="K222" s="22" t="n">
        <v>44287.5</v>
      </c>
      <c r="L222" s="22" t="n">
        <v>634787.5</v>
      </c>
      <c r="M222" s="6" t="s">
        <v>83</v>
      </c>
      <c r="N222" s="6" t="s">
        <v>84</v>
      </c>
      <c r="O222" s="6" t="s">
        <v>886</v>
      </c>
      <c r="P222" s="6" t="s">
        <v>85</v>
      </c>
      <c r="Q222" s="6" t="str">
        <f aca="false">IF(P222="pass","No","Yes")</f>
        <v>Yes</v>
      </c>
      <c r="R222" s="6" t="s">
        <v>86</v>
      </c>
      <c r="S222" s="6" t="s">
        <v>886</v>
      </c>
      <c r="T222" s="6" t="s">
        <v>88</v>
      </c>
      <c r="U222" s="23" t="n">
        <v>2.08</v>
      </c>
      <c r="V222" s="6" t="s">
        <v>7104</v>
      </c>
      <c r="W222" s="6" t="s">
        <v>7105</v>
      </c>
      <c r="X222" s="6" t="s">
        <v>7106</v>
      </c>
      <c r="Y222" s="6" t="s">
        <v>86</v>
      </c>
      <c r="Z222" s="6" t="n">
        <v>0</v>
      </c>
      <c r="AA222" s="6" t="n">
        <v>0</v>
      </c>
      <c r="AB222" s="6" t="n">
        <v>1</v>
      </c>
      <c r="AC222" s="6" t="n">
        <v>0</v>
      </c>
      <c r="AD222" s="6" t="n">
        <v>0</v>
      </c>
      <c r="AE222" s="6" t="n">
        <v>0</v>
      </c>
      <c r="AF222" s="6" t="n">
        <v>0</v>
      </c>
      <c r="AG222" s="6" t="n">
        <v>0</v>
      </c>
      <c r="AH222" s="6" t="n">
        <v>0</v>
      </c>
      <c r="AI222" s="6" t="s">
        <v>84</v>
      </c>
    </row>
    <row r="223" customFormat="false" ht="15" hidden="false" customHeight="false" outlineLevel="0" collapsed="false">
      <c r="A223" s="6" t="n">
        <v>222</v>
      </c>
      <c r="B223" s="6" t="s">
        <v>7107</v>
      </c>
      <c r="C223" s="6" t="n">
        <v>5</v>
      </c>
      <c r="D223" s="6" t="s">
        <v>237</v>
      </c>
      <c r="E223" s="6" t="s">
        <v>116</v>
      </c>
      <c r="F223" s="6" t="n">
        <v>1</v>
      </c>
      <c r="G223" s="6" t="n">
        <v>6</v>
      </c>
      <c r="H223" s="6" t="s">
        <v>1783</v>
      </c>
      <c r="I223" s="22" t="n">
        <v>186000</v>
      </c>
      <c r="J223" s="22" t="n">
        <v>15000</v>
      </c>
      <c r="K223" s="22" t="n">
        <v>15075</v>
      </c>
      <c r="L223" s="22" t="n">
        <v>216075</v>
      </c>
      <c r="M223" s="6" t="s">
        <v>97</v>
      </c>
      <c r="N223" s="6" t="s">
        <v>84</v>
      </c>
      <c r="O223" s="6" t="s">
        <v>1185</v>
      </c>
      <c r="P223" s="6" t="s">
        <v>59</v>
      </c>
      <c r="Q223" s="6" t="str">
        <f aca="false">IF(P223="pass","No","Yes")</f>
        <v>Yes</v>
      </c>
      <c r="R223" s="6" t="s">
        <v>98</v>
      </c>
      <c r="S223" s="6" t="s">
        <v>1185</v>
      </c>
      <c r="T223" s="6" t="s">
        <v>7108</v>
      </c>
      <c r="U223" s="23" t="n">
        <v>1.207</v>
      </c>
      <c r="V223" s="6" t="s">
        <v>7109</v>
      </c>
      <c r="W223" s="6"/>
      <c r="X223" s="6" t="s">
        <v>7109</v>
      </c>
      <c r="Y223" s="6" t="s">
        <v>98</v>
      </c>
      <c r="Z223" s="6" t="n">
        <v>0</v>
      </c>
      <c r="AA223" s="6" t="n">
        <v>0</v>
      </c>
      <c r="AB223" s="6" t="n">
        <v>0</v>
      </c>
      <c r="AC223" s="6" t="n">
        <v>0</v>
      </c>
      <c r="AD223" s="6" t="n">
        <v>0</v>
      </c>
      <c r="AE223" s="6" t="n">
        <v>0</v>
      </c>
      <c r="AF223" s="6" t="n">
        <v>0</v>
      </c>
      <c r="AG223" s="6" t="n">
        <v>1</v>
      </c>
      <c r="AH223" s="6" t="n">
        <v>0</v>
      </c>
      <c r="AI223" s="6" t="s">
        <v>84</v>
      </c>
    </row>
    <row r="224" customFormat="false" ht="15" hidden="false" customHeight="false" outlineLevel="0" collapsed="false">
      <c r="A224" s="6" t="n">
        <v>223</v>
      </c>
      <c r="B224" s="6" t="s">
        <v>7110</v>
      </c>
      <c r="C224" s="6" t="n">
        <v>5</v>
      </c>
      <c r="D224" s="6" t="s">
        <v>100</v>
      </c>
      <c r="E224" s="6" t="s">
        <v>67</v>
      </c>
      <c r="F224" s="6" t="n">
        <v>2</v>
      </c>
      <c r="G224" s="6" t="n">
        <v>4</v>
      </c>
      <c r="H224" s="6" t="s">
        <v>7111</v>
      </c>
      <c r="I224" s="22" t="n">
        <v>152000</v>
      </c>
      <c r="J224" s="22" t="n">
        <v>4500</v>
      </c>
      <c r="K224" s="22" t="n">
        <v>11737.5</v>
      </c>
      <c r="L224" s="22" t="n">
        <v>168237.5</v>
      </c>
      <c r="M224" s="6" t="s">
        <v>152</v>
      </c>
      <c r="N224" s="6" t="s">
        <v>84</v>
      </c>
      <c r="O224" s="6" t="s">
        <v>886</v>
      </c>
      <c r="P224" s="6" t="s">
        <v>85</v>
      </c>
      <c r="Q224" s="6" t="str">
        <f aca="false">IF(P224="pass","No","Yes")</f>
        <v>Yes</v>
      </c>
      <c r="R224" s="6" t="s">
        <v>86</v>
      </c>
      <c r="S224" s="6" t="s">
        <v>886</v>
      </c>
      <c r="T224" s="6" t="s">
        <v>322</v>
      </c>
      <c r="U224" s="23" t="n">
        <v>2.017</v>
      </c>
      <c r="V224" s="6" t="s">
        <v>7112</v>
      </c>
      <c r="W224" s="6" t="s">
        <v>7113</v>
      </c>
      <c r="X224" s="6" t="s">
        <v>7114</v>
      </c>
      <c r="Y224" s="6" t="s">
        <v>86</v>
      </c>
      <c r="Z224" s="6" t="n">
        <v>0</v>
      </c>
      <c r="AA224" s="6" t="n">
        <v>0</v>
      </c>
      <c r="AB224" s="6" t="n">
        <v>1</v>
      </c>
      <c r="AC224" s="6" t="n">
        <v>0</v>
      </c>
      <c r="AD224" s="6" t="n">
        <v>0</v>
      </c>
      <c r="AE224" s="6" t="n">
        <v>0</v>
      </c>
      <c r="AF224" s="6" t="n">
        <v>0</v>
      </c>
      <c r="AG224" s="6" t="n">
        <v>0</v>
      </c>
      <c r="AH224" s="6" t="n">
        <v>0</v>
      </c>
      <c r="AI224" s="6" t="s">
        <v>84</v>
      </c>
    </row>
    <row r="225" customFormat="false" ht="15" hidden="false" customHeight="false" outlineLevel="0" collapsed="false">
      <c r="A225" s="6" t="n">
        <v>224</v>
      </c>
      <c r="B225" s="6" t="s">
        <v>7115</v>
      </c>
      <c r="C225" s="6" t="n">
        <v>5</v>
      </c>
      <c r="D225" s="6" t="s">
        <v>51</v>
      </c>
      <c r="E225" s="6" t="s">
        <v>55</v>
      </c>
      <c r="F225" s="6" t="n">
        <v>2</v>
      </c>
      <c r="G225" s="6" t="n">
        <v>154</v>
      </c>
      <c r="H225" s="6" t="s">
        <v>7116</v>
      </c>
      <c r="I225" s="22" t="n">
        <v>1279000</v>
      </c>
      <c r="J225" s="22" t="n">
        <v>6000</v>
      </c>
      <c r="K225" s="22" t="n">
        <v>96375</v>
      </c>
      <c r="L225" s="22" t="n">
        <v>1381375</v>
      </c>
      <c r="M225" s="6" t="s">
        <v>927</v>
      </c>
      <c r="N225" s="6" t="s">
        <v>58</v>
      </c>
      <c r="O225" s="6"/>
      <c r="P225" s="6" t="s">
        <v>59</v>
      </c>
      <c r="Q225" s="6" t="str">
        <f aca="false">IF(P225="pass","No","Yes")</f>
        <v>Yes</v>
      </c>
      <c r="R225" s="6" t="s">
        <v>60</v>
      </c>
      <c r="S225" s="6" t="s">
        <v>915</v>
      </c>
      <c r="T225" s="6" t="s">
        <v>7117</v>
      </c>
      <c r="U225" s="23" t="n">
        <v>2.802</v>
      </c>
      <c r="V225" s="6" t="s">
        <v>7118</v>
      </c>
      <c r="W225" s="6" t="s">
        <v>7119</v>
      </c>
      <c r="X225" s="6" t="s">
        <v>7120</v>
      </c>
      <c r="Y225" s="6" t="s">
        <v>60</v>
      </c>
      <c r="Z225" s="6" t="n">
        <v>0</v>
      </c>
      <c r="AA225" s="6" t="n">
        <v>0</v>
      </c>
      <c r="AB225" s="6" t="n">
        <v>0</v>
      </c>
      <c r="AC225" s="6" t="n">
        <v>0</v>
      </c>
      <c r="AD225" s="6" t="n">
        <v>0</v>
      </c>
      <c r="AE225" s="6" t="n">
        <v>0</v>
      </c>
      <c r="AF225" s="6" t="n">
        <v>0</v>
      </c>
      <c r="AG225" s="6" t="n">
        <v>0</v>
      </c>
      <c r="AH225" s="6" t="n">
        <v>1</v>
      </c>
      <c r="AI225" s="6" t="s">
        <v>84</v>
      </c>
    </row>
    <row r="226" customFormat="false" ht="15" hidden="false" customHeight="false" outlineLevel="0" collapsed="false">
      <c r="A226" s="6" t="n">
        <v>225</v>
      </c>
      <c r="B226" s="6" t="s">
        <v>7121</v>
      </c>
      <c r="C226" s="6" t="n">
        <v>5</v>
      </c>
      <c r="D226" s="6" t="s">
        <v>77</v>
      </c>
      <c r="E226" s="6" t="s">
        <v>81</v>
      </c>
      <c r="F226" s="6" t="n">
        <v>2</v>
      </c>
      <c r="G226" s="6" t="n">
        <v>50</v>
      </c>
      <c r="H226" s="6" t="s">
        <v>7122</v>
      </c>
      <c r="I226" s="22" t="n">
        <v>544800</v>
      </c>
      <c r="J226" s="22" t="n">
        <v>4000</v>
      </c>
      <c r="K226" s="22" t="n">
        <v>41160</v>
      </c>
      <c r="L226" s="22" t="n">
        <v>589960</v>
      </c>
      <c r="M226" s="6" t="s">
        <v>57</v>
      </c>
      <c r="N226" s="6" t="s">
        <v>58</v>
      </c>
      <c r="O226" s="6"/>
      <c r="P226" s="6" t="s">
        <v>69</v>
      </c>
      <c r="Q226" s="6" t="str">
        <f aca="false">IF(P226="pass","No","Yes")</f>
        <v>No</v>
      </c>
      <c r="R226" s="6" t="s">
        <v>60</v>
      </c>
      <c r="S226" s="6"/>
      <c r="T226" s="6"/>
      <c r="U226" s="23" t="n">
        <v>2.545</v>
      </c>
      <c r="V226" s="6" t="s">
        <v>7123</v>
      </c>
      <c r="W226" s="6" t="s">
        <v>7124</v>
      </c>
      <c r="X226" s="6" t="s">
        <v>7125</v>
      </c>
      <c r="Y226" s="6" t="s">
        <v>60</v>
      </c>
      <c r="Z226" s="6" t="n">
        <v>0</v>
      </c>
      <c r="AA226" s="6" t="n">
        <v>0</v>
      </c>
      <c r="AB226" s="6" t="n">
        <v>0</v>
      </c>
      <c r="AC226" s="6" t="n">
        <v>0</v>
      </c>
      <c r="AD226" s="6" t="n">
        <v>0</v>
      </c>
      <c r="AE226" s="6" t="n">
        <v>0</v>
      </c>
      <c r="AF226" s="6" t="n">
        <v>0</v>
      </c>
      <c r="AG226" s="6" t="n">
        <v>0</v>
      </c>
      <c r="AH226" s="6" t="n">
        <v>0</v>
      </c>
      <c r="AI226" s="6" t="s">
        <v>84</v>
      </c>
    </row>
    <row r="227" customFormat="false" ht="15" hidden="false" customHeight="false" outlineLevel="0" collapsed="false">
      <c r="A227" s="6" t="n">
        <v>226</v>
      </c>
      <c r="B227" s="6" t="s">
        <v>7126</v>
      </c>
      <c r="C227" s="6" t="n">
        <v>5</v>
      </c>
      <c r="D227" s="6" t="s">
        <v>198</v>
      </c>
      <c r="E227" s="6" t="s">
        <v>81</v>
      </c>
      <c r="F227" s="6" t="n">
        <v>1</v>
      </c>
      <c r="G227" s="6" t="n">
        <v>97</v>
      </c>
      <c r="H227" s="6" t="s">
        <v>3725</v>
      </c>
      <c r="I227" s="22" t="n">
        <v>698400</v>
      </c>
      <c r="J227" s="22" t="n">
        <v>4000</v>
      </c>
      <c r="K227" s="22" t="n">
        <v>52680</v>
      </c>
      <c r="L227" s="22" t="n">
        <v>755080</v>
      </c>
      <c r="M227" s="6" t="s">
        <v>57</v>
      </c>
      <c r="N227" s="6" t="s">
        <v>58</v>
      </c>
      <c r="O227" s="6"/>
      <c r="P227" s="6" t="s">
        <v>69</v>
      </c>
      <c r="Q227" s="6" t="str">
        <f aca="false">IF(P227="pass","No","Yes")</f>
        <v>No</v>
      </c>
      <c r="R227" s="6" t="s">
        <v>60</v>
      </c>
      <c r="S227" s="6"/>
      <c r="T227" s="6"/>
      <c r="U227" s="23" t="n">
        <v>2.451</v>
      </c>
      <c r="V227" s="6" t="s">
        <v>7127</v>
      </c>
      <c r="W227" s="6" t="s">
        <v>7128</v>
      </c>
      <c r="X227" s="6" t="s">
        <v>7129</v>
      </c>
      <c r="Y227" s="6" t="s">
        <v>60</v>
      </c>
      <c r="Z227" s="6" t="n">
        <v>0</v>
      </c>
      <c r="AA227" s="6" t="n">
        <v>0</v>
      </c>
      <c r="AB227" s="6" t="n">
        <v>0</v>
      </c>
      <c r="AC227" s="6" t="n">
        <v>0</v>
      </c>
      <c r="AD227" s="6" t="n">
        <v>0</v>
      </c>
      <c r="AE227" s="6" t="n">
        <v>0</v>
      </c>
      <c r="AF227" s="6" t="n">
        <v>0</v>
      </c>
      <c r="AG227" s="6" t="n">
        <v>0</v>
      </c>
      <c r="AH227" s="6" t="n">
        <v>0</v>
      </c>
      <c r="AI227" s="6" t="s">
        <v>84</v>
      </c>
    </row>
    <row r="228" customFormat="false" ht="15" hidden="false" customHeight="false" outlineLevel="0" collapsed="false">
      <c r="A228" s="6" t="n">
        <v>227</v>
      </c>
      <c r="B228" s="6" t="s">
        <v>7130</v>
      </c>
      <c r="C228" s="6" t="n">
        <v>5</v>
      </c>
      <c r="D228" s="6" t="s">
        <v>198</v>
      </c>
      <c r="E228" s="6" t="s">
        <v>81</v>
      </c>
      <c r="F228" s="6" t="n">
        <v>2</v>
      </c>
      <c r="G228" s="6" t="n">
        <v>531</v>
      </c>
      <c r="H228" s="6" t="s">
        <v>7131</v>
      </c>
      <c r="I228" s="22" t="n">
        <v>2448300</v>
      </c>
      <c r="J228" s="22" t="n">
        <v>4000</v>
      </c>
      <c r="K228" s="22" t="n">
        <v>183922.5</v>
      </c>
      <c r="L228" s="22" t="n">
        <v>2636222.5</v>
      </c>
      <c r="M228" s="6" t="s">
        <v>159</v>
      </c>
      <c r="N228" s="6" t="s">
        <v>84</v>
      </c>
      <c r="O228" s="6" t="s">
        <v>886</v>
      </c>
      <c r="P228" s="6" t="s">
        <v>85</v>
      </c>
      <c r="Q228" s="6" t="str">
        <f aca="false">IF(P228="pass","No","Yes")</f>
        <v>Yes</v>
      </c>
      <c r="R228" s="6" t="s">
        <v>86</v>
      </c>
      <c r="S228" s="6" t="s">
        <v>934</v>
      </c>
      <c r="T228" s="6" t="s">
        <v>302</v>
      </c>
      <c r="U228" s="23" t="n">
        <v>2.268</v>
      </c>
      <c r="V228" s="6" t="s">
        <v>7132</v>
      </c>
      <c r="W228" s="6" t="s">
        <v>7133</v>
      </c>
      <c r="X228" s="6" t="s">
        <v>7134</v>
      </c>
      <c r="Y228" s="6" t="s">
        <v>86</v>
      </c>
      <c r="Z228" s="6" t="n">
        <v>0</v>
      </c>
      <c r="AA228" s="6" t="n">
        <v>0</v>
      </c>
      <c r="AB228" s="6" t="n">
        <v>1</v>
      </c>
      <c r="AC228" s="6" t="n">
        <v>1</v>
      </c>
      <c r="AD228" s="6" t="n">
        <v>0</v>
      </c>
      <c r="AE228" s="6" t="n">
        <v>0</v>
      </c>
      <c r="AF228" s="6" t="n">
        <v>0</v>
      </c>
      <c r="AG228" s="6" t="n">
        <v>0</v>
      </c>
      <c r="AH228" s="6" t="n">
        <v>0</v>
      </c>
      <c r="AI228" s="6" t="s">
        <v>84</v>
      </c>
    </row>
    <row r="229" customFormat="false" ht="15" hidden="false" customHeight="false" outlineLevel="0" collapsed="false">
      <c r="A229" s="6" t="n">
        <v>228</v>
      </c>
      <c r="B229" s="6" t="s">
        <v>7135</v>
      </c>
      <c r="C229" s="6" t="n">
        <v>5</v>
      </c>
      <c r="D229" s="6" t="s">
        <v>127</v>
      </c>
      <c r="E229" s="6" t="s">
        <v>55</v>
      </c>
      <c r="F229" s="6" t="n">
        <v>1</v>
      </c>
      <c r="G229" s="6" t="n">
        <v>6</v>
      </c>
      <c r="H229" s="6" t="s">
        <v>7136</v>
      </c>
      <c r="I229" s="22" t="n">
        <v>43200</v>
      </c>
      <c r="J229" s="22" t="n">
        <v>6000</v>
      </c>
      <c r="K229" s="22" t="n">
        <v>3690</v>
      </c>
      <c r="L229" s="22" t="n">
        <v>52890</v>
      </c>
      <c r="M229" s="6" t="s">
        <v>57</v>
      </c>
      <c r="N229" s="6" t="s">
        <v>58</v>
      </c>
      <c r="O229" s="6"/>
      <c r="P229" s="6" t="s">
        <v>69</v>
      </c>
      <c r="Q229" s="6" t="str">
        <f aca="false">IF(P229="pass","No","Yes")</f>
        <v>No</v>
      </c>
      <c r="R229" s="6" t="s">
        <v>60</v>
      </c>
      <c r="S229" s="6"/>
      <c r="T229" s="6"/>
      <c r="U229" s="23" t="n">
        <v>2.479</v>
      </c>
      <c r="V229" s="6" t="s">
        <v>7137</v>
      </c>
      <c r="W229" s="6" t="s">
        <v>7138</v>
      </c>
      <c r="X229" s="6" t="s">
        <v>7139</v>
      </c>
      <c r="Y229" s="6" t="s">
        <v>60</v>
      </c>
      <c r="Z229" s="6" t="n">
        <v>0</v>
      </c>
      <c r="AA229" s="6" t="n">
        <v>0</v>
      </c>
      <c r="AB229" s="6" t="n">
        <v>0</v>
      </c>
      <c r="AC229" s="6" t="n">
        <v>0</v>
      </c>
      <c r="AD229" s="6" t="n">
        <v>0</v>
      </c>
      <c r="AE229" s="6" t="n">
        <v>0</v>
      </c>
      <c r="AF229" s="6" t="n">
        <v>0</v>
      </c>
      <c r="AG229" s="6" t="n">
        <v>0</v>
      </c>
      <c r="AH229" s="6" t="n">
        <v>0</v>
      </c>
      <c r="AI229" s="6" t="s">
        <v>84</v>
      </c>
    </row>
    <row r="230" customFormat="false" ht="15" hidden="false" customHeight="false" outlineLevel="0" collapsed="false">
      <c r="A230" s="6" t="n">
        <v>229</v>
      </c>
      <c r="B230" s="6" t="s">
        <v>7140</v>
      </c>
      <c r="C230" s="6" t="n">
        <v>5</v>
      </c>
      <c r="D230" s="6" t="s">
        <v>191</v>
      </c>
      <c r="E230" s="6" t="s">
        <v>116</v>
      </c>
      <c r="F230" s="6" t="n">
        <v>3</v>
      </c>
      <c r="G230" s="6" t="n">
        <v>18</v>
      </c>
      <c r="H230" s="6" t="s">
        <v>7141</v>
      </c>
      <c r="I230" s="22" t="n">
        <v>999000</v>
      </c>
      <c r="J230" s="22" t="n">
        <v>15000</v>
      </c>
      <c r="K230" s="22" t="n">
        <v>76050</v>
      </c>
      <c r="L230" s="22" t="n">
        <v>1090050</v>
      </c>
      <c r="M230" s="6" t="s">
        <v>132</v>
      </c>
      <c r="N230" s="6" t="s">
        <v>84</v>
      </c>
      <c r="O230" s="6" t="s">
        <v>879</v>
      </c>
      <c r="P230" s="6" t="s">
        <v>85</v>
      </c>
      <c r="Q230" s="6" t="str">
        <f aca="false">IF(P230="pass","No","Yes")</f>
        <v>Yes</v>
      </c>
      <c r="R230" s="6" t="s">
        <v>86</v>
      </c>
      <c r="S230" s="6" t="s">
        <v>880</v>
      </c>
      <c r="T230" s="6" t="s">
        <v>134</v>
      </c>
      <c r="U230" s="23" t="n">
        <v>2.283</v>
      </c>
      <c r="V230" s="6" t="s">
        <v>7142</v>
      </c>
      <c r="W230" s="6" t="s">
        <v>7143</v>
      </c>
      <c r="X230" s="6" t="s">
        <v>7144</v>
      </c>
      <c r="Y230" s="6" t="s">
        <v>86</v>
      </c>
      <c r="Z230" s="6" t="n">
        <v>0</v>
      </c>
      <c r="AA230" s="6" t="n">
        <v>1</v>
      </c>
      <c r="AB230" s="6" t="n">
        <v>0</v>
      </c>
      <c r="AC230" s="6" t="n">
        <v>1</v>
      </c>
      <c r="AD230" s="6" t="n">
        <v>0</v>
      </c>
      <c r="AE230" s="6" t="n">
        <v>0</v>
      </c>
      <c r="AF230" s="6" t="n">
        <v>0</v>
      </c>
      <c r="AG230" s="6" t="n">
        <v>0</v>
      </c>
      <c r="AH230" s="6" t="n">
        <v>0</v>
      </c>
      <c r="AI230" s="6" t="s">
        <v>84</v>
      </c>
    </row>
    <row r="231" customFormat="false" ht="15" hidden="false" customHeight="false" outlineLevel="0" collapsed="false">
      <c r="A231" s="6" t="n">
        <v>230</v>
      </c>
      <c r="B231" s="6" t="s">
        <v>7145</v>
      </c>
      <c r="C231" s="6" t="n">
        <v>5</v>
      </c>
      <c r="D231" s="6" t="s">
        <v>213</v>
      </c>
      <c r="E231" s="6" t="s">
        <v>67</v>
      </c>
      <c r="F231" s="6" t="n">
        <v>3</v>
      </c>
      <c r="G231" s="6" t="n">
        <v>230</v>
      </c>
      <c r="H231" s="6" t="s">
        <v>7146</v>
      </c>
      <c r="I231" s="22" t="n">
        <v>2146300</v>
      </c>
      <c r="J231" s="22" t="n">
        <v>4500</v>
      </c>
      <c r="K231" s="22" t="n">
        <v>161310</v>
      </c>
      <c r="L231" s="22" t="n">
        <v>2312110</v>
      </c>
      <c r="M231" s="6" t="s">
        <v>57</v>
      </c>
      <c r="N231" s="6" t="s">
        <v>58</v>
      </c>
      <c r="O231" s="6"/>
      <c r="P231" s="6" t="s">
        <v>59</v>
      </c>
      <c r="Q231" s="6" t="str">
        <f aca="false">IF(P231="pass","No","Yes")</f>
        <v>Yes</v>
      </c>
      <c r="R231" s="6" t="s">
        <v>60</v>
      </c>
      <c r="S231" s="6" t="s">
        <v>915</v>
      </c>
      <c r="T231" s="6" t="s">
        <v>7147</v>
      </c>
      <c r="U231" s="23" t="n">
        <v>2.566</v>
      </c>
      <c r="V231" s="6" t="s">
        <v>7148</v>
      </c>
      <c r="W231" s="6" t="s">
        <v>7149</v>
      </c>
      <c r="X231" s="6" t="s">
        <v>7150</v>
      </c>
      <c r="Y231" s="6" t="s">
        <v>60</v>
      </c>
      <c r="Z231" s="6" t="n">
        <v>0</v>
      </c>
      <c r="AA231" s="6" t="n">
        <v>0</v>
      </c>
      <c r="AB231" s="6" t="n">
        <v>0</v>
      </c>
      <c r="AC231" s="6" t="n">
        <v>0</v>
      </c>
      <c r="AD231" s="6" t="n">
        <v>0</v>
      </c>
      <c r="AE231" s="6" t="n">
        <v>0</v>
      </c>
      <c r="AF231" s="6" t="n">
        <v>0</v>
      </c>
      <c r="AG231" s="6" t="n">
        <v>0</v>
      </c>
      <c r="AH231" s="6" t="n">
        <v>1</v>
      </c>
      <c r="AI231" s="6" t="s">
        <v>84</v>
      </c>
    </row>
    <row r="232" customFormat="false" ht="15" hidden="false" customHeight="false" outlineLevel="0" collapsed="false">
      <c r="A232" s="6" t="n">
        <v>231</v>
      </c>
      <c r="B232" s="6" t="s">
        <v>7151</v>
      </c>
      <c r="C232" s="6" t="n">
        <v>5</v>
      </c>
      <c r="D232" s="6" t="s">
        <v>105</v>
      </c>
      <c r="E232" s="6" t="s">
        <v>81</v>
      </c>
      <c r="F232" s="6" t="n">
        <v>4</v>
      </c>
      <c r="G232" s="6" t="n">
        <v>220</v>
      </c>
      <c r="H232" s="6" t="s">
        <v>7152</v>
      </c>
      <c r="I232" s="22" t="n">
        <v>2977200</v>
      </c>
      <c r="J232" s="22" t="n">
        <v>4000</v>
      </c>
      <c r="K232" s="22" t="n">
        <v>223590</v>
      </c>
      <c r="L232" s="22" t="n">
        <v>3204790</v>
      </c>
      <c r="M232" s="6" t="s">
        <v>132</v>
      </c>
      <c r="N232" s="6" t="s">
        <v>84</v>
      </c>
      <c r="O232" s="6" t="s">
        <v>879</v>
      </c>
      <c r="P232" s="6" t="s">
        <v>85</v>
      </c>
      <c r="Q232" s="6" t="str">
        <f aca="false">IF(P232="pass","No","Yes")</f>
        <v>Yes</v>
      </c>
      <c r="R232" s="6" t="s">
        <v>86</v>
      </c>
      <c r="S232" s="6" t="s">
        <v>3637</v>
      </c>
      <c r="T232" s="6" t="s">
        <v>7153</v>
      </c>
      <c r="U232" s="23" t="n">
        <v>2.385</v>
      </c>
      <c r="V232" s="6" t="s">
        <v>7154</v>
      </c>
      <c r="W232" s="6" t="s">
        <v>7155</v>
      </c>
      <c r="X232" s="6" t="s">
        <v>7156</v>
      </c>
      <c r="Y232" s="6" t="s">
        <v>86</v>
      </c>
      <c r="Z232" s="6" t="n">
        <v>0</v>
      </c>
      <c r="AA232" s="6" t="n">
        <v>1</v>
      </c>
      <c r="AB232" s="6" t="n">
        <v>0</v>
      </c>
      <c r="AC232" s="6" t="n">
        <v>1</v>
      </c>
      <c r="AD232" s="6" t="n">
        <v>0</v>
      </c>
      <c r="AE232" s="6" t="n">
        <v>0</v>
      </c>
      <c r="AF232" s="6" t="n">
        <v>0</v>
      </c>
      <c r="AG232" s="6" t="n">
        <v>0</v>
      </c>
      <c r="AH232" s="6" t="n">
        <v>1</v>
      </c>
      <c r="AI232" s="6" t="s">
        <v>84</v>
      </c>
    </row>
    <row r="233" customFormat="false" ht="15" hidden="false" customHeight="false" outlineLevel="0" collapsed="false">
      <c r="A233" s="6" t="n">
        <v>232</v>
      </c>
      <c r="B233" s="6" t="s">
        <v>7157</v>
      </c>
      <c r="C233" s="6" t="n">
        <v>5</v>
      </c>
      <c r="D233" s="6" t="s">
        <v>198</v>
      </c>
      <c r="E233" s="6" t="s">
        <v>81</v>
      </c>
      <c r="F233" s="6" t="n">
        <v>1</v>
      </c>
      <c r="G233" s="6" t="n">
        <v>10</v>
      </c>
      <c r="H233" s="6" t="s">
        <v>1036</v>
      </c>
      <c r="I233" s="22" t="n">
        <v>310000</v>
      </c>
      <c r="J233" s="22" t="n">
        <v>4000</v>
      </c>
      <c r="K233" s="22" t="n">
        <v>23550</v>
      </c>
      <c r="L233" s="22" t="n">
        <v>337550</v>
      </c>
      <c r="M233" s="6" t="s">
        <v>57</v>
      </c>
      <c r="N233" s="6" t="s">
        <v>58</v>
      </c>
      <c r="O233" s="6"/>
      <c r="P233" s="6" t="s">
        <v>69</v>
      </c>
      <c r="Q233" s="6" t="str">
        <f aca="false">IF(P233="pass","No","Yes")</f>
        <v>No</v>
      </c>
      <c r="R233" s="6" t="s">
        <v>60</v>
      </c>
      <c r="S233" s="6"/>
      <c r="T233" s="6"/>
      <c r="U233" s="23" t="n">
        <v>2.476</v>
      </c>
      <c r="V233" s="6" t="s">
        <v>7158</v>
      </c>
      <c r="W233" s="6" t="s">
        <v>7159</v>
      </c>
      <c r="X233" s="6" t="s">
        <v>7160</v>
      </c>
      <c r="Y233" s="6" t="s">
        <v>60</v>
      </c>
      <c r="Z233" s="6" t="n">
        <v>0</v>
      </c>
      <c r="AA233" s="6" t="n">
        <v>0</v>
      </c>
      <c r="AB233" s="6" t="n">
        <v>0</v>
      </c>
      <c r="AC233" s="6" t="n">
        <v>0</v>
      </c>
      <c r="AD233" s="6" t="n">
        <v>0</v>
      </c>
      <c r="AE233" s="6" t="n">
        <v>0</v>
      </c>
      <c r="AF233" s="6" t="n">
        <v>0</v>
      </c>
      <c r="AG233" s="6" t="n">
        <v>0</v>
      </c>
      <c r="AH233" s="6" t="n">
        <v>0</v>
      </c>
      <c r="AI233" s="6" t="s">
        <v>84</v>
      </c>
    </row>
    <row r="234" customFormat="false" ht="15" hidden="false" customHeight="false" outlineLevel="0" collapsed="false">
      <c r="A234" s="6" t="n">
        <v>233</v>
      </c>
      <c r="B234" s="6" t="s">
        <v>7161</v>
      </c>
      <c r="C234" s="6" t="n">
        <v>5</v>
      </c>
      <c r="D234" s="6" t="s">
        <v>112</v>
      </c>
      <c r="E234" s="6" t="s">
        <v>116</v>
      </c>
      <c r="F234" s="6" t="n">
        <v>1</v>
      </c>
      <c r="G234" s="6" t="n">
        <v>14</v>
      </c>
      <c r="H234" s="6" t="s">
        <v>3583</v>
      </c>
      <c r="I234" s="22" t="n">
        <v>532000</v>
      </c>
      <c r="J234" s="22" t="n">
        <v>15000</v>
      </c>
      <c r="K234" s="22" t="n">
        <v>41025</v>
      </c>
      <c r="L234" s="22" t="n">
        <v>588025</v>
      </c>
      <c r="M234" s="6" t="s">
        <v>224</v>
      </c>
      <c r="N234" s="6" t="s">
        <v>84</v>
      </c>
      <c r="O234" s="6" t="s">
        <v>866</v>
      </c>
      <c r="P234" s="6" t="s">
        <v>85</v>
      </c>
      <c r="Q234" s="6" t="str">
        <f aca="false">IF(P234="pass","No","Yes")</f>
        <v>Yes</v>
      </c>
      <c r="R234" s="6" t="s">
        <v>86</v>
      </c>
      <c r="S234" s="6" t="s">
        <v>866</v>
      </c>
      <c r="T234" s="6" t="s">
        <v>225</v>
      </c>
      <c r="U234" s="23" t="n">
        <v>2.158</v>
      </c>
      <c r="V234" s="6" t="s">
        <v>7162</v>
      </c>
      <c r="W234" s="6" t="s">
        <v>7163</v>
      </c>
      <c r="X234" s="6" t="s">
        <v>7164</v>
      </c>
      <c r="Y234" s="6" t="s">
        <v>86</v>
      </c>
      <c r="Z234" s="6" t="n">
        <v>1</v>
      </c>
      <c r="AA234" s="6" t="n">
        <v>0</v>
      </c>
      <c r="AB234" s="6" t="n">
        <v>0</v>
      </c>
      <c r="AC234" s="6" t="n">
        <v>0</v>
      </c>
      <c r="AD234" s="6" t="n">
        <v>0</v>
      </c>
      <c r="AE234" s="6" t="n">
        <v>0</v>
      </c>
      <c r="AF234" s="6" t="n">
        <v>0</v>
      </c>
      <c r="AG234" s="6" t="n">
        <v>0</v>
      </c>
      <c r="AH234" s="6" t="n">
        <v>0</v>
      </c>
      <c r="AI234" s="6" t="s">
        <v>58</v>
      </c>
    </row>
    <row r="235" customFormat="false" ht="15" hidden="false" customHeight="false" outlineLevel="0" collapsed="false">
      <c r="A235" s="6" t="n">
        <v>234</v>
      </c>
      <c r="B235" s="6" t="s">
        <v>7165</v>
      </c>
      <c r="C235" s="6" t="n">
        <v>5</v>
      </c>
      <c r="D235" s="6" t="s">
        <v>51</v>
      </c>
      <c r="E235" s="6" t="s">
        <v>55</v>
      </c>
      <c r="F235" s="6" t="n">
        <v>3</v>
      </c>
      <c r="G235" s="6" t="n">
        <v>46</v>
      </c>
      <c r="H235" s="6" t="s">
        <v>7166</v>
      </c>
      <c r="I235" s="22" t="n">
        <v>795500</v>
      </c>
      <c r="J235" s="22" t="n">
        <v>6000</v>
      </c>
      <c r="K235" s="22" t="n">
        <v>60112.5</v>
      </c>
      <c r="L235" s="22" t="n">
        <v>861612.5</v>
      </c>
      <c r="M235" s="6" t="s">
        <v>1009</v>
      </c>
      <c r="N235" s="6" t="s">
        <v>58</v>
      </c>
      <c r="O235" s="6"/>
      <c r="P235" s="6" t="s">
        <v>69</v>
      </c>
      <c r="Q235" s="6" t="str">
        <f aca="false">IF(P235="pass","No","Yes")</f>
        <v>No</v>
      </c>
      <c r="R235" s="6" t="s">
        <v>60</v>
      </c>
      <c r="S235" s="6"/>
      <c r="T235" s="6"/>
      <c r="U235" s="23" t="n">
        <v>2.595</v>
      </c>
      <c r="V235" s="6" t="s">
        <v>7167</v>
      </c>
      <c r="W235" s="6" t="s">
        <v>7168</v>
      </c>
      <c r="X235" s="6" t="s">
        <v>7169</v>
      </c>
      <c r="Y235" s="6" t="s">
        <v>60</v>
      </c>
      <c r="Z235" s="6" t="n">
        <v>0</v>
      </c>
      <c r="AA235" s="6" t="n">
        <v>0</v>
      </c>
      <c r="AB235" s="6" t="n">
        <v>0</v>
      </c>
      <c r="AC235" s="6" t="n">
        <v>0</v>
      </c>
      <c r="AD235" s="6" t="n">
        <v>0</v>
      </c>
      <c r="AE235" s="6" t="n">
        <v>0</v>
      </c>
      <c r="AF235" s="6" t="n">
        <v>0</v>
      </c>
      <c r="AG235" s="6" t="n">
        <v>0</v>
      </c>
      <c r="AH235" s="6" t="n">
        <v>0</v>
      </c>
      <c r="AI235" s="6" t="s">
        <v>84</v>
      </c>
    </row>
    <row r="236" customFormat="false" ht="15" hidden="false" customHeight="false" outlineLevel="0" collapsed="false">
      <c r="A236" s="6" t="n">
        <v>235</v>
      </c>
      <c r="B236" s="6" t="s">
        <v>7170</v>
      </c>
      <c r="C236" s="6" t="n">
        <v>5</v>
      </c>
      <c r="D236" s="6" t="s">
        <v>89</v>
      </c>
      <c r="E236" s="6" t="s">
        <v>146</v>
      </c>
      <c r="F236" s="6" t="n">
        <v>1</v>
      </c>
      <c r="G236" s="6" t="n">
        <v>73</v>
      </c>
      <c r="H236" s="6" t="s">
        <v>7171</v>
      </c>
      <c r="I236" s="22" t="n">
        <v>1058500</v>
      </c>
      <c r="J236" s="22" t="n">
        <v>0</v>
      </c>
      <c r="K236" s="22" t="n">
        <v>79387.5</v>
      </c>
      <c r="L236" s="22" t="n">
        <v>1137887.5</v>
      </c>
      <c r="M236" s="6" t="s">
        <v>148</v>
      </c>
      <c r="N236" s="6" t="s">
        <v>84</v>
      </c>
      <c r="O236" s="6" t="s">
        <v>866</v>
      </c>
      <c r="P236" s="6" t="s">
        <v>85</v>
      </c>
      <c r="Q236" s="6" t="str">
        <f aca="false">IF(P236="pass","No","Yes")</f>
        <v>Yes</v>
      </c>
      <c r="R236" s="6" t="s">
        <v>86</v>
      </c>
      <c r="S236" s="6" t="s">
        <v>866</v>
      </c>
      <c r="T236" s="6" t="s">
        <v>150</v>
      </c>
      <c r="U236" s="23" t="n">
        <v>2.035</v>
      </c>
      <c r="V236" s="6" t="s">
        <v>7172</v>
      </c>
      <c r="W236" s="6" t="s">
        <v>7173</v>
      </c>
      <c r="X236" s="6" t="s">
        <v>7174</v>
      </c>
      <c r="Y236" s="6" t="s">
        <v>86</v>
      </c>
      <c r="Z236" s="6" t="n">
        <v>1</v>
      </c>
      <c r="AA236" s="6" t="n">
        <v>0</v>
      </c>
      <c r="AB236" s="6" t="n">
        <v>0</v>
      </c>
      <c r="AC236" s="6" t="n">
        <v>0</v>
      </c>
      <c r="AD236" s="6" t="n">
        <v>0</v>
      </c>
      <c r="AE236" s="6" t="n">
        <v>0</v>
      </c>
      <c r="AF236" s="6" t="n">
        <v>0</v>
      </c>
      <c r="AG236" s="6" t="n">
        <v>0</v>
      </c>
      <c r="AH236" s="6" t="n">
        <v>0</v>
      </c>
      <c r="AI236" s="6" t="s">
        <v>84</v>
      </c>
    </row>
    <row r="237" customFormat="false" ht="15" hidden="false" customHeight="false" outlineLevel="0" collapsed="false">
      <c r="A237" s="6" t="n">
        <v>236</v>
      </c>
      <c r="B237" s="6" t="s">
        <v>7175</v>
      </c>
      <c r="C237" s="6" t="n">
        <v>5</v>
      </c>
      <c r="D237" s="6" t="s">
        <v>198</v>
      </c>
      <c r="E237" s="6" t="s">
        <v>81</v>
      </c>
      <c r="F237" s="6" t="n">
        <v>1</v>
      </c>
      <c r="G237" s="6" t="n">
        <v>10</v>
      </c>
      <c r="H237" s="6" t="s">
        <v>1036</v>
      </c>
      <c r="I237" s="22" t="n">
        <v>310000</v>
      </c>
      <c r="J237" s="22" t="n">
        <v>4000</v>
      </c>
      <c r="K237" s="22" t="n">
        <v>23550</v>
      </c>
      <c r="L237" s="22" t="n">
        <v>337550</v>
      </c>
      <c r="M237" s="6" t="s">
        <v>97</v>
      </c>
      <c r="N237" s="6" t="s">
        <v>84</v>
      </c>
      <c r="O237" s="6" t="s">
        <v>1185</v>
      </c>
      <c r="P237" s="6" t="s">
        <v>59</v>
      </c>
      <c r="Q237" s="6" t="str">
        <f aca="false">IF(P237="pass","No","Yes")</f>
        <v>Yes</v>
      </c>
      <c r="R237" s="6" t="s">
        <v>98</v>
      </c>
      <c r="S237" s="6" t="s">
        <v>1185</v>
      </c>
      <c r="T237" s="6" t="s">
        <v>7176</v>
      </c>
      <c r="U237" s="23" t="n">
        <v>1.441</v>
      </c>
      <c r="V237" s="6" t="s">
        <v>7177</v>
      </c>
      <c r="W237" s="6"/>
      <c r="X237" s="6" t="s">
        <v>7177</v>
      </c>
      <c r="Y237" s="6" t="s">
        <v>98</v>
      </c>
      <c r="Z237" s="6" t="n">
        <v>0</v>
      </c>
      <c r="AA237" s="6" t="n">
        <v>0</v>
      </c>
      <c r="AB237" s="6" t="n">
        <v>0</v>
      </c>
      <c r="AC237" s="6" t="n">
        <v>0</v>
      </c>
      <c r="AD237" s="6" t="n">
        <v>0</v>
      </c>
      <c r="AE237" s="6" t="n">
        <v>0</v>
      </c>
      <c r="AF237" s="6" t="n">
        <v>0</v>
      </c>
      <c r="AG237" s="6" t="n">
        <v>1</v>
      </c>
      <c r="AH237" s="6" t="n">
        <v>0</v>
      </c>
      <c r="AI237" s="6" t="s">
        <v>84</v>
      </c>
    </row>
    <row r="238" customFormat="false" ht="15" hidden="false" customHeight="false" outlineLevel="0" collapsed="false">
      <c r="A238" s="6" t="n">
        <v>237</v>
      </c>
      <c r="B238" s="6" t="s">
        <v>7178</v>
      </c>
      <c r="C238" s="6" t="n">
        <v>5</v>
      </c>
      <c r="D238" s="6" t="s">
        <v>89</v>
      </c>
      <c r="E238" s="6" t="s">
        <v>67</v>
      </c>
      <c r="F238" s="6" t="n">
        <v>3</v>
      </c>
      <c r="G238" s="6" t="n">
        <v>67</v>
      </c>
      <c r="H238" s="6" t="s">
        <v>7179</v>
      </c>
      <c r="I238" s="22" t="n">
        <v>1027500</v>
      </c>
      <c r="J238" s="22" t="n">
        <v>4500</v>
      </c>
      <c r="K238" s="22" t="n">
        <v>77400</v>
      </c>
      <c r="L238" s="22" t="n">
        <v>1109400</v>
      </c>
      <c r="M238" s="6" t="s">
        <v>57</v>
      </c>
      <c r="N238" s="6" t="s">
        <v>58</v>
      </c>
      <c r="O238" s="6"/>
      <c r="P238" s="6" t="s">
        <v>69</v>
      </c>
      <c r="Q238" s="6" t="str">
        <f aca="false">IF(P238="pass","No","Yes")</f>
        <v>No</v>
      </c>
      <c r="R238" s="6" t="s">
        <v>60</v>
      </c>
      <c r="S238" s="6"/>
      <c r="T238" s="6"/>
      <c r="U238" s="23" t="n">
        <v>2.501</v>
      </c>
      <c r="V238" s="6" t="s">
        <v>7180</v>
      </c>
      <c r="W238" s="6" t="s">
        <v>7181</v>
      </c>
      <c r="X238" s="6" t="s">
        <v>7182</v>
      </c>
      <c r="Y238" s="6" t="s">
        <v>60</v>
      </c>
      <c r="Z238" s="6" t="n">
        <v>0</v>
      </c>
      <c r="AA238" s="6" t="n">
        <v>0</v>
      </c>
      <c r="AB238" s="6" t="n">
        <v>0</v>
      </c>
      <c r="AC238" s="6" t="n">
        <v>0</v>
      </c>
      <c r="AD238" s="6" t="n">
        <v>0</v>
      </c>
      <c r="AE238" s="6" t="n">
        <v>0</v>
      </c>
      <c r="AF238" s="6" t="n">
        <v>0</v>
      </c>
      <c r="AG238" s="6" t="n">
        <v>0</v>
      </c>
      <c r="AH238" s="6" t="n">
        <v>0</v>
      </c>
      <c r="AI238" s="6" t="s">
        <v>84</v>
      </c>
    </row>
    <row r="239" customFormat="false" ht="15" hidden="false" customHeight="false" outlineLevel="0" collapsed="false">
      <c r="A239" s="6" t="n">
        <v>238</v>
      </c>
      <c r="B239" s="6" t="s">
        <v>7183</v>
      </c>
      <c r="C239" s="6" t="n">
        <v>5</v>
      </c>
      <c r="D239" s="6" t="s">
        <v>127</v>
      </c>
      <c r="E239" s="6" t="s">
        <v>55</v>
      </c>
      <c r="F239" s="6" t="n">
        <v>1</v>
      </c>
      <c r="G239" s="6" t="n">
        <v>46</v>
      </c>
      <c r="H239" s="6" t="s">
        <v>7184</v>
      </c>
      <c r="I239" s="22" t="n">
        <v>667000</v>
      </c>
      <c r="J239" s="22" t="n">
        <v>6000</v>
      </c>
      <c r="K239" s="22" t="n">
        <v>50475</v>
      </c>
      <c r="L239" s="22" t="n">
        <v>723475</v>
      </c>
      <c r="M239" s="6" t="s">
        <v>57</v>
      </c>
      <c r="N239" s="6" t="s">
        <v>58</v>
      </c>
      <c r="O239" s="6"/>
      <c r="P239" s="6" t="s">
        <v>69</v>
      </c>
      <c r="Q239" s="6" t="str">
        <f aca="false">IF(P239="pass","No","Yes")</f>
        <v>No</v>
      </c>
      <c r="R239" s="6" t="s">
        <v>60</v>
      </c>
      <c r="S239" s="6"/>
      <c r="T239" s="6"/>
      <c r="U239" s="23" t="n">
        <v>2.619</v>
      </c>
      <c r="V239" s="6" t="s">
        <v>7185</v>
      </c>
      <c r="W239" s="6" t="s">
        <v>7186</v>
      </c>
      <c r="X239" s="6" t="s">
        <v>7187</v>
      </c>
      <c r="Y239" s="6" t="s">
        <v>60</v>
      </c>
      <c r="Z239" s="6" t="n">
        <v>0</v>
      </c>
      <c r="AA239" s="6" t="n">
        <v>0</v>
      </c>
      <c r="AB239" s="6" t="n">
        <v>0</v>
      </c>
      <c r="AC239" s="6" t="n">
        <v>0</v>
      </c>
      <c r="AD239" s="6" t="n">
        <v>0</v>
      </c>
      <c r="AE239" s="6" t="n">
        <v>0</v>
      </c>
      <c r="AF239" s="6" t="n">
        <v>0</v>
      </c>
      <c r="AG239" s="6" t="n">
        <v>0</v>
      </c>
      <c r="AH239" s="6" t="n">
        <v>0</v>
      </c>
      <c r="AI239" s="6" t="s">
        <v>84</v>
      </c>
    </row>
    <row r="240" customFormat="false" ht="15" hidden="false" customHeight="false" outlineLevel="0" collapsed="false">
      <c r="A240" s="6" t="n">
        <v>239</v>
      </c>
      <c r="B240" s="6" t="s">
        <v>7188</v>
      </c>
      <c r="C240" s="6" t="n">
        <v>5</v>
      </c>
      <c r="D240" s="6" t="s">
        <v>186</v>
      </c>
      <c r="E240" s="6" t="s">
        <v>123</v>
      </c>
      <c r="F240" s="6" t="n">
        <v>2</v>
      </c>
      <c r="G240" s="6" t="n">
        <v>119</v>
      </c>
      <c r="H240" s="6" t="s">
        <v>7189</v>
      </c>
      <c r="I240" s="22" t="n">
        <v>1257400</v>
      </c>
      <c r="J240" s="22" t="n">
        <v>5000</v>
      </c>
      <c r="K240" s="22" t="n">
        <v>94680</v>
      </c>
      <c r="L240" s="22" t="n">
        <v>1357080</v>
      </c>
      <c r="M240" s="6" t="s">
        <v>57</v>
      </c>
      <c r="N240" s="6" t="s">
        <v>58</v>
      </c>
      <c r="O240" s="6"/>
      <c r="P240" s="6" t="s">
        <v>69</v>
      </c>
      <c r="Q240" s="6" t="str">
        <f aca="false">IF(P240="pass","No","Yes")</f>
        <v>No</v>
      </c>
      <c r="R240" s="6" t="s">
        <v>60</v>
      </c>
      <c r="S240" s="6"/>
      <c r="T240" s="6"/>
      <c r="U240" s="23" t="n">
        <v>2.493</v>
      </c>
      <c r="V240" s="6" t="s">
        <v>7190</v>
      </c>
      <c r="W240" s="6" t="s">
        <v>7191</v>
      </c>
      <c r="X240" s="6" t="s">
        <v>7192</v>
      </c>
      <c r="Y240" s="6" t="s">
        <v>60</v>
      </c>
      <c r="Z240" s="6" t="n">
        <v>0</v>
      </c>
      <c r="AA240" s="6" t="n">
        <v>0</v>
      </c>
      <c r="AB240" s="6" t="n">
        <v>0</v>
      </c>
      <c r="AC240" s="6" t="n">
        <v>0</v>
      </c>
      <c r="AD240" s="6" t="n">
        <v>0</v>
      </c>
      <c r="AE240" s="6" t="n">
        <v>0</v>
      </c>
      <c r="AF240" s="6" t="n">
        <v>0</v>
      </c>
      <c r="AG240" s="6" t="n">
        <v>0</v>
      </c>
      <c r="AH240" s="6" t="n">
        <v>0</v>
      </c>
      <c r="AI240" s="6" t="s">
        <v>84</v>
      </c>
    </row>
    <row r="241" customFormat="false" ht="15" hidden="false" customHeight="false" outlineLevel="0" collapsed="false">
      <c r="A241" s="6" t="n">
        <v>240</v>
      </c>
      <c r="B241" s="6" t="s">
        <v>7193</v>
      </c>
      <c r="C241" s="6" t="n">
        <v>5</v>
      </c>
      <c r="D241" s="6" t="s">
        <v>100</v>
      </c>
      <c r="E241" s="6" t="s">
        <v>67</v>
      </c>
      <c r="F241" s="6" t="n">
        <v>1</v>
      </c>
      <c r="G241" s="6" t="n">
        <v>114</v>
      </c>
      <c r="H241" s="6" t="s">
        <v>5405</v>
      </c>
      <c r="I241" s="22" t="n">
        <v>820800</v>
      </c>
      <c r="J241" s="22" t="n">
        <v>4500</v>
      </c>
      <c r="K241" s="22" t="n">
        <v>61897.5</v>
      </c>
      <c r="L241" s="22" t="n">
        <v>887197.5</v>
      </c>
      <c r="M241" s="6" t="s">
        <v>224</v>
      </c>
      <c r="N241" s="6" t="s">
        <v>84</v>
      </c>
      <c r="O241" s="6" t="s">
        <v>866</v>
      </c>
      <c r="P241" s="6" t="s">
        <v>85</v>
      </c>
      <c r="Q241" s="6" t="str">
        <f aca="false">IF(P241="pass","No","Yes")</f>
        <v>Yes</v>
      </c>
      <c r="R241" s="6" t="s">
        <v>86</v>
      </c>
      <c r="S241" s="6" t="s">
        <v>872</v>
      </c>
      <c r="T241" s="6" t="s">
        <v>7194</v>
      </c>
      <c r="U241" s="23" t="n">
        <v>2.084</v>
      </c>
      <c r="V241" s="6" t="s">
        <v>7195</v>
      </c>
      <c r="W241" s="6" t="s">
        <v>7196</v>
      </c>
      <c r="X241" s="6" t="s">
        <v>7197</v>
      </c>
      <c r="Y241" s="6" t="s">
        <v>86</v>
      </c>
      <c r="Z241" s="6" t="n">
        <v>1</v>
      </c>
      <c r="AA241" s="6" t="n">
        <v>0</v>
      </c>
      <c r="AB241" s="6" t="n">
        <v>0</v>
      </c>
      <c r="AC241" s="6" t="n">
        <v>0</v>
      </c>
      <c r="AD241" s="6" t="n">
        <v>0</v>
      </c>
      <c r="AE241" s="6" t="n">
        <v>0</v>
      </c>
      <c r="AF241" s="6" t="n">
        <v>0</v>
      </c>
      <c r="AG241" s="6" t="n">
        <v>0</v>
      </c>
      <c r="AH241" s="6" t="n">
        <v>1</v>
      </c>
      <c r="AI241" s="6" t="s">
        <v>58</v>
      </c>
    </row>
    <row r="242" customFormat="false" ht="15" hidden="false" customHeight="false" outlineLevel="0" collapsed="false">
      <c r="A242" s="6" t="n">
        <v>241</v>
      </c>
      <c r="B242" s="6" t="s">
        <v>7198</v>
      </c>
      <c r="C242" s="6" t="n">
        <v>5</v>
      </c>
      <c r="D242" s="6" t="s">
        <v>142</v>
      </c>
      <c r="E242" s="6" t="s">
        <v>74</v>
      </c>
      <c r="F242" s="6" t="n">
        <v>3</v>
      </c>
      <c r="G242" s="6" t="n">
        <v>615</v>
      </c>
      <c r="H242" s="6" t="s">
        <v>7199</v>
      </c>
      <c r="I242" s="22" t="n">
        <v>4811000</v>
      </c>
      <c r="J242" s="22" t="n">
        <v>9000</v>
      </c>
      <c r="K242" s="22" t="n">
        <v>361500</v>
      </c>
      <c r="L242" s="22" t="n">
        <v>5181500</v>
      </c>
      <c r="M242" s="6" t="s">
        <v>171</v>
      </c>
      <c r="N242" s="6" t="s">
        <v>84</v>
      </c>
      <c r="O242" s="6" t="s">
        <v>892</v>
      </c>
      <c r="P242" s="6" t="s">
        <v>85</v>
      </c>
      <c r="Q242" s="6" t="str">
        <f aca="false">IF(P242="pass","No","Yes")</f>
        <v>Yes</v>
      </c>
      <c r="R242" s="6" t="s">
        <v>86</v>
      </c>
      <c r="S242" s="6" t="s">
        <v>893</v>
      </c>
      <c r="T242" s="6" t="s">
        <v>7200</v>
      </c>
      <c r="U242" s="23" t="n">
        <v>2.233</v>
      </c>
      <c r="V242" s="6" t="s">
        <v>7201</v>
      </c>
      <c r="W242" s="6" t="s">
        <v>7202</v>
      </c>
      <c r="X242" s="6" t="s">
        <v>7203</v>
      </c>
      <c r="Y242" s="6" t="s">
        <v>86</v>
      </c>
      <c r="Z242" s="6" t="n">
        <v>0</v>
      </c>
      <c r="AA242" s="6" t="n">
        <v>0</v>
      </c>
      <c r="AB242" s="6" t="n">
        <v>0</v>
      </c>
      <c r="AC242" s="6" t="n">
        <v>1</v>
      </c>
      <c r="AD242" s="6" t="n">
        <v>0</v>
      </c>
      <c r="AE242" s="6" t="n">
        <v>0</v>
      </c>
      <c r="AF242" s="6" t="n">
        <v>0</v>
      </c>
      <c r="AG242" s="6" t="n">
        <v>0</v>
      </c>
      <c r="AH242" s="6" t="n">
        <v>1</v>
      </c>
      <c r="AI242" s="6" t="s">
        <v>84</v>
      </c>
    </row>
    <row r="243" customFormat="false" ht="15" hidden="false" customHeight="false" outlineLevel="0" collapsed="false">
      <c r="A243" s="6" t="n">
        <v>242</v>
      </c>
      <c r="B243" s="6" t="s">
        <v>7204</v>
      </c>
      <c r="C243" s="6" t="n">
        <v>5</v>
      </c>
      <c r="D243" s="6" t="s">
        <v>142</v>
      </c>
      <c r="E243" s="6" t="s">
        <v>74</v>
      </c>
      <c r="F243" s="6" t="n">
        <v>1</v>
      </c>
      <c r="G243" s="6" t="n">
        <v>2</v>
      </c>
      <c r="H243" s="6" t="s">
        <v>959</v>
      </c>
      <c r="I243" s="22" t="n">
        <v>8200</v>
      </c>
      <c r="J243" s="22" t="n">
        <v>9000</v>
      </c>
      <c r="K243" s="22" t="n">
        <v>1290</v>
      </c>
      <c r="L243" s="22" t="n">
        <v>18490</v>
      </c>
      <c r="M243" s="6" t="s">
        <v>57</v>
      </c>
      <c r="N243" s="6" t="s">
        <v>58</v>
      </c>
      <c r="O243" s="6"/>
      <c r="P243" s="6" t="s">
        <v>69</v>
      </c>
      <c r="Q243" s="6" t="str">
        <f aca="false">IF(P243="pass","No","Yes")</f>
        <v>No</v>
      </c>
      <c r="R243" s="6" t="s">
        <v>60</v>
      </c>
      <c r="S243" s="6"/>
      <c r="T243" s="6"/>
      <c r="U243" s="23" t="n">
        <v>2.326</v>
      </c>
      <c r="V243" s="6" t="s">
        <v>7205</v>
      </c>
      <c r="W243" s="6" t="s">
        <v>7206</v>
      </c>
      <c r="X243" s="6" t="s">
        <v>7207</v>
      </c>
      <c r="Y243" s="6" t="s">
        <v>60</v>
      </c>
      <c r="Z243" s="6" t="n">
        <v>0</v>
      </c>
      <c r="AA243" s="6" t="n">
        <v>0</v>
      </c>
      <c r="AB243" s="6" t="n">
        <v>0</v>
      </c>
      <c r="AC243" s="6" t="n">
        <v>0</v>
      </c>
      <c r="AD243" s="6" t="n">
        <v>0</v>
      </c>
      <c r="AE243" s="6" t="n">
        <v>0</v>
      </c>
      <c r="AF243" s="6" t="n">
        <v>0</v>
      </c>
      <c r="AG243" s="6" t="n">
        <v>0</v>
      </c>
      <c r="AH243" s="6" t="n">
        <v>0</v>
      </c>
      <c r="AI243" s="6" t="s">
        <v>84</v>
      </c>
    </row>
    <row r="244" customFormat="false" ht="15" hidden="false" customHeight="false" outlineLevel="0" collapsed="false">
      <c r="A244" s="6" t="n">
        <v>243</v>
      </c>
      <c r="B244" s="6" t="s">
        <v>7208</v>
      </c>
      <c r="C244" s="6" t="n">
        <v>5</v>
      </c>
      <c r="D244" s="6" t="s">
        <v>213</v>
      </c>
      <c r="E244" s="6" t="s">
        <v>67</v>
      </c>
      <c r="F244" s="6" t="n">
        <v>2</v>
      </c>
      <c r="G244" s="6" t="n">
        <v>51</v>
      </c>
      <c r="H244" s="6" t="s">
        <v>7209</v>
      </c>
      <c r="I244" s="22" t="n">
        <v>600800</v>
      </c>
      <c r="J244" s="22" t="n">
        <v>4500</v>
      </c>
      <c r="K244" s="22" t="n">
        <v>45397.5</v>
      </c>
      <c r="L244" s="22" t="n">
        <v>650697.5</v>
      </c>
      <c r="M244" s="6" t="s">
        <v>57</v>
      </c>
      <c r="N244" s="6" t="s">
        <v>58</v>
      </c>
      <c r="O244" s="6"/>
      <c r="P244" s="6" t="s">
        <v>69</v>
      </c>
      <c r="Q244" s="6" t="str">
        <f aca="false">IF(P244="pass","No","Yes")</f>
        <v>No</v>
      </c>
      <c r="R244" s="6" t="s">
        <v>60</v>
      </c>
      <c r="S244" s="6"/>
      <c r="T244" s="6"/>
      <c r="U244" s="23" t="n">
        <v>2.624</v>
      </c>
      <c r="V244" s="6" t="s">
        <v>7210</v>
      </c>
      <c r="W244" s="6" t="s">
        <v>7211</v>
      </c>
      <c r="X244" s="6" t="s">
        <v>7212</v>
      </c>
      <c r="Y244" s="6" t="s">
        <v>60</v>
      </c>
      <c r="Z244" s="6" t="n">
        <v>0</v>
      </c>
      <c r="AA244" s="6" t="n">
        <v>0</v>
      </c>
      <c r="AB244" s="6" t="n">
        <v>0</v>
      </c>
      <c r="AC244" s="6" t="n">
        <v>0</v>
      </c>
      <c r="AD244" s="6" t="n">
        <v>0</v>
      </c>
      <c r="AE244" s="6" t="n">
        <v>0</v>
      </c>
      <c r="AF244" s="6" t="n">
        <v>0</v>
      </c>
      <c r="AG244" s="6" t="n">
        <v>0</v>
      </c>
      <c r="AH244" s="6" t="n">
        <v>0</v>
      </c>
      <c r="AI244" s="6" t="s">
        <v>84</v>
      </c>
    </row>
    <row r="245" customFormat="false" ht="15" hidden="false" customHeight="false" outlineLevel="0" collapsed="false">
      <c r="A245" s="6" t="n">
        <v>244</v>
      </c>
      <c r="B245" s="6" t="s">
        <v>7213</v>
      </c>
      <c r="C245" s="6" t="n">
        <v>5</v>
      </c>
      <c r="D245" s="6" t="s">
        <v>63</v>
      </c>
      <c r="E245" s="6" t="s">
        <v>67</v>
      </c>
      <c r="F245" s="6" t="n">
        <v>1</v>
      </c>
      <c r="G245" s="6" t="n">
        <v>65</v>
      </c>
      <c r="H245" s="6" t="s">
        <v>1748</v>
      </c>
      <c r="I245" s="22" t="n">
        <v>942500</v>
      </c>
      <c r="J245" s="22" t="n">
        <v>4500</v>
      </c>
      <c r="K245" s="22" t="n">
        <v>71025</v>
      </c>
      <c r="L245" s="22" t="n">
        <v>1018025</v>
      </c>
      <c r="M245" s="6" t="s">
        <v>57</v>
      </c>
      <c r="N245" s="6" t="s">
        <v>58</v>
      </c>
      <c r="O245" s="6"/>
      <c r="P245" s="6" t="s">
        <v>69</v>
      </c>
      <c r="Q245" s="6" t="str">
        <f aca="false">IF(P245="pass","No","Yes")</f>
        <v>No</v>
      </c>
      <c r="R245" s="6" t="s">
        <v>60</v>
      </c>
      <c r="S245" s="6"/>
      <c r="T245" s="6"/>
      <c r="U245" s="23" t="n">
        <v>2.456</v>
      </c>
      <c r="V245" s="6" t="s">
        <v>7214</v>
      </c>
      <c r="W245" s="6" t="s">
        <v>7215</v>
      </c>
      <c r="X245" s="6" t="s">
        <v>7216</v>
      </c>
      <c r="Y245" s="6" t="s">
        <v>60</v>
      </c>
      <c r="Z245" s="6" t="n">
        <v>0</v>
      </c>
      <c r="AA245" s="6" t="n">
        <v>0</v>
      </c>
      <c r="AB245" s="6" t="n">
        <v>0</v>
      </c>
      <c r="AC245" s="6" t="n">
        <v>0</v>
      </c>
      <c r="AD245" s="6" t="n">
        <v>0</v>
      </c>
      <c r="AE245" s="6" t="n">
        <v>0</v>
      </c>
      <c r="AF245" s="6" t="n">
        <v>0</v>
      </c>
      <c r="AG245" s="6" t="n">
        <v>0</v>
      </c>
      <c r="AH245" s="6" t="n">
        <v>0</v>
      </c>
      <c r="AI245" s="6" t="s">
        <v>84</v>
      </c>
    </row>
    <row r="246" customFormat="false" ht="15" hidden="false" customHeight="false" outlineLevel="0" collapsed="false">
      <c r="A246" s="6" t="n">
        <v>245</v>
      </c>
      <c r="B246" s="6" t="s">
        <v>7217</v>
      </c>
      <c r="C246" s="6" t="n">
        <v>5</v>
      </c>
      <c r="D246" s="6" t="s">
        <v>137</v>
      </c>
      <c r="E246" s="6" t="s">
        <v>55</v>
      </c>
      <c r="F246" s="6" t="n">
        <v>2</v>
      </c>
      <c r="G246" s="6" t="n">
        <v>171</v>
      </c>
      <c r="H246" s="6" t="s">
        <v>7218</v>
      </c>
      <c r="I246" s="22" t="n">
        <v>2049500</v>
      </c>
      <c r="J246" s="22" t="n">
        <v>6000</v>
      </c>
      <c r="K246" s="22" t="n">
        <v>154162.5</v>
      </c>
      <c r="L246" s="22" t="n">
        <v>2209662.5</v>
      </c>
      <c r="M246" s="6" t="s">
        <v>94</v>
      </c>
      <c r="N246" s="6" t="s">
        <v>84</v>
      </c>
      <c r="O246" s="6" t="s">
        <v>909</v>
      </c>
      <c r="P246" s="6" t="s">
        <v>85</v>
      </c>
      <c r="Q246" s="6" t="str">
        <f aca="false">IF(P246="pass","No","Yes")</f>
        <v>Yes</v>
      </c>
      <c r="R246" s="6" t="s">
        <v>86</v>
      </c>
      <c r="S246" s="6" t="s">
        <v>909</v>
      </c>
      <c r="T246" s="6" t="s">
        <v>254</v>
      </c>
      <c r="U246" s="23" t="n">
        <v>2.009</v>
      </c>
      <c r="V246" s="6" t="s">
        <v>7219</v>
      </c>
      <c r="W246" s="6" t="s">
        <v>7220</v>
      </c>
      <c r="X246" s="6" t="s">
        <v>7221</v>
      </c>
      <c r="Y246" s="6" t="s">
        <v>86</v>
      </c>
      <c r="Z246" s="6" t="n">
        <v>0</v>
      </c>
      <c r="AA246" s="6" t="n">
        <v>0</v>
      </c>
      <c r="AB246" s="6" t="n">
        <v>0</v>
      </c>
      <c r="AC246" s="6" t="n">
        <v>0</v>
      </c>
      <c r="AD246" s="6" t="n">
        <v>0</v>
      </c>
      <c r="AE246" s="6" t="n">
        <v>0</v>
      </c>
      <c r="AF246" s="6" t="n">
        <v>1</v>
      </c>
      <c r="AG246" s="6" t="n">
        <v>0</v>
      </c>
      <c r="AH246" s="6" t="n">
        <v>0</v>
      </c>
      <c r="AI246" s="6" t="s">
        <v>84</v>
      </c>
    </row>
    <row r="247" customFormat="false" ht="15" hidden="false" customHeight="false" outlineLevel="0" collapsed="false">
      <c r="A247" s="6" t="n">
        <v>246</v>
      </c>
      <c r="B247" s="6" t="s">
        <v>7222</v>
      </c>
      <c r="C247" s="6" t="n">
        <v>5</v>
      </c>
      <c r="D247" s="6" t="s">
        <v>112</v>
      </c>
      <c r="E247" s="6" t="s">
        <v>116</v>
      </c>
      <c r="F247" s="6" t="n">
        <v>2</v>
      </c>
      <c r="G247" s="6" t="n">
        <v>30</v>
      </c>
      <c r="H247" s="6" t="s">
        <v>7223</v>
      </c>
      <c r="I247" s="22" t="n">
        <v>432600</v>
      </c>
      <c r="J247" s="22" t="n">
        <v>15000</v>
      </c>
      <c r="K247" s="22" t="n">
        <v>33570</v>
      </c>
      <c r="L247" s="22" t="n">
        <v>481170</v>
      </c>
      <c r="M247" s="6" t="s">
        <v>1042</v>
      </c>
      <c r="N247" s="6" t="s">
        <v>58</v>
      </c>
      <c r="O247" s="6"/>
      <c r="P247" s="6" t="s">
        <v>69</v>
      </c>
      <c r="Q247" s="6" t="str">
        <f aca="false">IF(P247="pass","No","Yes")</f>
        <v>No</v>
      </c>
      <c r="R247" s="6" t="s">
        <v>60</v>
      </c>
      <c r="S247" s="6"/>
      <c r="T247" s="6"/>
      <c r="U247" s="23" t="n">
        <v>2.509</v>
      </c>
      <c r="V247" s="6" t="s">
        <v>7224</v>
      </c>
      <c r="W247" s="6" t="s">
        <v>7225</v>
      </c>
      <c r="X247" s="6" t="s">
        <v>7226</v>
      </c>
      <c r="Y247" s="6" t="s">
        <v>60</v>
      </c>
      <c r="Z247" s="6" t="n">
        <v>0</v>
      </c>
      <c r="AA247" s="6" t="n">
        <v>0</v>
      </c>
      <c r="AB247" s="6" t="n">
        <v>0</v>
      </c>
      <c r="AC247" s="6" t="n">
        <v>0</v>
      </c>
      <c r="AD247" s="6" t="n">
        <v>0</v>
      </c>
      <c r="AE247" s="6" t="n">
        <v>0</v>
      </c>
      <c r="AF247" s="6" t="n">
        <v>0</v>
      </c>
      <c r="AG247" s="6" t="n">
        <v>0</v>
      </c>
      <c r="AH247" s="6" t="n">
        <v>0</v>
      </c>
      <c r="AI247" s="6" t="s">
        <v>84</v>
      </c>
    </row>
    <row r="248" customFormat="false" ht="15" hidden="false" customHeight="false" outlineLevel="0" collapsed="false">
      <c r="A248" s="6" t="n">
        <v>247</v>
      </c>
      <c r="B248" s="6" t="s">
        <v>7227</v>
      </c>
      <c r="C248" s="6" t="n">
        <v>5</v>
      </c>
      <c r="D248" s="6" t="s">
        <v>105</v>
      </c>
      <c r="E248" s="6" t="s">
        <v>81</v>
      </c>
      <c r="F248" s="6" t="n">
        <v>1</v>
      </c>
      <c r="G248" s="6" t="n">
        <v>12</v>
      </c>
      <c r="H248" s="6" t="s">
        <v>3147</v>
      </c>
      <c r="I248" s="22" t="n">
        <v>372000</v>
      </c>
      <c r="J248" s="22" t="n">
        <v>4000</v>
      </c>
      <c r="K248" s="22" t="n">
        <v>28200</v>
      </c>
      <c r="L248" s="22" t="n">
        <v>404200</v>
      </c>
      <c r="M248" s="6" t="s">
        <v>57</v>
      </c>
      <c r="N248" s="6" t="s">
        <v>58</v>
      </c>
      <c r="O248" s="6"/>
      <c r="P248" s="6" t="s">
        <v>69</v>
      </c>
      <c r="Q248" s="6" t="str">
        <f aca="false">IF(P248="pass","No","Yes")</f>
        <v>No</v>
      </c>
      <c r="R248" s="6" t="s">
        <v>60</v>
      </c>
      <c r="S248" s="6"/>
      <c r="T248" s="6"/>
      <c r="U248" s="23" t="n">
        <v>2.521</v>
      </c>
      <c r="V248" s="6" t="s">
        <v>7228</v>
      </c>
      <c r="W248" s="6" t="s">
        <v>7229</v>
      </c>
      <c r="X248" s="6" t="s">
        <v>7230</v>
      </c>
      <c r="Y248" s="6" t="s">
        <v>60</v>
      </c>
      <c r="Z248" s="6" t="n">
        <v>0</v>
      </c>
      <c r="AA248" s="6" t="n">
        <v>0</v>
      </c>
      <c r="AB248" s="6" t="n">
        <v>0</v>
      </c>
      <c r="AC248" s="6" t="n">
        <v>0</v>
      </c>
      <c r="AD248" s="6" t="n">
        <v>0</v>
      </c>
      <c r="AE248" s="6" t="n">
        <v>0</v>
      </c>
      <c r="AF248" s="6" t="n">
        <v>0</v>
      </c>
      <c r="AG248" s="6" t="n">
        <v>0</v>
      </c>
      <c r="AH248" s="6" t="n">
        <v>0</v>
      </c>
      <c r="AI248" s="6" t="s">
        <v>84</v>
      </c>
    </row>
    <row r="249" customFormat="false" ht="15" hidden="false" customHeight="false" outlineLevel="0" collapsed="false">
      <c r="A249" s="6" t="n">
        <v>248</v>
      </c>
      <c r="B249" s="6" t="s">
        <v>7231</v>
      </c>
      <c r="C249" s="6" t="n">
        <v>5</v>
      </c>
      <c r="D249" s="6" t="s">
        <v>105</v>
      </c>
      <c r="E249" s="6" t="s">
        <v>81</v>
      </c>
      <c r="F249" s="6" t="n">
        <v>1</v>
      </c>
      <c r="G249" s="6" t="n">
        <v>26</v>
      </c>
      <c r="H249" s="6" t="s">
        <v>3850</v>
      </c>
      <c r="I249" s="22" t="n">
        <v>306800</v>
      </c>
      <c r="J249" s="22" t="n">
        <v>4000</v>
      </c>
      <c r="K249" s="22" t="n">
        <v>23310</v>
      </c>
      <c r="L249" s="22" t="n">
        <v>334110</v>
      </c>
      <c r="M249" s="6" t="s">
        <v>57</v>
      </c>
      <c r="N249" s="6" t="s">
        <v>58</v>
      </c>
      <c r="O249" s="6"/>
      <c r="P249" s="6" t="s">
        <v>69</v>
      </c>
      <c r="Q249" s="6" t="str">
        <f aca="false">IF(P249="pass","No","Yes")</f>
        <v>No</v>
      </c>
      <c r="R249" s="6" t="s">
        <v>60</v>
      </c>
      <c r="S249" s="6"/>
      <c r="T249" s="6"/>
      <c r="U249" s="23" t="n">
        <v>2.582</v>
      </c>
      <c r="V249" s="6" t="s">
        <v>7232</v>
      </c>
      <c r="W249" s="6" t="s">
        <v>7233</v>
      </c>
      <c r="X249" s="6" t="s">
        <v>7234</v>
      </c>
      <c r="Y249" s="6" t="s">
        <v>60</v>
      </c>
      <c r="Z249" s="6" t="n">
        <v>0</v>
      </c>
      <c r="AA249" s="6" t="n">
        <v>0</v>
      </c>
      <c r="AB249" s="6" t="n">
        <v>0</v>
      </c>
      <c r="AC249" s="6" t="n">
        <v>0</v>
      </c>
      <c r="AD249" s="6" t="n">
        <v>0</v>
      </c>
      <c r="AE249" s="6" t="n">
        <v>0</v>
      </c>
      <c r="AF249" s="6" t="n">
        <v>0</v>
      </c>
      <c r="AG249" s="6" t="n">
        <v>0</v>
      </c>
      <c r="AH249" s="6" t="n">
        <v>0</v>
      </c>
      <c r="AI249" s="6" t="s">
        <v>84</v>
      </c>
    </row>
    <row r="250" customFormat="false" ht="15" hidden="false" customHeight="false" outlineLevel="0" collapsed="false">
      <c r="A250" s="6" t="n">
        <v>249</v>
      </c>
      <c r="B250" s="6" t="s">
        <v>7235</v>
      </c>
      <c r="C250" s="6" t="n">
        <v>5</v>
      </c>
      <c r="D250" s="6" t="s">
        <v>112</v>
      </c>
      <c r="E250" s="6" t="s">
        <v>116</v>
      </c>
      <c r="F250" s="6" t="n">
        <v>4</v>
      </c>
      <c r="G250" s="6" t="n">
        <v>182</v>
      </c>
      <c r="H250" s="6" t="s">
        <v>7236</v>
      </c>
      <c r="I250" s="22" t="n">
        <v>1803200</v>
      </c>
      <c r="J250" s="22" t="n">
        <v>15000</v>
      </c>
      <c r="K250" s="22" t="n">
        <v>136365</v>
      </c>
      <c r="L250" s="22" t="n">
        <v>1954565</v>
      </c>
      <c r="M250" s="6" t="s">
        <v>152</v>
      </c>
      <c r="N250" s="6" t="s">
        <v>84</v>
      </c>
      <c r="O250" s="6" t="s">
        <v>886</v>
      </c>
      <c r="P250" s="6" t="s">
        <v>85</v>
      </c>
      <c r="Q250" s="6" t="str">
        <f aca="false">IF(P250="pass","No","Yes")</f>
        <v>Yes</v>
      </c>
      <c r="R250" s="6" t="s">
        <v>86</v>
      </c>
      <c r="S250" s="6" t="s">
        <v>1479</v>
      </c>
      <c r="T250" s="6" t="s">
        <v>7237</v>
      </c>
      <c r="U250" s="23" t="n">
        <v>2.339</v>
      </c>
      <c r="V250" s="6" t="s">
        <v>7238</v>
      </c>
      <c r="W250" s="6" t="s">
        <v>7239</v>
      </c>
      <c r="X250" s="6" t="s">
        <v>7240</v>
      </c>
      <c r="Y250" s="6" t="s">
        <v>86</v>
      </c>
      <c r="Z250" s="6" t="n">
        <v>0</v>
      </c>
      <c r="AA250" s="6" t="n">
        <v>0</v>
      </c>
      <c r="AB250" s="6" t="n">
        <v>1</v>
      </c>
      <c r="AC250" s="6" t="n">
        <v>0</v>
      </c>
      <c r="AD250" s="6" t="n">
        <v>0</v>
      </c>
      <c r="AE250" s="6" t="n">
        <v>0</v>
      </c>
      <c r="AF250" s="6" t="n">
        <v>0</v>
      </c>
      <c r="AG250" s="6" t="n">
        <v>0</v>
      </c>
      <c r="AH250" s="6" t="n">
        <v>1</v>
      </c>
      <c r="AI250" s="6" t="s">
        <v>84</v>
      </c>
    </row>
    <row r="251" customFormat="false" ht="15" hidden="false" customHeight="false" outlineLevel="0" collapsed="false">
      <c r="A251" s="6" t="n">
        <v>250</v>
      </c>
      <c r="B251" s="6" t="s">
        <v>7241</v>
      </c>
      <c r="C251" s="6" t="n">
        <v>5</v>
      </c>
      <c r="D251" s="6" t="s">
        <v>77</v>
      </c>
      <c r="E251" s="6" t="s">
        <v>146</v>
      </c>
      <c r="F251" s="6" t="n">
        <v>2</v>
      </c>
      <c r="G251" s="6" t="n">
        <v>43</v>
      </c>
      <c r="H251" s="6" t="s">
        <v>7242</v>
      </c>
      <c r="I251" s="22" t="n">
        <v>853500</v>
      </c>
      <c r="J251" s="22" t="n">
        <v>0</v>
      </c>
      <c r="K251" s="22" t="n">
        <v>64012.5</v>
      </c>
      <c r="L251" s="22" t="n">
        <v>917512.5</v>
      </c>
      <c r="M251" s="6" t="s">
        <v>148</v>
      </c>
      <c r="N251" s="6" t="s">
        <v>84</v>
      </c>
      <c r="O251" s="6" t="s">
        <v>866</v>
      </c>
      <c r="P251" s="6" t="s">
        <v>85</v>
      </c>
      <c r="Q251" s="6" t="str">
        <f aca="false">IF(P251="pass","No","Yes")</f>
        <v>Yes</v>
      </c>
      <c r="R251" s="6" t="s">
        <v>86</v>
      </c>
      <c r="S251" s="6" t="s">
        <v>866</v>
      </c>
      <c r="T251" s="6" t="s">
        <v>150</v>
      </c>
      <c r="U251" s="23" t="n">
        <v>2.058</v>
      </c>
      <c r="V251" s="6" t="s">
        <v>7243</v>
      </c>
      <c r="W251" s="6" t="s">
        <v>7244</v>
      </c>
      <c r="X251" s="6" t="s">
        <v>7245</v>
      </c>
      <c r="Y251" s="6" t="s">
        <v>86</v>
      </c>
      <c r="Z251" s="6" t="n">
        <v>1</v>
      </c>
      <c r="AA251" s="6" t="n">
        <v>0</v>
      </c>
      <c r="AB251" s="6" t="n">
        <v>0</v>
      </c>
      <c r="AC251" s="6" t="n">
        <v>0</v>
      </c>
      <c r="AD251" s="6" t="n">
        <v>0</v>
      </c>
      <c r="AE251" s="6" t="n">
        <v>0</v>
      </c>
      <c r="AF251" s="6" t="n">
        <v>0</v>
      </c>
      <c r="AG251" s="6" t="n">
        <v>0</v>
      </c>
      <c r="AH251" s="6" t="n">
        <v>0</v>
      </c>
      <c r="AI251" s="6" t="s">
        <v>84</v>
      </c>
    </row>
    <row r="252" customFormat="false" ht="15" hidden="false" customHeight="false" outlineLevel="0" collapsed="false">
      <c r="A252" s="6" t="n">
        <v>251</v>
      </c>
      <c r="B252" s="6" t="s">
        <v>7246</v>
      </c>
      <c r="C252" s="6" t="n">
        <v>6</v>
      </c>
      <c r="D252" s="6" t="s">
        <v>119</v>
      </c>
      <c r="E252" s="6" t="s">
        <v>123</v>
      </c>
      <c r="F252" s="6" t="n">
        <v>2</v>
      </c>
      <c r="G252" s="6" t="n">
        <v>59</v>
      </c>
      <c r="H252" s="6" t="s">
        <v>7247</v>
      </c>
      <c r="I252" s="22" t="n">
        <v>737500</v>
      </c>
      <c r="J252" s="22" t="n">
        <v>5000</v>
      </c>
      <c r="K252" s="22" t="n">
        <v>55687.5</v>
      </c>
      <c r="L252" s="22" t="n">
        <v>798187.5</v>
      </c>
      <c r="M252" s="6" t="s">
        <v>152</v>
      </c>
      <c r="N252" s="6" t="s">
        <v>84</v>
      </c>
      <c r="O252" s="6" t="s">
        <v>886</v>
      </c>
      <c r="P252" s="6" t="s">
        <v>85</v>
      </c>
      <c r="Q252" s="6" t="str">
        <f aca="false">IF(P252="pass","No","Yes")</f>
        <v>Yes</v>
      </c>
      <c r="R252" s="6" t="s">
        <v>86</v>
      </c>
      <c r="S252" s="6" t="s">
        <v>886</v>
      </c>
      <c r="T252" s="6" t="s">
        <v>322</v>
      </c>
      <c r="U252" s="23" t="n">
        <v>2.081</v>
      </c>
      <c r="V252" s="6" t="s">
        <v>7248</v>
      </c>
      <c r="W252" s="6" t="s">
        <v>7249</v>
      </c>
      <c r="X252" s="6" t="s">
        <v>7250</v>
      </c>
      <c r="Y252" s="6" t="s">
        <v>86</v>
      </c>
      <c r="Z252" s="6" t="n">
        <v>0</v>
      </c>
      <c r="AA252" s="6" t="n">
        <v>0</v>
      </c>
      <c r="AB252" s="6" t="n">
        <v>1</v>
      </c>
      <c r="AC252" s="6" t="n">
        <v>0</v>
      </c>
      <c r="AD252" s="6" t="n">
        <v>0</v>
      </c>
      <c r="AE252" s="6" t="n">
        <v>0</v>
      </c>
      <c r="AF252" s="6" t="n">
        <v>0</v>
      </c>
      <c r="AG252" s="6" t="n">
        <v>0</v>
      </c>
      <c r="AH252" s="6" t="n">
        <v>0</v>
      </c>
      <c r="AI252" s="6" t="s">
        <v>84</v>
      </c>
    </row>
    <row r="253" customFormat="false" ht="15" hidden="false" customHeight="false" outlineLevel="0" collapsed="false">
      <c r="A253" s="6" t="n">
        <v>252</v>
      </c>
      <c r="B253" s="6" t="s">
        <v>7251</v>
      </c>
      <c r="C253" s="6" t="n">
        <v>6</v>
      </c>
      <c r="D253" s="6" t="s">
        <v>77</v>
      </c>
      <c r="E253" s="6" t="s">
        <v>81</v>
      </c>
      <c r="F253" s="6" t="n">
        <v>1</v>
      </c>
      <c r="G253" s="6" t="n">
        <v>28</v>
      </c>
      <c r="H253" s="6" t="s">
        <v>1979</v>
      </c>
      <c r="I253" s="22" t="n">
        <v>266000</v>
      </c>
      <c r="J253" s="22" t="n">
        <v>4000</v>
      </c>
      <c r="K253" s="22" t="n">
        <v>20250</v>
      </c>
      <c r="L253" s="22" t="n">
        <v>290250</v>
      </c>
      <c r="M253" s="6" t="s">
        <v>57</v>
      </c>
      <c r="N253" s="6" t="s">
        <v>58</v>
      </c>
      <c r="O253" s="6"/>
      <c r="P253" s="6" t="s">
        <v>69</v>
      </c>
      <c r="Q253" s="6" t="str">
        <f aca="false">IF(P253="pass","No","Yes")</f>
        <v>No</v>
      </c>
      <c r="R253" s="6" t="s">
        <v>60</v>
      </c>
      <c r="S253" s="6"/>
      <c r="T253" s="6"/>
      <c r="U253" s="23" t="n">
        <v>2.414</v>
      </c>
      <c r="V253" s="6" t="s">
        <v>7252</v>
      </c>
      <c r="W253" s="6" t="s">
        <v>7253</v>
      </c>
      <c r="X253" s="6" t="s">
        <v>7254</v>
      </c>
      <c r="Y253" s="6" t="s">
        <v>60</v>
      </c>
      <c r="Z253" s="6" t="n">
        <v>0</v>
      </c>
      <c r="AA253" s="6" t="n">
        <v>0</v>
      </c>
      <c r="AB253" s="6" t="n">
        <v>0</v>
      </c>
      <c r="AC253" s="6" t="n">
        <v>0</v>
      </c>
      <c r="AD253" s="6" t="n">
        <v>0</v>
      </c>
      <c r="AE253" s="6" t="n">
        <v>0</v>
      </c>
      <c r="AF253" s="6" t="n">
        <v>0</v>
      </c>
      <c r="AG253" s="6" t="n">
        <v>0</v>
      </c>
      <c r="AH253" s="6" t="n">
        <v>0</v>
      </c>
      <c r="AI253" s="6" t="s">
        <v>84</v>
      </c>
    </row>
    <row r="254" customFormat="false" ht="15" hidden="false" customHeight="false" outlineLevel="0" collapsed="false">
      <c r="A254" s="6" t="n">
        <v>253</v>
      </c>
      <c r="B254" s="6" t="s">
        <v>7255</v>
      </c>
      <c r="C254" s="6" t="n">
        <v>6</v>
      </c>
      <c r="D254" s="6" t="s">
        <v>186</v>
      </c>
      <c r="E254" s="6" t="s">
        <v>123</v>
      </c>
      <c r="F254" s="6" t="n">
        <v>1</v>
      </c>
      <c r="G254" s="6" t="n">
        <v>9</v>
      </c>
      <c r="H254" s="6" t="s">
        <v>1533</v>
      </c>
      <c r="I254" s="22" t="n">
        <v>130500</v>
      </c>
      <c r="J254" s="22" t="n">
        <v>5000</v>
      </c>
      <c r="K254" s="22" t="n">
        <v>10162.5</v>
      </c>
      <c r="L254" s="22" t="n">
        <v>145662.5</v>
      </c>
      <c r="M254" s="6" t="s">
        <v>57</v>
      </c>
      <c r="N254" s="6" t="s">
        <v>58</v>
      </c>
      <c r="O254" s="6"/>
      <c r="P254" s="6" t="s">
        <v>69</v>
      </c>
      <c r="Q254" s="6" t="str">
        <f aca="false">IF(P254="pass","No","Yes")</f>
        <v>No</v>
      </c>
      <c r="R254" s="6" t="s">
        <v>60</v>
      </c>
      <c r="S254" s="6"/>
      <c r="T254" s="6"/>
      <c r="U254" s="23" t="n">
        <v>2.48</v>
      </c>
      <c r="V254" s="6" t="s">
        <v>7256</v>
      </c>
      <c r="W254" s="6" t="s">
        <v>7257</v>
      </c>
      <c r="X254" s="6" t="s">
        <v>7258</v>
      </c>
      <c r="Y254" s="6" t="s">
        <v>60</v>
      </c>
      <c r="Z254" s="6" t="n">
        <v>0</v>
      </c>
      <c r="AA254" s="6" t="n">
        <v>0</v>
      </c>
      <c r="AB254" s="6" t="n">
        <v>0</v>
      </c>
      <c r="AC254" s="6" t="n">
        <v>0</v>
      </c>
      <c r="AD254" s="6" t="n">
        <v>0</v>
      </c>
      <c r="AE254" s="6" t="n">
        <v>0</v>
      </c>
      <c r="AF254" s="6" t="n">
        <v>0</v>
      </c>
      <c r="AG254" s="6" t="n">
        <v>0</v>
      </c>
      <c r="AH254" s="6" t="n">
        <v>0</v>
      </c>
      <c r="AI254" s="6" t="s">
        <v>84</v>
      </c>
    </row>
    <row r="255" customFormat="false" ht="15" hidden="false" customHeight="false" outlineLevel="0" collapsed="false">
      <c r="A255" s="6" t="n">
        <v>254</v>
      </c>
      <c r="B255" s="6" t="s">
        <v>7259</v>
      </c>
      <c r="C255" s="6" t="n">
        <v>6</v>
      </c>
      <c r="D255" s="6" t="s">
        <v>119</v>
      </c>
      <c r="E255" s="6" t="s">
        <v>123</v>
      </c>
      <c r="F255" s="6" t="n">
        <v>4</v>
      </c>
      <c r="G255" s="6" t="n">
        <v>189</v>
      </c>
      <c r="H255" s="6" t="s">
        <v>7260</v>
      </c>
      <c r="I255" s="22" t="n">
        <v>2372400</v>
      </c>
      <c r="J255" s="22" t="n">
        <v>5000</v>
      </c>
      <c r="K255" s="22" t="n">
        <v>178305</v>
      </c>
      <c r="L255" s="22" t="n">
        <v>2555705</v>
      </c>
      <c r="M255" s="6" t="s">
        <v>1009</v>
      </c>
      <c r="N255" s="6" t="s">
        <v>58</v>
      </c>
      <c r="O255" s="6"/>
      <c r="P255" s="6" t="s">
        <v>59</v>
      </c>
      <c r="Q255" s="6" t="str">
        <f aca="false">IF(P255="pass","No","Yes")</f>
        <v>Yes</v>
      </c>
      <c r="R255" s="6" t="s">
        <v>60</v>
      </c>
      <c r="S255" s="6" t="s">
        <v>915</v>
      </c>
      <c r="T255" s="6" t="s">
        <v>1956</v>
      </c>
      <c r="U255" s="23" t="n">
        <v>2.649</v>
      </c>
      <c r="V255" s="6" t="s">
        <v>7261</v>
      </c>
      <c r="W255" s="6" t="s">
        <v>7262</v>
      </c>
      <c r="X255" s="6" t="s">
        <v>7263</v>
      </c>
      <c r="Y255" s="6" t="s">
        <v>60</v>
      </c>
      <c r="Z255" s="6" t="n">
        <v>0</v>
      </c>
      <c r="AA255" s="6" t="n">
        <v>0</v>
      </c>
      <c r="AB255" s="6" t="n">
        <v>0</v>
      </c>
      <c r="AC255" s="6" t="n">
        <v>0</v>
      </c>
      <c r="AD255" s="6" t="n">
        <v>0</v>
      </c>
      <c r="AE255" s="6" t="n">
        <v>0</v>
      </c>
      <c r="AF255" s="6" t="n">
        <v>0</v>
      </c>
      <c r="AG255" s="6" t="n">
        <v>0</v>
      </c>
      <c r="AH255" s="6" t="n">
        <v>1</v>
      </c>
      <c r="AI255" s="6" t="s">
        <v>84</v>
      </c>
    </row>
    <row r="256" customFormat="false" ht="15" hidden="false" customHeight="false" outlineLevel="0" collapsed="false">
      <c r="A256" s="6" t="n">
        <v>255</v>
      </c>
      <c r="B256" s="6" t="s">
        <v>7264</v>
      </c>
      <c r="C256" s="6" t="n">
        <v>6</v>
      </c>
      <c r="D256" s="6" t="s">
        <v>137</v>
      </c>
      <c r="E256" s="6" t="s">
        <v>55</v>
      </c>
      <c r="F256" s="6" t="n">
        <v>3</v>
      </c>
      <c r="G256" s="6" t="n">
        <v>232</v>
      </c>
      <c r="H256" s="6" t="s">
        <v>7265</v>
      </c>
      <c r="I256" s="22" t="n">
        <v>2832500</v>
      </c>
      <c r="J256" s="22" t="n">
        <v>6000</v>
      </c>
      <c r="K256" s="22" t="n">
        <v>212887.5</v>
      </c>
      <c r="L256" s="22" t="n">
        <v>3051387.5</v>
      </c>
      <c r="M256" s="6" t="s">
        <v>1042</v>
      </c>
      <c r="N256" s="6" t="s">
        <v>58</v>
      </c>
      <c r="O256" s="6"/>
      <c r="P256" s="6" t="s">
        <v>69</v>
      </c>
      <c r="Q256" s="6" t="str">
        <f aca="false">IF(P256="pass","No","Yes")</f>
        <v>No</v>
      </c>
      <c r="R256" s="6" t="s">
        <v>60</v>
      </c>
      <c r="S256" s="6"/>
      <c r="T256" s="6"/>
      <c r="U256" s="23" t="n">
        <v>2.537</v>
      </c>
      <c r="V256" s="6" t="s">
        <v>7266</v>
      </c>
      <c r="W256" s="6" t="s">
        <v>7267</v>
      </c>
      <c r="X256" s="6" t="s">
        <v>7268</v>
      </c>
      <c r="Y256" s="6" t="s">
        <v>60</v>
      </c>
      <c r="Z256" s="6" t="n">
        <v>0</v>
      </c>
      <c r="AA256" s="6" t="n">
        <v>0</v>
      </c>
      <c r="AB256" s="6" t="n">
        <v>0</v>
      </c>
      <c r="AC256" s="6" t="n">
        <v>0</v>
      </c>
      <c r="AD256" s="6" t="n">
        <v>0</v>
      </c>
      <c r="AE256" s="6" t="n">
        <v>0</v>
      </c>
      <c r="AF256" s="6" t="n">
        <v>0</v>
      </c>
      <c r="AG256" s="6" t="n">
        <v>0</v>
      </c>
      <c r="AH256" s="6" t="n">
        <v>0</v>
      </c>
      <c r="AI256" s="6" t="s">
        <v>84</v>
      </c>
    </row>
    <row r="257" customFormat="false" ht="15" hidden="false" customHeight="false" outlineLevel="0" collapsed="false">
      <c r="A257" s="6" t="n">
        <v>256</v>
      </c>
      <c r="B257" s="6" t="s">
        <v>7269</v>
      </c>
      <c r="C257" s="6" t="n">
        <v>6</v>
      </c>
      <c r="D257" s="6" t="s">
        <v>127</v>
      </c>
      <c r="E257" s="6" t="s">
        <v>55</v>
      </c>
      <c r="F257" s="6" t="n">
        <v>2</v>
      </c>
      <c r="G257" s="6" t="n">
        <v>55</v>
      </c>
      <c r="H257" s="6" t="s">
        <v>7270</v>
      </c>
      <c r="I257" s="22" t="n">
        <v>722000</v>
      </c>
      <c r="J257" s="22" t="n">
        <v>6000</v>
      </c>
      <c r="K257" s="22" t="n">
        <v>54600</v>
      </c>
      <c r="L257" s="22" t="n">
        <v>782600</v>
      </c>
      <c r="M257" s="6" t="s">
        <v>57</v>
      </c>
      <c r="N257" s="6" t="s">
        <v>58</v>
      </c>
      <c r="O257" s="6"/>
      <c r="P257" s="6" t="s">
        <v>69</v>
      </c>
      <c r="Q257" s="6" t="str">
        <f aca="false">IF(P257="pass","No","Yes")</f>
        <v>No</v>
      </c>
      <c r="R257" s="6" t="s">
        <v>60</v>
      </c>
      <c r="S257" s="6"/>
      <c r="T257" s="6"/>
      <c r="U257" s="23" t="n">
        <v>2.441</v>
      </c>
      <c r="V257" s="6" t="s">
        <v>7271</v>
      </c>
      <c r="W257" s="6" t="s">
        <v>7272</v>
      </c>
      <c r="X257" s="6" t="s">
        <v>7273</v>
      </c>
      <c r="Y257" s="6" t="s">
        <v>60</v>
      </c>
      <c r="Z257" s="6" t="n">
        <v>0</v>
      </c>
      <c r="AA257" s="6" t="n">
        <v>0</v>
      </c>
      <c r="AB257" s="6" t="n">
        <v>0</v>
      </c>
      <c r="AC257" s="6" t="n">
        <v>0</v>
      </c>
      <c r="AD257" s="6" t="n">
        <v>0</v>
      </c>
      <c r="AE257" s="6" t="n">
        <v>0</v>
      </c>
      <c r="AF257" s="6" t="n">
        <v>0</v>
      </c>
      <c r="AG257" s="6" t="n">
        <v>0</v>
      </c>
      <c r="AH257" s="6" t="n">
        <v>0</v>
      </c>
      <c r="AI257" s="6" t="s">
        <v>84</v>
      </c>
    </row>
    <row r="258" customFormat="false" ht="15" hidden="false" customHeight="false" outlineLevel="0" collapsed="false">
      <c r="A258" s="6" t="n">
        <v>257</v>
      </c>
      <c r="B258" s="6" t="s">
        <v>7274</v>
      </c>
      <c r="C258" s="6" t="n">
        <v>6</v>
      </c>
      <c r="D258" s="6" t="s">
        <v>177</v>
      </c>
      <c r="E258" s="6" t="s">
        <v>81</v>
      </c>
      <c r="F258" s="6" t="n">
        <v>2</v>
      </c>
      <c r="G258" s="6" t="n">
        <v>27</v>
      </c>
      <c r="H258" s="6" t="s">
        <v>7275</v>
      </c>
      <c r="I258" s="22" t="n">
        <v>709600</v>
      </c>
      <c r="J258" s="22" t="n">
        <v>4000</v>
      </c>
      <c r="K258" s="22" t="n">
        <v>53520</v>
      </c>
      <c r="L258" s="22" t="n">
        <v>767120</v>
      </c>
      <c r="M258" s="6" t="s">
        <v>57</v>
      </c>
      <c r="N258" s="6" t="s">
        <v>58</v>
      </c>
      <c r="O258" s="6"/>
      <c r="P258" s="6" t="s">
        <v>69</v>
      </c>
      <c r="Q258" s="6" t="str">
        <f aca="false">IF(P258="pass","No","Yes")</f>
        <v>No</v>
      </c>
      <c r="R258" s="6" t="s">
        <v>60</v>
      </c>
      <c r="S258" s="6"/>
      <c r="T258" s="6"/>
      <c r="U258" s="23" t="n">
        <v>2.583</v>
      </c>
      <c r="V258" s="6" t="s">
        <v>7276</v>
      </c>
      <c r="W258" s="6" t="s">
        <v>7277</v>
      </c>
      <c r="X258" s="6" t="s">
        <v>7278</v>
      </c>
      <c r="Y258" s="6" t="s">
        <v>60</v>
      </c>
      <c r="Z258" s="6" t="n">
        <v>0</v>
      </c>
      <c r="AA258" s="6" t="n">
        <v>0</v>
      </c>
      <c r="AB258" s="6" t="n">
        <v>0</v>
      </c>
      <c r="AC258" s="6" t="n">
        <v>0</v>
      </c>
      <c r="AD258" s="6" t="n">
        <v>0</v>
      </c>
      <c r="AE258" s="6" t="n">
        <v>0</v>
      </c>
      <c r="AF258" s="6" t="n">
        <v>0</v>
      </c>
      <c r="AG258" s="6" t="n">
        <v>0</v>
      </c>
      <c r="AH258" s="6" t="n">
        <v>0</v>
      </c>
      <c r="AI258" s="6" t="s">
        <v>84</v>
      </c>
    </row>
    <row r="259" customFormat="false" ht="15" hidden="false" customHeight="false" outlineLevel="0" collapsed="false">
      <c r="A259" s="6" t="n">
        <v>258</v>
      </c>
      <c r="B259" s="6" t="s">
        <v>7279</v>
      </c>
      <c r="C259" s="6" t="n">
        <v>6</v>
      </c>
      <c r="D259" s="6" t="s">
        <v>127</v>
      </c>
      <c r="E259" s="6" t="s">
        <v>55</v>
      </c>
      <c r="F259" s="6" t="n">
        <v>2</v>
      </c>
      <c r="G259" s="6" t="n">
        <v>858</v>
      </c>
      <c r="H259" s="6" t="s">
        <v>7280</v>
      </c>
      <c r="I259" s="22" t="n">
        <v>12364300</v>
      </c>
      <c r="J259" s="22" t="n">
        <v>6000</v>
      </c>
      <c r="K259" s="22" t="n">
        <v>927772.5</v>
      </c>
      <c r="L259" s="22" t="n">
        <v>13298072.5</v>
      </c>
      <c r="M259" s="6" t="s">
        <v>159</v>
      </c>
      <c r="N259" s="6" t="s">
        <v>84</v>
      </c>
      <c r="O259" s="6" t="s">
        <v>886</v>
      </c>
      <c r="P259" s="6" t="s">
        <v>85</v>
      </c>
      <c r="Q259" s="6" t="str">
        <f aca="false">IF(P259="pass","No","Yes")</f>
        <v>Yes</v>
      </c>
      <c r="R259" s="6" t="s">
        <v>86</v>
      </c>
      <c r="S259" s="6" t="s">
        <v>934</v>
      </c>
      <c r="T259" s="6" t="s">
        <v>161</v>
      </c>
      <c r="U259" s="23" t="n">
        <v>2.491</v>
      </c>
      <c r="V259" s="6" t="s">
        <v>7281</v>
      </c>
      <c r="W259" s="6" t="s">
        <v>7282</v>
      </c>
      <c r="X259" s="6" t="s">
        <v>7283</v>
      </c>
      <c r="Y259" s="6" t="s">
        <v>86</v>
      </c>
      <c r="Z259" s="6" t="n">
        <v>0</v>
      </c>
      <c r="AA259" s="6" t="n">
        <v>0</v>
      </c>
      <c r="AB259" s="6" t="n">
        <v>1</v>
      </c>
      <c r="AC259" s="6" t="n">
        <v>1</v>
      </c>
      <c r="AD259" s="6" t="n">
        <v>0</v>
      </c>
      <c r="AE259" s="6" t="n">
        <v>0</v>
      </c>
      <c r="AF259" s="6" t="n">
        <v>0</v>
      </c>
      <c r="AG259" s="6" t="n">
        <v>0</v>
      </c>
      <c r="AH259" s="6" t="n">
        <v>0</v>
      </c>
      <c r="AI259" s="6" t="s">
        <v>84</v>
      </c>
    </row>
    <row r="260" customFormat="false" ht="15" hidden="false" customHeight="false" outlineLevel="0" collapsed="false">
      <c r="A260" s="6" t="n">
        <v>259</v>
      </c>
      <c r="B260" s="6" t="s">
        <v>7284</v>
      </c>
      <c r="C260" s="6" t="n">
        <v>6</v>
      </c>
      <c r="D260" s="6" t="s">
        <v>177</v>
      </c>
      <c r="E260" s="6" t="s">
        <v>81</v>
      </c>
      <c r="F260" s="6" t="n">
        <v>4</v>
      </c>
      <c r="G260" s="6" t="n">
        <v>2149</v>
      </c>
      <c r="H260" s="6" t="s">
        <v>7285</v>
      </c>
      <c r="I260" s="22" t="n">
        <v>20339800</v>
      </c>
      <c r="J260" s="22" t="n">
        <v>4000</v>
      </c>
      <c r="K260" s="22" t="n">
        <v>1525785</v>
      </c>
      <c r="L260" s="22" t="n">
        <v>21869585</v>
      </c>
      <c r="M260" s="6" t="s">
        <v>159</v>
      </c>
      <c r="N260" s="6" t="s">
        <v>84</v>
      </c>
      <c r="O260" s="6" t="s">
        <v>886</v>
      </c>
      <c r="P260" s="6" t="s">
        <v>85</v>
      </c>
      <c r="Q260" s="6" t="str">
        <f aca="false">IF(P260="pass","No","Yes")</f>
        <v>Yes</v>
      </c>
      <c r="R260" s="6" t="s">
        <v>86</v>
      </c>
      <c r="S260" s="6" t="s">
        <v>992</v>
      </c>
      <c r="T260" s="6" t="s">
        <v>7286</v>
      </c>
      <c r="U260" s="23" t="n">
        <v>2.673</v>
      </c>
      <c r="V260" s="6" t="s">
        <v>7287</v>
      </c>
      <c r="W260" s="6" t="s">
        <v>7288</v>
      </c>
      <c r="X260" s="6" t="s">
        <v>7289</v>
      </c>
      <c r="Y260" s="6" t="s">
        <v>86</v>
      </c>
      <c r="Z260" s="6" t="n">
        <v>0</v>
      </c>
      <c r="AA260" s="6" t="n">
        <v>0</v>
      </c>
      <c r="AB260" s="6" t="n">
        <v>1</v>
      </c>
      <c r="AC260" s="6" t="n">
        <v>1</v>
      </c>
      <c r="AD260" s="6" t="n">
        <v>0</v>
      </c>
      <c r="AE260" s="6" t="n">
        <v>0</v>
      </c>
      <c r="AF260" s="6" t="n">
        <v>0</v>
      </c>
      <c r="AG260" s="6" t="n">
        <v>0</v>
      </c>
      <c r="AH260" s="6" t="n">
        <v>1</v>
      </c>
      <c r="AI260" s="6" t="s">
        <v>84</v>
      </c>
    </row>
    <row r="261" customFormat="false" ht="15" hidden="false" customHeight="false" outlineLevel="0" collapsed="false">
      <c r="A261" s="6" t="n">
        <v>260</v>
      </c>
      <c r="B261" s="6" t="s">
        <v>7290</v>
      </c>
      <c r="C261" s="6" t="n">
        <v>6</v>
      </c>
      <c r="D261" s="6" t="s">
        <v>237</v>
      </c>
      <c r="E261" s="6" t="s">
        <v>116</v>
      </c>
      <c r="F261" s="6" t="n">
        <v>1</v>
      </c>
      <c r="G261" s="6" t="n">
        <v>10</v>
      </c>
      <c r="H261" s="6" t="s">
        <v>7291</v>
      </c>
      <c r="I261" s="22" t="n">
        <v>125000</v>
      </c>
      <c r="J261" s="22" t="n">
        <v>15000</v>
      </c>
      <c r="K261" s="22" t="n">
        <v>10500</v>
      </c>
      <c r="L261" s="22" t="n">
        <v>150500</v>
      </c>
      <c r="M261" s="6" t="s">
        <v>57</v>
      </c>
      <c r="N261" s="6" t="s">
        <v>58</v>
      </c>
      <c r="O261" s="6"/>
      <c r="P261" s="6" t="s">
        <v>69</v>
      </c>
      <c r="Q261" s="6" t="str">
        <f aca="false">IF(P261="pass","No","Yes")</f>
        <v>No</v>
      </c>
      <c r="R261" s="6" t="s">
        <v>60</v>
      </c>
      <c r="S261" s="6"/>
      <c r="T261" s="6"/>
      <c r="U261" s="23" t="n">
        <v>2.435</v>
      </c>
      <c r="V261" s="6" t="s">
        <v>7292</v>
      </c>
      <c r="W261" s="6" t="s">
        <v>7293</v>
      </c>
      <c r="X261" s="6" t="s">
        <v>7294</v>
      </c>
      <c r="Y261" s="6" t="s">
        <v>60</v>
      </c>
      <c r="Z261" s="6" t="n">
        <v>0</v>
      </c>
      <c r="AA261" s="6" t="n">
        <v>0</v>
      </c>
      <c r="AB261" s="6" t="n">
        <v>0</v>
      </c>
      <c r="AC261" s="6" t="n">
        <v>0</v>
      </c>
      <c r="AD261" s="6" t="n">
        <v>0</v>
      </c>
      <c r="AE261" s="6" t="n">
        <v>0</v>
      </c>
      <c r="AF261" s="6" t="n">
        <v>0</v>
      </c>
      <c r="AG261" s="6" t="n">
        <v>0</v>
      </c>
      <c r="AH261" s="6" t="n">
        <v>0</v>
      </c>
      <c r="AI261" s="6" t="s">
        <v>84</v>
      </c>
    </row>
    <row r="262" customFormat="false" ht="15" hidden="false" customHeight="false" outlineLevel="0" collapsed="false">
      <c r="A262" s="6" t="n">
        <v>261</v>
      </c>
      <c r="B262" s="6" t="s">
        <v>7295</v>
      </c>
      <c r="C262" s="6" t="n">
        <v>6</v>
      </c>
      <c r="D262" s="6" t="s">
        <v>127</v>
      </c>
      <c r="E262" s="6" t="s">
        <v>55</v>
      </c>
      <c r="F262" s="6" t="n">
        <v>3</v>
      </c>
      <c r="G262" s="6" t="n">
        <v>157</v>
      </c>
      <c r="H262" s="6" t="s">
        <v>7296</v>
      </c>
      <c r="I262" s="22" t="n">
        <v>1318000</v>
      </c>
      <c r="J262" s="22" t="n">
        <v>6000</v>
      </c>
      <c r="K262" s="22" t="n">
        <v>99300</v>
      </c>
      <c r="L262" s="22" t="n">
        <v>1423300</v>
      </c>
      <c r="M262" s="6" t="s">
        <v>57</v>
      </c>
      <c r="N262" s="6" t="s">
        <v>58</v>
      </c>
      <c r="O262" s="6"/>
      <c r="P262" s="6" t="s">
        <v>59</v>
      </c>
      <c r="Q262" s="6" t="str">
        <f aca="false">IF(P262="pass","No","Yes")</f>
        <v>Yes</v>
      </c>
      <c r="R262" s="6" t="s">
        <v>60</v>
      </c>
      <c r="S262" s="6" t="s">
        <v>915</v>
      </c>
      <c r="T262" s="6" t="s">
        <v>7297</v>
      </c>
      <c r="U262" s="23" t="n">
        <v>2.66</v>
      </c>
      <c r="V262" s="6" t="s">
        <v>7298</v>
      </c>
      <c r="W262" s="6" t="s">
        <v>7299</v>
      </c>
      <c r="X262" s="6" t="s">
        <v>7300</v>
      </c>
      <c r="Y262" s="6" t="s">
        <v>60</v>
      </c>
      <c r="Z262" s="6" t="n">
        <v>0</v>
      </c>
      <c r="AA262" s="6" t="n">
        <v>0</v>
      </c>
      <c r="AB262" s="6" t="n">
        <v>0</v>
      </c>
      <c r="AC262" s="6" t="n">
        <v>0</v>
      </c>
      <c r="AD262" s="6" t="n">
        <v>0</v>
      </c>
      <c r="AE262" s="6" t="n">
        <v>0</v>
      </c>
      <c r="AF262" s="6" t="n">
        <v>0</v>
      </c>
      <c r="AG262" s="6" t="n">
        <v>0</v>
      </c>
      <c r="AH262" s="6" t="n">
        <v>1</v>
      </c>
      <c r="AI262" s="6" t="s">
        <v>84</v>
      </c>
    </row>
    <row r="263" customFormat="false" ht="15" hidden="false" customHeight="false" outlineLevel="0" collapsed="false">
      <c r="A263" s="6" t="n">
        <v>262</v>
      </c>
      <c r="B263" s="6" t="s">
        <v>7301</v>
      </c>
      <c r="C263" s="6" t="n">
        <v>6</v>
      </c>
      <c r="D263" s="6" t="s">
        <v>154</v>
      </c>
      <c r="E263" s="6" t="s">
        <v>123</v>
      </c>
      <c r="F263" s="6" t="n">
        <v>1</v>
      </c>
      <c r="G263" s="6" t="n">
        <v>109</v>
      </c>
      <c r="H263" s="6" t="s">
        <v>7302</v>
      </c>
      <c r="I263" s="22" t="n">
        <v>784800</v>
      </c>
      <c r="J263" s="22" t="n">
        <v>5000</v>
      </c>
      <c r="K263" s="22" t="n">
        <v>59235</v>
      </c>
      <c r="L263" s="22" t="n">
        <v>849035</v>
      </c>
      <c r="M263" s="6" t="s">
        <v>57</v>
      </c>
      <c r="N263" s="6" t="s">
        <v>58</v>
      </c>
      <c r="O263" s="6"/>
      <c r="P263" s="6" t="s">
        <v>59</v>
      </c>
      <c r="Q263" s="6" t="str">
        <f aca="false">IF(P263="pass","No","Yes")</f>
        <v>Yes</v>
      </c>
      <c r="R263" s="6" t="s">
        <v>60</v>
      </c>
      <c r="S263" s="6" t="s">
        <v>915</v>
      </c>
      <c r="T263" s="6" t="s">
        <v>176</v>
      </c>
      <c r="U263" s="23" t="n">
        <v>2.514</v>
      </c>
      <c r="V263" s="6" t="s">
        <v>7303</v>
      </c>
      <c r="W263" s="6" t="s">
        <v>7304</v>
      </c>
      <c r="X263" s="6" t="s">
        <v>7305</v>
      </c>
      <c r="Y263" s="6" t="s">
        <v>60</v>
      </c>
      <c r="Z263" s="6" t="n">
        <v>0</v>
      </c>
      <c r="AA263" s="6" t="n">
        <v>0</v>
      </c>
      <c r="AB263" s="6" t="n">
        <v>0</v>
      </c>
      <c r="AC263" s="6" t="n">
        <v>0</v>
      </c>
      <c r="AD263" s="6" t="n">
        <v>0</v>
      </c>
      <c r="AE263" s="6" t="n">
        <v>0</v>
      </c>
      <c r="AF263" s="6" t="n">
        <v>0</v>
      </c>
      <c r="AG263" s="6" t="n">
        <v>0</v>
      </c>
      <c r="AH263" s="6" t="n">
        <v>1</v>
      </c>
      <c r="AI263" s="6" t="s">
        <v>84</v>
      </c>
    </row>
    <row r="264" customFormat="false" ht="15" hidden="false" customHeight="false" outlineLevel="0" collapsed="false">
      <c r="A264" s="6" t="n">
        <v>263</v>
      </c>
      <c r="B264" s="6" t="s">
        <v>7306</v>
      </c>
      <c r="C264" s="6" t="n">
        <v>6</v>
      </c>
      <c r="D264" s="6" t="s">
        <v>154</v>
      </c>
      <c r="E264" s="6" t="s">
        <v>123</v>
      </c>
      <c r="F264" s="6" t="n">
        <v>3</v>
      </c>
      <c r="G264" s="6" t="n">
        <v>182</v>
      </c>
      <c r="H264" s="6" t="s">
        <v>7307</v>
      </c>
      <c r="I264" s="22" t="n">
        <v>1764700</v>
      </c>
      <c r="J264" s="22" t="n">
        <v>5000</v>
      </c>
      <c r="K264" s="22" t="n">
        <v>132727.5</v>
      </c>
      <c r="L264" s="22" t="n">
        <v>1902427.5</v>
      </c>
      <c r="M264" s="6" t="s">
        <v>57</v>
      </c>
      <c r="N264" s="6" t="s">
        <v>58</v>
      </c>
      <c r="O264" s="6"/>
      <c r="P264" s="6" t="s">
        <v>59</v>
      </c>
      <c r="Q264" s="6" t="str">
        <f aca="false">IF(P264="pass","No","Yes")</f>
        <v>Yes</v>
      </c>
      <c r="R264" s="6" t="s">
        <v>60</v>
      </c>
      <c r="S264" s="6" t="s">
        <v>915</v>
      </c>
      <c r="T264" s="6" t="s">
        <v>7308</v>
      </c>
      <c r="U264" s="23" t="n">
        <v>2.68</v>
      </c>
      <c r="V264" s="6" t="s">
        <v>7309</v>
      </c>
      <c r="W264" s="6" t="s">
        <v>7310</v>
      </c>
      <c r="X264" s="6" t="s">
        <v>7311</v>
      </c>
      <c r="Y264" s="6" t="s">
        <v>60</v>
      </c>
      <c r="Z264" s="6" t="n">
        <v>0</v>
      </c>
      <c r="AA264" s="6" t="n">
        <v>0</v>
      </c>
      <c r="AB264" s="6" t="n">
        <v>0</v>
      </c>
      <c r="AC264" s="6" t="n">
        <v>0</v>
      </c>
      <c r="AD264" s="6" t="n">
        <v>0</v>
      </c>
      <c r="AE264" s="6" t="n">
        <v>0</v>
      </c>
      <c r="AF264" s="6" t="n">
        <v>0</v>
      </c>
      <c r="AG264" s="6" t="n">
        <v>0</v>
      </c>
      <c r="AH264" s="6" t="n">
        <v>1</v>
      </c>
      <c r="AI264" s="6" t="s">
        <v>84</v>
      </c>
    </row>
    <row r="265" customFormat="false" ht="15" hidden="false" customHeight="false" outlineLevel="0" collapsed="false">
      <c r="A265" s="6" t="n">
        <v>264</v>
      </c>
      <c r="B265" s="6" t="s">
        <v>7312</v>
      </c>
      <c r="C265" s="6" t="n">
        <v>6</v>
      </c>
      <c r="D265" s="6" t="s">
        <v>237</v>
      </c>
      <c r="E265" s="6" t="s">
        <v>116</v>
      </c>
      <c r="F265" s="6" t="n">
        <v>2</v>
      </c>
      <c r="G265" s="6" t="n">
        <v>34</v>
      </c>
      <c r="H265" s="6" t="s">
        <v>7313</v>
      </c>
      <c r="I265" s="22" t="n">
        <v>663500</v>
      </c>
      <c r="J265" s="22" t="n">
        <v>15000</v>
      </c>
      <c r="K265" s="22" t="n">
        <v>50887.5</v>
      </c>
      <c r="L265" s="22" t="n">
        <v>729387.5</v>
      </c>
      <c r="M265" s="6" t="s">
        <v>132</v>
      </c>
      <c r="N265" s="6" t="s">
        <v>84</v>
      </c>
      <c r="O265" s="6" t="s">
        <v>879</v>
      </c>
      <c r="P265" s="6" t="s">
        <v>85</v>
      </c>
      <c r="Q265" s="6" t="str">
        <f aca="false">IF(P265="pass","No","Yes")</f>
        <v>Yes</v>
      </c>
      <c r="R265" s="6" t="s">
        <v>86</v>
      </c>
      <c r="S265" s="6" t="s">
        <v>880</v>
      </c>
      <c r="T265" s="6" t="s">
        <v>134</v>
      </c>
      <c r="U265" s="23" t="n">
        <v>2.185</v>
      </c>
      <c r="V265" s="6" t="s">
        <v>7314</v>
      </c>
      <c r="W265" s="6" t="s">
        <v>7315</v>
      </c>
      <c r="X265" s="6" t="s">
        <v>7316</v>
      </c>
      <c r="Y265" s="6" t="s">
        <v>86</v>
      </c>
      <c r="Z265" s="6" t="n">
        <v>0</v>
      </c>
      <c r="AA265" s="6" t="n">
        <v>1</v>
      </c>
      <c r="AB265" s="6" t="n">
        <v>0</v>
      </c>
      <c r="AC265" s="6" t="n">
        <v>1</v>
      </c>
      <c r="AD265" s="6" t="n">
        <v>0</v>
      </c>
      <c r="AE265" s="6" t="n">
        <v>0</v>
      </c>
      <c r="AF265" s="6" t="n">
        <v>0</v>
      </c>
      <c r="AG265" s="6" t="n">
        <v>0</v>
      </c>
      <c r="AH265" s="6" t="n">
        <v>0</v>
      </c>
      <c r="AI265" s="6" t="s">
        <v>84</v>
      </c>
    </row>
    <row r="266" customFormat="false" ht="15" hidden="false" customHeight="false" outlineLevel="0" collapsed="false">
      <c r="A266" s="6" t="n">
        <v>265</v>
      </c>
      <c r="B266" s="6" t="s">
        <v>7317</v>
      </c>
      <c r="C266" s="6" t="n">
        <v>6</v>
      </c>
      <c r="D266" s="6" t="s">
        <v>213</v>
      </c>
      <c r="E266" s="6" t="s">
        <v>67</v>
      </c>
      <c r="F266" s="6" t="n">
        <v>3</v>
      </c>
      <c r="G266" s="6" t="n">
        <v>147</v>
      </c>
      <c r="H266" s="6" t="s">
        <v>7318</v>
      </c>
      <c r="I266" s="22" t="n">
        <v>1454000</v>
      </c>
      <c r="J266" s="22" t="n">
        <v>4500</v>
      </c>
      <c r="K266" s="22" t="n">
        <v>109387.5</v>
      </c>
      <c r="L266" s="22" t="n">
        <v>1567887.5</v>
      </c>
      <c r="M266" s="6" t="s">
        <v>152</v>
      </c>
      <c r="N266" s="6" t="s">
        <v>84</v>
      </c>
      <c r="O266" s="6" t="s">
        <v>886</v>
      </c>
      <c r="P266" s="6" t="s">
        <v>85</v>
      </c>
      <c r="Q266" s="6" t="str">
        <f aca="false">IF(P266="pass","No","Yes")</f>
        <v>Yes</v>
      </c>
      <c r="R266" s="6" t="s">
        <v>86</v>
      </c>
      <c r="S266" s="6" t="s">
        <v>886</v>
      </c>
      <c r="T266" s="6" t="s">
        <v>322</v>
      </c>
      <c r="U266" s="23" t="n">
        <v>2.199</v>
      </c>
      <c r="V266" s="6" t="s">
        <v>7319</v>
      </c>
      <c r="W266" s="6" t="s">
        <v>7320</v>
      </c>
      <c r="X266" s="6" t="s">
        <v>7321</v>
      </c>
      <c r="Y266" s="6" t="s">
        <v>86</v>
      </c>
      <c r="Z266" s="6" t="n">
        <v>0</v>
      </c>
      <c r="AA266" s="6" t="n">
        <v>0</v>
      </c>
      <c r="AB266" s="6" t="n">
        <v>1</v>
      </c>
      <c r="AC266" s="6" t="n">
        <v>0</v>
      </c>
      <c r="AD266" s="6" t="n">
        <v>0</v>
      </c>
      <c r="AE266" s="6" t="n">
        <v>0</v>
      </c>
      <c r="AF266" s="6" t="n">
        <v>0</v>
      </c>
      <c r="AG266" s="6" t="n">
        <v>0</v>
      </c>
      <c r="AH266" s="6" t="n">
        <v>0</v>
      </c>
      <c r="AI266" s="6" t="s">
        <v>84</v>
      </c>
    </row>
    <row r="267" customFormat="false" ht="15" hidden="false" customHeight="false" outlineLevel="0" collapsed="false">
      <c r="A267" s="6" t="n">
        <v>266</v>
      </c>
      <c r="B267" s="6" t="s">
        <v>7322</v>
      </c>
      <c r="C267" s="6" t="n">
        <v>6</v>
      </c>
      <c r="D267" s="6" t="s">
        <v>105</v>
      </c>
      <c r="E267" s="6" t="s">
        <v>81</v>
      </c>
      <c r="F267" s="6" t="n">
        <v>3</v>
      </c>
      <c r="G267" s="6" t="n">
        <v>160</v>
      </c>
      <c r="H267" s="6" t="s">
        <v>7323</v>
      </c>
      <c r="I267" s="22" t="n">
        <v>1934000</v>
      </c>
      <c r="J267" s="22" t="n">
        <v>4000</v>
      </c>
      <c r="K267" s="22" t="n">
        <v>145350</v>
      </c>
      <c r="L267" s="22" t="n">
        <v>2083350</v>
      </c>
      <c r="M267" s="6" t="s">
        <v>984</v>
      </c>
      <c r="N267" s="6" t="s">
        <v>84</v>
      </c>
      <c r="O267" s="6" t="s">
        <v>985</v>
      </c>
      <c r="P267" s="6" t="s">
        <v>85</v>
      </c>
      <c r="Q267" s="6" t="str">
        <f aca="false">IF(P267="pass","No","Yes")</f>
        <v>Yes</v>
      </c>
      <c r="R267" s="6" t="s">
        <v>86</v>
      </c>
      <c r="S267" s="6" t="s">
        <v>1885</v>
      </c>
      <c r="T267" s="6" t="s">
        <v>7324</v>
      </c>
      <c r="U267" s="23" t="n">
        <v>2.385</v>
      </c>
      <c r="V267" s="6" t="s">
        <v>7325</v>
      </c>
      <c r="W267" s="6" t="s">
        <v>7326</v>
      </c>
      <c r="X267" s="6" t="s">
        <v>7327</v>
      </c>
      <c r="Y267" s="6" t="s">
        <v>86</v>
      </c>
      <c r="Z267" s="6" t="n">
        <v>0</v>
      </c>
      <c r="AA267" s="6" t="n">
        <v>0</v>
      </c>
      <c r="AB267" s="6" t="n">
        <v>0</v>
      </c>
      <c r="AC267" s="6" t="n">
        <v>0</v>
      </c>
      <c r="AD267" s="6" t="n">
        <v>0</v>
      </c>
      <c r="AE267" s="6" t="n">
        <v>1</v>
      </c>
      <c r="AF267" s="6" t="n">
        <v>0</v>
      </c>
      <c r="AG267" s="6" t="n">
        <v>0</v>
      </c>
      <c r="AH267" s="6" t="n">
        <v>1</v>
      </c>
      <c r="AI267" s="6" t="s">
        <v>84</v>
      </c>
    </row>
    <row r="268" customFormat="false" ht="15" hidden="false" customHeight="false" outlineLevel="0" collapsed="false">
      <c r="A268" s="6" t="n">
        <v>267</v>
      </c>
      <c r="B268" s="6" t="s">
        <v>7328</v>
      </c>
      <c r="C268" s="6" t="n">
        <v>6</v>
      </c>
      <c r="D268" s="6" t="s">
        <v>100</v>
      </c>
      <c r="E268" s="6" t="s">
        <v>67</v>
      </c>
      <c r="F268" s="6" t="n">
        <v>3</v>
      </c>
      <c r="G268" s="6" t="n">
        <v>110</v>
      </c>
      <c r="H268" s="6" t="s">
        <v>7329</v>
      </c>
      <c r="I268" s="22" t="n">
        <v>2029100</v>
      </c>
      <c r="J268" s="22" t="n">
        <v>4500</v>
      </c>
      <c r="K268" s="22" t="n">
        <v>152520</v>
      </c>
      <c r="L268" s="22" t="n">
        <v>2186120</v>
      </c>
      <c r="M268" s="6" t="s">
        <v>1009</v>
      </c>
      <c r="N268" s="6" t="s">
        <v>58</v>
      </c>
      <c r="O268" s="6"/>
      <c r="P268" s="6" t="s">
        <v>69</v>
      </c>
      <c r="Q268" s="6" t="str">
        <f aca="false">IF(P268="pass","No","Yes")</f>
        <v>No</v>
      </c>
      <c r="R268" s="6" t="s">
        <v>60</v>
      </c>
      <c r="S268" s="6"/>
      <c r="T268" s="6"/>
      <c r="U268" s="23" t="n">
        <v>2.598</v>
      </c>
      <c r="V268" s="6" t="s">
        <v>7330</v>
      </c>
      <c r="W268" s="6" t="s">
        <v>7331</v>
      </c>
      <c r="X268" s="6" t="s">
        <v>7332</v>
      </c>
      <c r="Y268" s="6" t="s">
        <v>60</v>
      </c>
      <c r="Z268" s="6" t="n">
        <v>0</v>
      </c>
      <c r="AA268" s="6" t="n">
        <v>0</v>
      </c>
      <c r="AB268" s="6" t="n">
        <v>0</v>
      </c>
      <c r="AC268" s="6" t="n">
        <v>0</v>
      </c>
      <c r="AD268" s="6" t="n">
        <v>0</v>
      </c>
      <c r="AE268" s="6" t="n">
        <v>0</v>
      </c>
      <c r="AF268" s="6" t="n">
        <v>0</v>
      </c>
      <c r="AG268" s="6" t="n">
        <v>0</v>
      </c>
      <c r="AH268" s="6" t="n">
        <v>0</v>
      </c>
      <c r="AI268" s="6" t="s">
        <v>84</v>
      </c>
    </row>
    <row r="269" customFormat="false" ht="15" hidden="false" customHeight="false" outlineLevel="0" collapsed="false">
      <c r="A269" s="6" t="n">
        <v>268</v>
      </c>
      <c r="B269" s="6" t="s">
        <v>7333</v>
      </c>
      <c r="C269" s="6" t="n">
        <v>6</v>
      </c>
      <c r="D269" s="6" t="s">
        <v>213</v>
      </c>
      <c r="E269" s="6" t="s">
        <v>67</v>
      </c>
      <c r="F269" s="6" t="n">
        <v>1</v>
      </c>
      <c r="G269" s="6" t="n">
        <v>14</v>
      </c>
      <c r="H269" s="6" t="s">
        <v>2639</v>
      </c>
      <c r="I269" s="22" t="n">
        <v>728000</v>
      </c>
      <c r="J269" s="22" t="n">
        <v>4500</v>
      </c>
      <c r="K269" s="22" t="n">
        <v>54937.5</v>
      </c>
      <c r="L269" s="22" t="n">
        <v>787437.5</v>
      </c>
      <c r="M269" s="6" t="s">
        <v>57</v>
      </c>
      <c r="N269" s="6" t="s">
        <v>58</v>
      </c>
      <c r="O269" s="6"/>
      <c r="P269" s="6" t="s">
        <v>69</v>
      </c>
      <c r="Q269" s="6" t="str">
        <f aca="false">IF(P269="pass","No","Yes")</f>
        <v>No</v>
      </c>
      <c r="R269" s="6" t="s">
        <v>60</v>
      </c>
      <c r="S269" s="6"/>
      <c r="T269" s="6"/>
      <c r="U269" s="23" t="n">
        <v>2.581</v>
      </c>
      <c r="V269" s="6" t="s">
        <v>7334</v>
      </c>
      <c r="W269" s="6" t="s">
        <v>7335</v>
      </c>
      <c r="X269" s="6" t="s">
        <v>7336</v>
      </c>
      <c r="Y269" s="6" t="s">
        <v>60</v>
      </c>
      <c r="Z269" s="6" t="n">
        <v>0</v>
      </c>
      <c r="AA269" s="6" t="n">
        <v>0</v>
      </c>
      <c r="AB269" s="6" t="n">
        <v>0</v>
      </c>
      <c r="AC269" s="6" t="n">
        <v>0</v>
      </c>
      <c r="AD269" s="6" t="n">
        <v>0</v>
      </c>
      <c r="AE269" s="6" t="n">
        <v>0</v>
      </c>
      <c r="AF269" s="6" t="n">
        <v>0</v>
      </c>
      <c r="AG269" s="6" t="n">
        <v>0</v>
      </c>
      <c r="AH269" s="6" t="n">
        <v>0</v>
      </c>
      <c r="AI269" s="6" t="s">
        <v>84</v>
      </c>
    </row>
    <row r="270" customFormat="false" ht="15" hidden="false" customHeight="false" outlineLevel="0" collapsed="false">
      <c r="A270" s="6" t="n">
        <v>269</v>
      </c>
      <c r="B270" s="6" t="s">
        <v>7337</v>
      </c>
      <c r="C270" s="6" t="n">
        <v>6</v>
      </c>
      <c r="D270" s="6" t="s">
        <v>191</v>
      </c>
      <c r="E270" s="6" t="s">
        <v>116</v>
      </c>
      <c r="F270" s="6" t="n">
        <v>1</v>
      </c>
      <c r="G270" s="6" t="n">
        <v>44</v>
      </c>
      <c r="H270" s="6" t="s">
        <v>7338</v>
      </c>
      <c r="I270" s="22" t="n">
        <v>519200</v>
      </c>
      <c r="J270" s="22" t="n">
        <v>15000</v>
      </c>
      <c r="K270" s="22" t="n">
        <v>40065</v>
      </c>
      <c r="L270" s="22" t="n">
        <v>574265</v>
      </c>
      <c r="M270" s="6" t="s">
        <v>960</v>
      </c>
      <c r="N270" s="6" t="s">
        <v>84</v>
      </c>
      <c r="O270" s="6" t="s">
        <v>961</v>
      </c>
      <c r="P270" s="6" t="s">
        <v>85</v>
      </c>
      <c r="Q270" s="6" t="str">
        <f aca="false">IF(P270="pass","No","Yes")</f>
        <v>Yes</v>
      </c>
      <c r="R270" s="6" t="s">
        <v>86</v>
      </c>
      <c r="S270" s="6" t="s">
        <v>961</v>
      </c>
      <c r="T270" s="6" t="s">
        <v>962</v>
      </c>
      <c r="U270" s="23" t="n">
        <v>2.096</v>
      </c>
      <c r="V270" s="6" t="s">
        <v>7339</v>
      </c>
      <c r="W270" s="6" t="s">
        <v>7340</v>
      </c>
      <c r="X270" s="6" t="s">
        <v>7341</v>
      </c>
      <c r="Y270" s="6" t="s">
        <v>86</v>
      </c>
      <c r="Z270" s="6" t="n">
        <v>0</v>
      </c>
      <c r="AA270" s="6" t="n">
        <v>0</v>
      </c>
      <c r="AB270" s="6" t="n">
        <v>0</v>
      </c>
      <c r="AC270" s="6" t="n">
        <v>0</v>
      </c>
      <c r="AD270" s="6" t="n">
        <v>1</v>
      </c>
      <c r="AE270" s="6" t="n">
        <v>0</v>
      </c>
      <c r="AF270" s="6" t="n">
        <v>0</v>
      </c>
      <c r="AG270" s="6" t="n">
        <v>0</v>
      </c>
      <c r="AH270" s="6" t="n">
        <v>0</v>
      </c>
      <c r="AI270" s="6" t="s">
        <v>84</v>
      </c>
    </row>
    <row r="271" customFormat="false" ht="15" hidden="false" customHeight="false" outlineLevel="0" collapsed="false">
      <c r="A271" s="6" t="n">
        <v>270</v>
      </c>
      <c r="B271" s="6" t="s">
        <v>7342</v>
      </c>
      <c r="C271" s="6" t="n">
        <v>6</v>
      </c>
      <c r="D271" s="6" t="s">
        <v>237</v>
      </c>
      <c r="E271" s="6" t="s">
        <v>116</v>
      </c>
      <c r="F271" s="6" t="n">
        <v>3</v>
      </c>
      <c r="G271" s="6" t="n">
        <v>90</v>
      </c>
      <c r="H271" s="6" t="s">
        <v>7343</v>
      </c>
      <c r="I271" s="22" t="n">
        <v>1170400</v>
      </c>
      <c r="J271" s="22" t="n">
        <v>15000</v>
      </c>
      <c r="K271" s="22" t="n">
        <v>88905</v>
      </c>
      <c r="L271" s="22" t="n">
        <v>1274305</v>
      </c>
      <c r="M271" s="6" t="s">
        <v>57</v>
      </c>
      <c r="N271" s="6" t="s">
        <v>58</v>
      </c>
      <c r="O271" s="6"/>
      <c r="P271" s="6" t="s">
        <v>69</v>
      </c>
      <c r="Q271" s="6" t="str">
        <f aca="false">IF(P271="pass","No","Yes")</f>
        <v>No</v>
      </c>
      <c r="R271" s="6" t="s">
        <v>60</v>
      </c>
      <c r="S271" s="6"/>
      <c r="T271" s="6"/>
      <c r="U271" s="23" t="n">
        <v>2.699</v>
      </c>
      <c r="V271" s="6" t="s">
        <v>7344</v>
      </c>
      <c r="W271" s="6" t="s">
        <v>7345</v>
      </c>
      <c r="X271" s="6" t="s">
        <v>7346</v>
      </c>
      <c r="Y271" s="6" t="s">
        <v>60</v>
      </c>
      <c r="Z271" s="6" t="n">
        <v>0</v>
      </c>
      <c r="AA271" s="6" t="n">
        <v>0</v>
      </c>
      <c r="AB271" s="6" t="n">
        <v>0</v>
      </c>
      <c r="AC271" s="6" t="n">
        <v>0</v>
      </c>
      <c r="AD271" s="6" t="n">
        <v>0</v>
      </c>
      <c r="AE271" s="6" t="n">
        <v>0</v>
      </c>
      <c r="AF271" s="6" t="n">
        <v>0</v>
      </c>
      <c r="AG271" s="6" t="n">
        <v>0</v>
      </c>
      <c r="AH271" s="6" t="n">
        <v>0</v>
      </c>
      <c r="AI271" s="6" t="s">
        <v>84</v>
      </c>
    </row>
    <row r="272" customFormat="false" ht="15" hidden="false" customHeight="false" outlineLevel="0" collapsed="false">
      <c r="A272" s="6" t="n">
        <v>271</v>
      </c>
      <c r="B272" s="6" t="s">
        <v>7347</v>
      </c>
      <c r="C272" s="6" t="n">
        <v>6</v>
      </c>
      <c r="D272" s="6" t="s">
        <v>177</v>
      </c>
      <c r="E272" s="6" t="s">
        <v>81</v>
      </c>
      <c r="F272" s="6" t="n">
        <v>2</v>
      </c>
      <c r="G272" s="6" t="n">
        <v>401</v>
      </c>
      <c r="H272" s="6" t="s">
        <v>7348</v>
      </c>
      <c r="I272" s="22" t="n">
        <v>5192500</v>
      </c>
      <c r="J272" s="22" t="n">
        <v>4000</v>
      </c>
      <c r="K272" s="22" t="n">
        <v>389737.5</v>
      </c>
      <c r="L272" s="22" t="n">
        <v>5586237.5</v>
      </c>
      <c r="M272" s="6" t="s">
        <v>171</v>
      </c>
      <c r="N272" s="6" t="s">
        <v>84</v>
      </c>
      <c r="O272" s="6" t="s">
        <v>892</v>
      </c>
      <c r="P272" s="6" t="s">
        <v>85</v>
      </c>
      <c r="Q272" s="6" t="str">
        <f aca="false">IF(P272="pass","No","Yes")</f>
        <v>Yes</v>
      </c>
      <c r="R272" s="6" t="s">
        <v>86</v>
      </c>
      <c r="S272" s="6" t="s">
        <v>892</v>
      </c>
      <c r="T272" s="6" t="s">
        <v>618</v>
      </c>
      <c r="U272" s="23" t="n">
        <v>2.318</v>
      </c>
      <c r="V272" s="6" t="s">
        <v>7349</v>
      </c>
      <c r="W272" s="6" t="s">
        <v>7350</v>
      </c>
      <c r="X272" s="6" t="s">
        <v>7351</v>
      </c>
      <c r="Y272" s="6" t="s">
        <v>86</v>
      </c>
      <c r="Z272" s="6" t="n">
        <v>0</v>
      </c>
      <c r="AA272" s="6" t="n">
        <v>0</v>
      </c>
      <c r="AB272" s="6" t="n">
        <v>0</v>
      </c>
      <c r="AC272" s="6" t="n">
        <v>1</v>
      </c>
      <c r="AD272" s="6" t="n">
        <v>0</v>
      </c>
      <c r="AE272" s="6" t="n">
        <v>0</v>
      </c>
      <c r="AF272" s="6" t="n">
        <v>0</v>
      </c>
      <c r="AG272" s="6" t="n">
        <v>0</v>
      </c>
      <c r="AH272" s="6" t="n">
        <v>0</v>
      </c>
      <c r="AI272" s="6" t="s">
        <v>84</v>
      </c>
    </row>
    <row r="273" customFormat="false" ht="15" hidden="false" customHeight="false" outlineLevel="0" collapsed="false">
      <c r="A273" s="6" t="n">
        <v>272</v>
      </c>
      <c r="B273" s="6" t="s">
        <v>7352</v>
      </c>
      <c r="C273" s="6" t="n">
        <v>6</v>
      </c>
      <c r="D273" s="6" t="s">
        <v>137</v>
      </c>
      <c r="E273" s="6" t="s">
        <v>55</v>
      </c>
      <c r="F273" s="6" t="n">
        <v>2</v>
      </c>
      <c r="G273" s="6" t="n">
        <v>22</v>
      </c>
      <c r="H273" s="6" t="s">
        <v>7353</v>
      </c>
      <c r="I273" s="22" t="n">
        <v>229800</v>
      </c>
      <c r="J273" s="22" t="n">
        <v>6000</v>
      </c>
      <c r="K273" s="22" t="n">
        <v>17685</v>
      </c>
      <c r="L273" s="22" t="n">
        <v>253485</v>
      </c>
      <c r="M273" s="6" t="s">
        <v>57</v>
      </c>
      <c r="N273" s="6" t="s">
        <v>58</v>
      </c>
      <c r="O273" s="6"/>
      <c r="P273" s="6" t="s">
        <v>69</v>
      </c>
      <c r="Q273" s="6" t="str">
        <f aca="false">IF(P273="pass","No","Yes")</f>
        <v>No</v>
      </c>
      <c r="R273" s="6" t="s">
        <v>60</v>
      </c>
      <c r="S273" s="6"/>
      <c r="T273" s="6"/>
      <c r="U273" s="23" t="n">
        <v>2.815</v>
      </c>
      <c r="V273" s="6" t="s">
        <v>7354</v>
      </c>
      <c r="W273" s="6" t="s">
        <v>7355</v>
      </c>
      <c r="X273" s="6" t="s">
        <v>7356</v>
      </c>
      <c r="Y273" s="6" t="s">
        <v>60</v>
      </c>
      <c r="Z273" s="6" t="n">
        <v>0</v>
      </c>
      <c r="AA273" s="6" t="n">
        <v>0</v>
      </c>
      <c r="AB273" s="6" t="n">
        <v>0</v>
      </c>
      <c r="AC273" s="6" t="n">
        <v>0</v>
      </c>
      <c r="AD273" s="6" t="n">
        <v>0</v>
      </c>
      <c r="AE273" s="6" t="n">
        <v>0</v>
      </c>
      <c r="AF273" s="6" t="n">
        <v>0</v>
      </c>
      <c r="AG273" s="6" t="n">
        <v>0</v>
      </c>
      <c r="AH273" s="6" t="n">
        <v>0</v>
      </c>
      <c r="AI273" s="6" t="s">
        <v>84</v>
      </c>
    </row>
    <row r="274" customFormat="false" ht="15" hidden="false" customHeight="false" outlineLevel="0" collapsed="false">
      <c r="A274" s="6" t="n">
        <v>273</v>
      </c>
      <c r="B274" s="6" t="s">
        <v>7357</v>
      </c>
      <c r="C274" s="6" t="n">
        <v>6</v>
      </c>
      <c r="D274" s="6" t="s">
        <v>127</v>
      </c>
      <c r="E274" s="6" t="s">
        <v>55</v>
      </c>
      <c r="F274" s="6" t="n">
        <v>2</v>
      </c>
      <c r="G274" s="6" t="n">
        <v>15</v>
      </c>
      <c r="H274" s="6" t="s">
        <v>7358</v>
      </c>
      <c r="I274" s="22" t="n">
        <v>77000</v>
      </c>
      <c r="J274" s="22" t="n">
        <v>6000</v>
      </c>
      <c r="K274" s="22" t="n">
        <v>6225</v>
      </c>
      <c r="L274" s="22" t="n">
        <v>89225</v>
      </c>
      <c r="M274" s="6" t="s">
        <v>171</v>
      </c>
      <c r="N274" s="6" t="s">
        <v>84</v>
      </c>
      <c r="O274" s="6" t="s">
        <v>892</v>
      </c>
      <c r="P274" s="6" t="s">
        <v>85</v>
      </c>
      <c r="Q274" s="6" t="str">
        <f aca="false">IF(P274="pass","No","Yes")</f>
        <v>Yes</v>
      </c>
      <c r="R274" s="6" t="s">
        <v>86</v>
      </c>
      <c r="S274" s="6" t="s">
        <v>892</v>
      </c>
      <c r="T274" s="6" t="s">
        <v>242</v>
      </c>
      <c r="U274" s="23" t="n">
        <v>2.234</v>
      </c>
      <c r="V274" s="6" t="s">
        <v>7359</v>
      </c>
      <c r="W274" s="6" t="s">
        <v>7360</v>
      </c>
      <c r="X274" s="6" t="s">
        <v>7361</v>
      </c>
      <c r="Y274" s="6" t="s">
        <v>86</v>
      </c>
      <c r="Z274" s="6" t="n">
        <v>0</v>
      </c>
      <c r="AA274" s="6" t="n">
        <v>0</v>
      </c>
      <c r="AB274" s="6" t="n">
        <v>0</v>
      </c>
      <c r="AC274" s="6" t="n">
        <v>1</v>
      </c>
      <c r="AD274" s="6" t="n">
        <v>0</v>
      </c>
      <c r="AE274" s="6" t="n">
        <v>0</v>
      </c>
      <c r="AF274" s="6" t="n">
        <v>0</v>
      </c>
      <c r="AG274" s="6" t="n">
        <v>0</v>
      </c>
      <c r="AH274" s="6" t="n">
        <v>0</v>
      </c>
      <c r="AI274" s="6" t="s">
        <v>84</v>
      </c>
    </row>
    <row r="275" customFormat="false" ht="15" hidden="false" customHeight="false" outlineLevel="0" collapsed="false">
      <c r="A275" s="6" t="n">
        <v>274</v>
      </c>
      <c r="B275" s="6" t="s">
        <v>7362</v>
      </c>
      <c r="C275" s="6" t="n">
        <v>6</v>
      </c>
      <c r="D275" s="6" t="s">
        <v>213</v>
      </c>
      <c r="E275" s="6" t="s">
        <v>67</v>
      </c>
      <c r="F275" s="6" t="n">
        <v>1</v>
      </c>
      <c r="G275" s="6" t="n">
        <v>69</v>
      </c>
      <c r="H275" s="6" t="s">
        <v>7363</v>
      </c>
      <c r="I275" s="22" t="n">
        <v>1000500</v>
      </c>
      <c r="J275" s="22" t="n">
        <v>4500</v>
      </c>
      <c r="K275" s="22" t="n">
        <v>75375</v>
      </c>
      <c r="L275" s="22" t="n">
        <v>1080375</v>
      </c>
      <c r="M275" s="6" t="s">
        <v>57</v>
      </c>
      <c r="N275" s="6" t="s">
        <v>58</v>
      </c>
      <c r="O275" s="6"/>
      <c r="P275" s="6" t="s">
        <v>59</v>
      </c>
      <c r="Q275" s="6" t="str">
        <f aca="false">IF(P275="pass","No","Yes")</f>
        <v>Yes</v>
      </c>
      <c r="R275" s="6" t="s">
        <v>60</v>
      </c>
      <c r="S275" s="6" t="s">
        <v>915</v>
      </c>
      <c r="T275" s="6" t="s">
        <v>7364</v>
      </c>
      <c r="U275" s="23" t="n">
        <v>2.555</v>
      </c>
      <c r="V275" s="6" t="s">
        <v>7365</v>
      </c>
      <c r="W275" s="6" t="s">
        <v>7366</v>
      </c>
      <c r="X275" s="6" t="s">
        <v>7367</v>
      </c>
      <c r="Y275" s="6" t="s">
        <v>60</v>
      </c>
      <c r="Z275" s="6" t="n">
        <v>0</v>
      </c>
      <c r="AA275" s="6" t="n">
        <v>0</v>
      </c>
      <c r="AB275" s="6" t="n">
        <v>0</v>
      </c>
      <c r="AC275" s="6" t="n">
        <v>0</v>
      </c>
      <c r="AD275" s="6" t="n">
        <v>0</v>
      </c>
      <c r="AE275" s="6" t="n">
        <v>0</v>
      </c>
      <c r="AF275" s="6" t="n">
        <v>0</v>
      </c>
      <c r="AG275" s="6" t="n">
        <v>0</v>
      </c>
      <c r="AH275" s="6" t="n">
        <v>1</v>
      </c>
      <c r="AI275" s="6" t="s">
        <v>84</v>
      </c>
    </row>
    <row r="276" customFormat="false" ht="15" hidden="false" customHeight="false" outlineLevel="0" collapsed="false">
      <c r="A276" s="6" t="n">
        <v>275</v>
      </c>
      <c r="B276" s="6" t="s">
        <v>7368</v>
      </c>
      <c r="C276" s="6" t="n">
        <v>6</v>
      </c>
      <c r="D276" s="6" t="s">
        <v>119</v>
      </c>
      <c r="E276" s="6" t="s">
        <v>123</v>
      </c>
      <c r="F276" s="6" t="n">
        <v>2</v>
      </c>
      <c r="G276" s="6" t="n">
        <v>7</v>
      </c>
      <c r="H276" s="6" t="s">
        <v>7369</v>
      </c>
      <c r="I276" s="22" t="n">
        <v>142800</v>
      </c>
      <c r="J276" s="22" t="n">
        <v>5000</v>
      </c>
      <c r="K276" s="22" t="n">
        <v>11085</v>
      </c>
      <c r="L276" s="22" t="n">
        <v>158885</v>
      </c>
      <c r="M276" s="6" t="s">
        <v>83</v>
      </c>
      <c r="N276" s="6" t="s">
        <v>84</v>
      </c>
      <c r="O276" s="6" t="s">
        <v>886</v>
      </c>
      <c r="P276" s="6" t="s">
        <v>85</v>
      </c>
      <c r="Q276" s="6" t="str">
        <f aca="false">IF(P276="pass","No","Yes")</f>
        <v>Yes</v>
      </c>
      <c r="R276" s="6" t="s">
        <v>86</v>
      </c>
      <c r="S276" s="6" t="s">
        <v>886</v>
      </c>
      <c r="T276" s="6" t="s">
        <v>488</v>
      </c>
      <c r="U276" s="23" t="n">
        <v>2.142</v>
      </c>
      <c r="V276" s="6" t="s">
        <v>7370</v>
      </c>
      <c r="W276" s="6" t="s">
        <v>7371</v>
      </c>
      <c r="X276" s="6" t="s">
        <v>7372</v>
      </c>
      <c r="Y276" s="6" t="s">
        <v>86</v>
      </c>
      <c r="Z276" s="6" t="n">
        <v>0</v>
      </c>
      <c r="AA276" s="6" t="n">
        <v>0</v>
      </c>
      <c r="AB276" s="6" t="n">
        <v>1</v>
      </c>
      <c r="AC276" s="6" t="n">
        <v>0</v>
      </c>
      <c r="AD276" s="6" t="n">
        <v>0</v>
      </c>
      <c r="AE276" s="6" t="n">
        <v>0</v>
      </c>
      <c r="AF276" s="6" t="n">
        <v>0</v>
      </c>
      <c r="AG276" s="6" t="n">
        <v>0</v>
      </c>
      <c r="AH276" s="6" t="n">
        <v>0</v>
      </c>
      <c r="AI276" s="6" t="s">
        <v>84</v>
      </c>
    </row>
    <row r="277" customFormat="false" ht="15" hidden="false" customHeight="false" outlineLevel="0" collapsed="false">
      <c r="A277" s="6" t="n">
        <v>276</v>
      </c>
      <c r="B277" s="6" t="s">
        <v>7373</v>
      </c>
      <c r="C277" s="6" t="n">
        <v>6</v>
      </c>
      <c r="D277" s="6" t="s">
        <v>237</v>
      </c>
      <c r="E277" s="6" t="s">
        <v>116</v>
      </c>
      <c r="F277" s="6" t="n">
        <v>2</v>
      </c>
      <c r="G277" s="6" t="n">
        <v>53</v>
      </c>
      <c r="H277" s="6" t="s">
        <v>7374</v>
      </c>
      <c r="I277" s="22" t="n">
        <v>747700</v>
      </c>
      <c r="J277" s="22" t="n">
        <v>15000</v>
      </c>
      <c r="K277" s="22" t="n">
        <v>57202.5</v>
      </c>
      <c r="L277" s="22" t="n">
        <v>819902.5</v>
      </c>
      <c r="M277" s="6" t="s">
        <v>57</v>
      </c>
      <c r="N277" s="6" t="s">
        <v>58</v>
      </c>
      <c r="O277" s="6"/>
      <c r="P277" s="6" t="s">
        <v>69</v>
      </c>
      <c r="Q277" s="6" t="str">
        <f aca="false">IF(P277="pass","No","Yes")</f>
        <v>No</v>
      </c>
      <c r="R277" s="6" t="s">
        <v>60</v>
      </c>
      <c r="S277" s="6"/>
      <c r="T277" s="6"/>
      <c r="U277" s="23" t="n">
        <v>2.521</v>
      </c>
      <c r="V277" s="6" t="s">
        <v>7375</v>
      </c>
      <c r="W277" s="6" t="s">
        <v>7376</v>
      </c>
      <c r="X277" s="6" t="s">
        <v>7377</v>
      </c>
      <c r="Y277" s="6" t="s">
        <v>60</v>
      </c>
      <c r="Z277" s="6" t="n">
        <v>0</v>
      </c>
      <c r="AA277" s="6" t="n">
        <v>0</v>
      </c>
      <c r="AB277" s="6" t="n">
        <v>0</v>
      </c>
      <c r="AC277" s="6" t="n">
        <v>0</v>
      </c>
      <c r="AD277" s="6" t="n">
        <v>0</v>
      </c>
      <c r="AE277" s="6" t="n">
        <v>0</v>
      </c>
      <c r="AF277" s="6" t="n">
        <v>0</v>
      </c>
      <c r="AG277" s="6" t="n">
        <v>0</v>
      </c>
      <c r="AH277" s="6" t="n">
        <v>0</v>
      </c>
      <c r="AI277" s="6" t="s">
        <v>84</v>
      </c>
    </row>
    <row r="278" customFormat="false" ht="15" hidden="false" customHeight="false" outlineLevel="0" collapsed="false">
      <c r="A278" s="6" t="n">
        <v>277</v>
      </c>
      <c r="B278" s="6" t="s">
        <v>7378</v>
      </c>
      <c r="C278" s="6" t="n">
        <v>6</v>
      </c>
      <c r="D278" s="6" t="s">
        <v>186</v>
      </c>
      <c r="E278" s="6" t="s">
        <v>123</v>
      </c>
      <c r="F278" s="6" t="n">
        <v>1</v>
      </c>
      <c r="G278" s="6" t="n">
        <v>2</v>
      </c>
      <c r="H278" s="6" t="s">
        <v>959</v>
      </c>
      <c r="I278" s="22" t="n">
        <v>8200</v>
      </c>
      <c r="J278" s="22" t="n">
        <v>5000</v>
      </c>
      <c r="K278" s="22" t="n">
        <v>990</v>
      </c>
      <c r="L278" s="22" t="n">
        <v>14190</v>
      </c>
      <c r="M278" s="6" t="s">
        <v>57</v>
      </c>
      <c r="N278" s="6" t="s">
        <v>58</v>
      </c>
      <c r="O278" s="6"/>
      <c r="P278" s="6" t="s">
        <v>69</v>
      </c>
      <c r="Q278" s="6" t="str">
        <f aca="false">IF(P278="pass","No","Yes")</f>
        <v>No</v>
      </c>
      <c r="R278" s="6" t="s">
        <v>60</v>
      </c>
      <c r="S278" s="6"/>
      <c r="T278" s="6"/>
      <c r="U278" s="23" t="n">
        <v>2.734</v>
      </c>
      <c r="V278" s="6" t="s">
        <v>7379</v>
      </c>
      <c r="W278" s="6" t="s">
        <v>7380</v>
      </c>
      <c r="X278" s="6" t="s">
        <v>7381</v>
      </c>
      <c r="Y278" s="6" t="s">
        <v>60</v>
      </c>
      <c r="Z278" s="6" t="n">
        <v>0</v>
      </c>
      <c r="AA278" s="6" t="n">
        <v>0</v>
      </c>
      <c r="AB278" s="6" t="n">
        <v>0</v>
      </c>
      <c r="AC278" s="6" t="n">
        <v>0</v>
      </c>
      <c r="AD278" s="6" t="n">
        <v>0</v>
      </c>
      <c r="AE278" s="6" t="n">
        <v>0</v>
      </c>
      <c r="AF278" s="6" t="n">
        <v>0</v>
      </c>
      <c r="AG278" s="6" t="n">
        <v>0</v>
      </c>
      <c r="AH278" s="6" t="n">
        <v>0</v>
      </c>
      <c r="AI278" s="6" t="s">
        <v>84</v>
      </c>
    </row>
    <row r="279" customFormat="false" ht="15" hidden="false" customHeight="false" outlineLevel="0" collapsed="false">
      <c r="A279" s="6" t="n">
        <v>278</v>
      </c>
      <c r="B279" s="6" t="s">
        <v>7382</v>
      </c>
      <c r="C279" s="6" t="n">
        <v>6</v>
      </c>
      <c r="D279" s="6" t="s">
        <v>119</v>
      </c>
      <c r="E279" s="6" t="s">
        <v>123</v>
      </c>
      <c r="F279" s="6" t="n">
        <v>2</v>
      </c>
      <c r="G279" s="6" t="n">
        <v>349</v>
      </c>
      <c r="H279" s="6" t="s">
        <v>7383</v>
      </c>
      <c r="I279" s="22" t="n">
        <v>3492500</v>
      </c>
      <c r="J279" s="22" t="n">
        <v>5000</v>
      </c>
      <c r="K279" s="22" t="n">
        <v>262312.5</v>
      </c>
      <c r="L279" s="22" t="n">
        <v>3759812.5</v>
      </c>
      <c r="M279" s="6" t="s">
        <v>927</v>
      </c>
      <c r="N279" s="6" t="s">
        <v>58</v>
      </c>
      <c r="O279" s="6"/>
      <c r="P279" s="6" t="s">
        <v>59</v>
      </c>
      <c r="Q279" s="6" t="str">
        <f aca="false">IF(P279="pass","No","Yes")</f>
        <v>Yes</v>
      </c>
      <c r="R279" s="6" t="s">
        <v>60</v>
      </c>
      <c r="S279" s="6" t="s">
        <v>915</v>
      </c>
      <c r="T279" s="6" t="s">
        <v>7384</v>
      </c>
      <c r="U279" s="23" t="n">
        <v>2.579</v>
      </c>
      <c r="V279" s="6" t="s">
        <v>7385</v>
      </c>
      <c r="W279" s="6" t="s">
        <v>7386</v>
      </c>
      <c r="X279" s="6" t="s">
        <v>7387</v>
      </c>
      <c r="Y279" s="6" t="s">
        <v>60</v>
      </c>
      <c r="Z279" s="6" t="n">
        <v>0</v>
      </c>
      <c r="AA279" s="6" t="n">
        <v>0</v>
      </c>
      <c r="AB279" s="6" t="n">
        <v>0</v>
      </c>
      <c r="AC279" s="6" t="n">
        <v>0</v>
      </c>
      <c r="AD279" s="6" t="n">
        <v>0</v>
      </c>
      <c r="AE279" s="6" t="n">
        <v>0</v>
      </c>
      <c r="AF279" s="6" t="n">
        <v>0</v>
      </c>
      <c r="AG279" s="6" t="n">
        <v>0</v>
      </c>
      <c r="AH279" s="6" t="n">
        <v>1</v>
      </c>
      <c r="AI279" s="6" t="s">
        <v>84</v>
      </c>
    </row>
    <row r="280" customFormat="false" ht="15" hidden="false" customHeight="false" outlineLevel="0" collapsed="false">
      <c r="A280" s="6" t="n">
        <v>279</v>
      </c>
      <c r="B280" s="6" t="s">
        <v>7388</v>
      </c>
      <c r="C280" s="6" t="n">
        <v>6</v>
      </c>
      <c r="D280" s="6" t="s">
        <v>119</v>
      </c>
      <c r="E280" s="6" t="s">
        <v>123</v>
      </c>
      <c r="F280" s="6" t="n">
        <v>3</v>
      </c>
      <c r="G280" s="6" t="n">
        <v>83</v>
      </c>
      <c r="H280" s="6" t="s">
        <v>7389</v>
      </c>
      <c r="I280" s="22" t="n">
        <v>1191000</v>
      </c>
      <c r="J280" s="22" t="n">
        <v>5000</v>
      </c>
      <c r="K280" s="22" t="n">
        <v>89700</v>
      </c>
      <c r="L280" s="22" t="n">
        <v>1285700</v>
      </c>
      <c r="M280" s="6" t="s">
        <v>57</v>
      </c>
      <c r="N280" s="6" t="s">
        <v>58</v>
      </c>
      <c r="O280" s="6"/>
      <c r="P280" s="6" t="s">
        <v>69</v>
      </c>
      <c r="Q280" s="6" t="str">
        <f aca="false">IF(P280="pass","No","Yes")</f>
        <v>No</v>
      </c>
      <c r="R280" s="6" t="s">
        <v>60</v>
      </c>
      <c r="S280" s="6"/>
      <c r="T280" s="6"/>
      <c r="U280" s="23" t="n">
        <v>2.606</v>
      </c>
      <c r="V280" s="6" t="s">
        <v>7390</v>
      </c>
      <c r="W280" s="6" t="s">
        <v>7391</v>
      </c>
      <c r="X280" s="6" t="s">
        <v>7392</v>
      </c>
      <c r="Y280" s="6" t="s">
        <v>60</v>
      </c>
      <c r="Z280" s="6" t="n">
        <v>0</v>
      </c>
      <c r="AA280" s="6" t="n">
        <v>0</v>
      </c>
      <c r="AB280" s="6" t="n">
        <v>0</v>
      </c>
      <c r="AC280" s="6" t="n">
        <v>0</v>
      </c>
      <c r="AD280" s="6" t="n">
        <v>0</v>
      </c>
      <c r="AE280" s="6" t="n">
        <v>0</v>
      </c>
      <c r="AF280" s="6" t="n">
        <v>0</v>
      </c>
      <c r="AG280" s="6" t="n">
        <v>0</v>
      </c>
      <c r="AH280" s="6" t="n">
        <v>0</v>
      </c>
      <c r="AI280" s="6" t="s">
        <v>84</v>
      </c>
    </row>
    <row r="281" customFormat="false" ht="15" hidden="false" customHeight="false" outlineLevel="0" collapsed="false">
      <c r="A281" s="6" t="n">
        <v>280</v>
      </c>
      <c r="B281" s="6" t="s">
        <v>7393</v>
      </c>
      <c r="C281" s="6" t="n">
        <v>6</v>
      </c>
      <c r="D281" s="6" t="s">
        <v>237</v>
      </c>
      <c r="E281" s="6" t="s">
        <v>116</v>
      </c>
      <c r="F281" s="6" t="n">
        <v>1</v>
      </c>
      <c r="G281" s="6" t="n">
        <v>6</v>
      </c>
      <c r="H281" s="6" t="s">
        <v>1416</v>
      </c>
      <c r="I281" s="22" t="n">
        <v>228000</v>
      </c>
      <c r="J281" s="22" t="n">
        <v>15000</v>
      </c>
      <c r="K281" s="22" t="n">
        <v>18225</v>
      </c>
      <c r="L281" s="22" t="n">
        <v>261225</v>
      </c>
      <c r="M281" s="6" t="s">
        <v>57</v>
      </c>
      <c r="N281" s="6" t="s">
        <v>58</v>
      </c>
      <c r="O281" s="6"/>
      <c r="P281" s="6" t="s">
        <v>69</v>
      </c>
      <c r="Q281" s="6" t="str">
        <f aca="false">IF(P281="pass","No","Yes")</f>
        <v>No</v>
      </c>
      <c r="R281" s="6" t="s">
        <v>60</v>
      </c>
      <c r="S281" s="6"/>
      <c r="T281" s="6"/>
      <c r="U281" s="23" t="n">
        <v>2.56</v>
      </c>
      <c r="V281" s="6" t="s">
        <v>7394</v>
      </c>
      <c r="W281" s="6" t="s">
        <v>7395</v>
      </c>
      <c r="X281" s="6" t="s">
        <v>7396</v>
      </c>
      <c r="Y281" s="6" t="s">
        <v>60</v>
      </c>
      <c r="Z281" s="6" t="n">
        <v>0</v>
      </c>
      <c r="AA281" s="6" t="n">
        <v>0</v>
      </c>
      <c r="AB281" s="6" t="n">
        <v>0</v>
      </c>
      <c r="AC281" s="6" t="n">
        <v>0</v>
      </c>
      <c r="AD281" s="6" t="n">
        <v>0</v>
      </c>
      <c r="AE281" s="6" t="n">
        <v>0</v>
      </c>
      <c r="AF281" s="6" t="n">
        <v>0</v>
      </c>
      <c r="AG281" s="6" t="n">
        <v>0</v>
      </c>
      <c r="AH281" s="6" t="n">
        <v>0</v>
      </c>
      <c r="AI281" s="6" t="s">
        <v>84</v>
      </c>
    </row>
    <row r="282" customFormat="false" ht="15" hidden="false" customHeight="false" outlineLevel="0" collapsed="false">
      <c r="A282" s="6" t="n">
        <v>281</v>
      </c>
      <c r="B282" s="6" t="s">
        <v>7397</v>
      </c>
      <c r="C282" s="6" t="n">
        <v>6</v>
      </c>
      <c r="D282" s="6" t="s">
        <v>63</v>
      </c>
      <c r="E282" s="6" t="s">
        <v>67</v>
      </c>
      <c r="F282" s="6" t="n">
        <v>1</v>
      </c>
      <c r="G282" s="6" t="n">
        <v>39</v>
      </c>
      <c r="H282" s="6" t="s">
        <v>7398</v>
      </c>
      <c r="I282" s="22" t="n">
        <v>335400</v>
      </c>
      <c r="J282" s="22" t="n">
        <v>4500</v>
      </c>
      <c r="K282" s="22" t="n">
        <v>25492.5</v>
      </c>
      <c r="L282" s="22" t="n">
        <v>365392.5</v>
      </c>
      <c r="M282" s="6" t="s">
        <v>960</v>
      </c>
      <c r="N282" s="6" t="s">
        <v>84</v>
      </c>
      <c r="O282" s="6" t="s">
        <v>961</v>
      </c>
      <c r="P282" s="6" t="s">
        <v>85</v>
      </c>
      <c r="Q282" s="6" t="str">
        <f aca="false">IF(P282="pass","No","Yes")</f>
        <v>Yes</v>
      </c>
      <c r="R282" s="6" t="s">
        <v>86</v>
      </c>
      <c r="S282" s="6" t="s">
        <v>961</v>
      </c>
      <c r="T282" s="6" t="s">
        <v>962</v>
      </c>
      <c r="U282" s="23" t="n">
        <v>2.042</v>
      </c>
      <c r="V282" s="6" t="s">
        <v>7399</v>
      </c>
      <c r="W282" s="6" t="s">
        <v>7400</v>
      </c>
      <c r="X282" s="6" t="s">
        <v>7401</v>
      </c>
      <c r="Y282" s="6" t="s">
        <v>86</v>
      </c>
      <c r="Z282" s="6" t="n">
        <v>0</v>
      </c>
      <c r="AA282" s="6" t="n">
        <v>0</v>
      </c>
      <c r="AB282" s="6" t="n">
        <v>0</v>
      </c>
      <c r="AC282" s="6" t="n">
        <v>0</v>
      </c>
      <c r="AD282" s="6" t="n">
        <v>1</v>
      </c>
      <c r="AE282" s="6" t="n">
        <v>0</v>
      </c>
      <c r="AF282" s="6" t="n">
        <v>0</v>
      </c>
      <c r="AG282" s="6" t="n">
        <v>0</v>
      </c>
      <c r="AH282" s="6" t="n">
        <v>0</v>
      </c>
      <c r="AI282" s="6" t="s">
        <v>84</v>
      </c>
    </row>
    <row r="283" customFormat="false" ht="15" hidden="false" customHeight="false" outlineLevel="0" collapsed="false">
      <c r="A283" s="6" t="n">
        <v>282</v>
      </c>
      <c r="B283" s="6" t="s">
        <v>7402</v>
      </c>
      <c r="C283" s="6" t="n">
        <v>6</v>
      </c>
      <c r="D283" s="6" t="s">
        <v>154</v>
      </c>
      <c r="E283" s="6" t="s">
        <v>123</v>
      </c>
      <c r="F283" s="6" t="n">
        <v>3</v>
      </c>
      <c r="G283" s="6" t="n">
        <v>69</v>
      </c>
      <c r="H283" s="6" t="s">
        <v>7403</v>
      </c>
      <c r="I283" s="22" t="n">
        <v>601000</v>
      </c>
      <c r="J283" s="22" t="n">
        <v>5000</v>
      </c>
      <c r="K283" s="22" t="n">
        <v>45450</v>
      </c>
      <c r="L283" s="22" t="n">
        <v>651450</v>
      </c>
      <c r="M283" s="6" t="s">
        <v>94</v>
      </c>
      <c r="N283" s="6" t="s">
        <v>84</v>
      </c>
      <c r="O283" s="6" t="s">
        <v>909</v>
      </c>
      <c r="P283" s="6" t="s">
        <v>85</v>
      </c>
      <c r="Q283" s="6" t="str">
        <f aca="false">IF(P283="pass","No","Yes")</f>
        <v>Yes</v>
      </c>
      <c r="R283" s="6" t="s">
        <v>86</v>
      </c>
      <c r="S283" s="6" t="s">
        <v>909</v>
      </c>
      <c r="T283" s="6" t="s">
        <v>254</v>
      </c>
      <c r="U283" s="23" t="n">
        <v>2.328</v>
      </c>
      <c r="V283" s="6" t="s">
        <v>7404</v>
      </c>
      <c r="W283" s="6" t="s">
        <v>7405</v>
      </c>
      <c r="X283" s="6" t="s">
        <v>7406</v>
      </c>
      <c r="Y283" s="6" t="s">
        <v>86</v>
      </c>
      <c r="Z283" s="6" t="n">
        <v>0</v>
      </c>
      <c r="AA283" s="6" t="n">
        <v>0</v>
      </c>
      <c r="AB283" s="6" t="n">
        <v>0</v>
      </c>
      <c r="AC283" s="6" t="n">
        <v>0</v>
      </c>
      <c r="AD283" s="6" t="n">
        <v>0</v>
      </c>
      <c r="AE283" s="6" t="n">
        <v>0</v>
      </c>
      <c r="AF283" s="6" t="n">
        <v>1</v>
      </c>
      <c r="AG283" s="6" t="n">
        <v>0</v>
      </c>
      <c r="AH283" s="6" t="n">
        <v>0</v>
      </c>
      <c r="AI283" s="6" t="s">
        <v>84</v>
      </c>
    </row>
    <row r="284" customFormat="false" ht="15" hidden="false" customHeight="false" outlineLevel="0" collapsed="false">
      <c r="A284" s="6" t="n">
        <v>283</v>
      </c>
      <c r="B284" s="6" t="s">
        <v>7407</v>
      </c>
      <c r="C284" s="6" t="n">
        <v>6</v>
      </c>
      <c r="D284" s="6" t="s">
        <v>177</v>
      </c>
      <c r="E284" s="6" t="s">
        <v>81</v>
      </c>
      <c r="F284" s="6" t="n">
        <v>1</v>
      </c>
      <c r="G284" s="6" t="n">
        <v>2</v>
      </c>
      <c r="H284" s="6" t="s">
        <v>959</v>
      </c>
      <c r="I284" s="22" t="n">
        <v>8200</v>
      </c>
      <c r="J284" s="22" t="n">
        <v>4000</v>
      </c>
      <c r="K284" s="22" t="n">
        <v>915</v>
      </c>
      <c r="L284" s="22" t="n">
        <v>13115</v>
      </c>
      <c r="M284" s="6" t="s">
        <v>57</v>
      </c>
      <c r="N284" s="6" t="s">
        <v>58</v>
      </c>
      <c r="O284" s="6"/>
      <c r="P284" s="6" t="s">
        <v>59</v>
      </c>
      <c r="Q284" s="6" t="str">
        <f aca="false">IF(P284="pass","No","Yes")</f>
        <v>Yes</v>
      </c>
      <c r="R284" s="6" t="s">
        <v>98</v>
      </c>
      <c r="S284" s="6" t="s">
        <v>1185</v>
      </c>
      <c r="T284" s="6" t="s">
        <v>7408</v>
      </c>
      <c r="U284" s="23" t="n">
        <v>1.357</v>
      </c>
      <c r="V284" s="6" t="s">
        <v>7409</v>
      </c>
      <c r="W284" s="6"/>
      <c r="X284" s="6" t="s">
        <v>7409</v>
      </c>
      <c r="Y284" s="6" t="s">
        <v>98</v>
      </c>
      <c r="Z284" s="6" t="n">
        <v>0</v>
      </c>
      <c r="AA284" s="6" t="n">
        <v>0</v>
      </c>
      <c r="AB284" s="6" t="n">
        <v>0</v>
      </c>
      <c r="AC284" s="6" t="n">
        <v>0</v>
      </c>
      <c r="AD284" s="6" t="n">
        <v>0</v>
      </c>
      <c r="AE284" s="6" t="n">
        <v>0</v>
      </c>
      <c r="AF284" s="6" t="n">
        <v>0</v>
      </c>
      <c r="AG284" s="6" t="n">
        <v>1</v>
      </c>
      <c r="AH284" s="6" t="n">
        <v>0</v>
      </c>
      <c r="AI284" s="6" t="s">
        <v>84</v>
      </c>
    </row>
    <row r="285" customFormat="false" ht="15" hidden="false" customHeight="false" outlineLevel="0" collapsed="false">
      <c r="A285" s="6" t="n">
        <v>284</v>
      </c>
      <c r="B285" s="6" t="s">
        <v>7410</v>
      </c>
      <c r="C285" s="6" t="n">
        <v>6</v>
      </c>
      <c r="D285" s="6" t="s">
        <v>154</v>
      </c>
      <c r="E285" s="6" t="s">
        <v>123</v>
      </c>
      <c r="F285" s="6" t="n">
        <v>3</v>
      </c>
      <c r="G285" s="6" t="n">
        <v>88</v>
      </c>
      <c r="H285" s="6" t="s">
        <v>7411</v>
      </c>
      <c r="I285" s="22" t="n">
        <v>1467200</v>
      </c>
      <c r="J285" s="22" t="n">
        <v>5000</v>
      </c>
      <c r="K285" s="22" t="n">
        <v>110415</v>
      </c>
      <c r="L285" s="22" t="n">
        <v>1582615</v>
      </c>
      <c r="M285" s="6" t="s">
        <v>57</v>
      </c>
      <c r="N285" s="6" t="s">
        <v>58</v>
      </c>
      <c r="O285" s="6"/>
      <c r="P285" s="6" t="s">
        <v>69</v>
      </c>
      <c r="Q285" s="6" t="str">
        <f aca="false">IF(P285="pass","No","Yes")</f>
        <v>No</v>
      </c>
      <c r="R285" s="6" t="s">
        <v>60</v>
      </c>
      <c r="S285" s="6"/>
      <c r="T285" s="6"/>
      <c r="U285" s="23" t="n">
        <v>2.554</v>
      </c>
      <c r="V285" s="6" t="s">
        <v>7412</v>
      </c>
      <c r="W285" s="6" t="s">
        <v>7413</v>
      </c>
      <c r="X285" s="6" t="s">
        <v>7414</v>
      </c>
      <c r="Y285" s="6" t="s">
        <v>60</v>
      </c>
      <c r="Z285" s="6" t="n">
        <v>0</v>
      </c>
      <c r="AA285" s="6" t="n">
        <v>0</v>
      </c>
      <c r="AB285" s="6" t="n">
        <v>0</v>
      </c>
      <c r="AC285" s="6" t="n">
        <v>0</v>
      </c>
      <c r="AD285" s="6" t="n">
        <v>0</v>
      </c>
      <c r="AE285" s="6" t="n">
        <v>0</v>
      </c>
      <c r="AF285" s="6" t="n">
        <v>0</v>
      </c>
      <c r="AG285" s="6" t="n">
        <v>0</v>
      </c>
      <c r="AH285" s="6" t="n">
        <v>0</v>
      </c>
      <c r="AI285" s="6" t="s">
        <v>84</v>
      </c>
    </row>
    <row r="286" customFormat="false" ht="15" hidden="false" customHeight="false" outlineLevel="0" collapsed="false">
      <c r="A286" s="6" t="n">
        <v>285</v>
      </c>
      <c r="B286" s="6" t="s">
        <v>7415</v>
      </c>
      <c r="C286" s="6" t="n">
        <v>6</v>
      </c>
      <c r="D286" s="6" t="s">
        <v>100</v>
      </c>
      <c r="E286" s="6" t="s">
        <v>67</v>
      </c>
      <c r="F286" s="6" t="n">
        <v>3</v>
      </c>
      <c r="G286" s="6" t="n">
        <v>66</v>
      </c>
      <c r="H286" s="6" t="s">
        <v>7416</v>
      </c>
      <c r="I286" s="22" t="n">
        <v>919200</v>
      </c>
      <c r="J286" s="22" t="n">
        <v>4500</v>
      </c>
      <c r="K286" s="22" t="n">
        <v>69277.5</v>
      </c>
      <c r="L286" s="22" t="n">
        <v>992977.5</v>
      </c>
      <c r="M286" s="6" t="s">
        <v>224</v>
      </c>
      <c r="N286" s="6" t="s">
        <v>84</v>
      </c>
      <c r="O286" s="6" t="s">
        <v>866</v>
      </c>
      <c r="P286" s="6" t="s">
        <v>85</v>
      </c>
      <c r="Q286" s="6" t="str">
        <f aca="false">IF(P286="pass","No","Yes")</f>
        <v>Yes</v>
      </c>
      <c r="R286" s="6" t="s">
        <v>86</v>
      </c>
      <c r="S286" s="6" t="s">
        <v>866</v>
      </c>
      <c r="T286" s="6" t="s">
        <v>225</v>
      </c>
      <c r="U286" s="23" t="n">
        <v>2.273</v>
      </c>
      <c r="V286" s="6" t="s">
        <v>7417</v>
      </c>
      <c r="W286" s="6" t="s">
        <v>7418</v>
      </c>
      <c r="X286" s="6" t="s">
        <v>7419</v>
      </c>
      <c r="Y286" s="6" t="s">
        <v>86</v>
      </c>
      <c r="Z286" s="6" t="n">
        <v>1</v>
      </c>
      <c r="AA286" s="6" t="n">
        <v>0</v>
      </c>
      <c r="AB286" s="6" t="n">
        <v>0</v>
      </c>
      <c r="AC286" s="6" t="n">
        <v>0</v>
      </c>
      <c r="AD286" s="6" t="n">
        <v>0</v>
      </c>
      <c r="AE286" s="6" t="n">
        <v>0</v>
      </c>
      <c r="AF286" s="6" t="n">
        <v>0</v>
      </c>
      <c r="AG286" s="6" t="n">
        <v>0</v>
      </c>
      <c r="AH286" s="6" t="n">
        <v>0</v>
      </c>
      <c r="AI286" s="6" t="s">
        <v>58</v>
      </c>
    </row>
    <row r="287" customFormat="false" ht="15" hidden="false" customHeight="false" outlineLevel="0" collapsed="false">
      <c r="A287" s="6" t="n">
        <v>286</v>
      </c>
      <c r="B287" s="6" t="s">
        <v>7420</v>
      </c>
      <c r="C287" s="6" t="n">
        <v>6</v>
      </c>
      <c r="D287" s="6" t="s">
        <v>100</v>
      </c>
      <c r="E287" s="6" t="s">
        <v>67</v>
      </c>
      <c r="F287" s="6" t="n">
        <v>3</v>
      </c>
      <c r="G287" s="6" t="n">
        <v>50</v>
      </c>
      <c r="H287" s="6" t="s">
        <v>7421</v>
      </c>
      <c r="I287" s="22" t="n">
        <v>1049000</v>
      </c>
      <c r="J287" s="22" t="n">
        <v>4500</v>
      </c>
      <c r="K287" s="22" t="n">
        <v>79012.5</v>
      </c>
      <c r="L287" s="22" t="n">
        <v>1132512.5</v>
      </c>
      <c r="M287" s="6" t="s">
        <v>1009</v>
      </c>
      <c r="N287" s="6" t="s">
        <v>58</v>
      </c>
      <c r="O287" s="6"/>
      <c r="P287" s="6" t="s">
        <v>69</v>
      </c>
      <c r="Q287" s="6" t="str">
        <f aca="false">IF(P287="pass","No","Yes")</f>
        <v>No</v>
      </c>
      <c r="R287" s="6" t="s">
        <v>60</v>
      </c>
      <c r="S287" s="6"/>
      <c r="T287" s="6"/>
      <c r="U287" s="23" t="n">
        <v>2.82</v>
      </c>
      <c r="V287" s="6" t="s">
        <v>7422</v>
      </c>
      <c r="W287" s="6" t="s">
        <v>7423</v>
      </c>
      <c r="X287" s="6" t="s">
        <v>7424</v>
      </c>
      <c r="Y287" s="6" t="s">
        <v>60</v>
      </c>
      <c r="Z287" s="6" t="n">
        <v>0</v>
      </c>
      <c r="AA287" s="6" t="n">
        <v>0</v>
      </c>
      <c r="AB287" s="6" t="n">
        <v>0</v>
      </c>
      <c r="AC287" s="6" t="n">
        <v>0</v>
      </c>
      <c r="AD287" s="6" t="n">
        <v>0</v>
      </c>
      <c r="AE287" s="6" t="n">
        <v>0</v>
      </c>
      <c r="AF287" s="6" t="n">
        <v>0</v>
      </c>
      <c r="AG287" s="6" t="n">
        <v>0</v>
      </c>
      <c r="AH287" s="6" t="n">
        <v>0</v>
      </c>
      <c r="AI287" s="6" t="s">
        <v>84</v>
      </c>
    </row>
    <row r="288" customFormat="false" ht="15" hidden="false" customHeight="false" outlineLevel="0" collapsed="false">
      <c r="A288" s="6" t="n">
        <v>287</v>
      </c>
      <c r="B288" s="6" t="s">
        <v>7425</v>
      </c>
      <c r="C288" s="6" t="n">
        <v>6</v>
      </c>
      <c r="D288" s="6" t="s">
        <v>154</v>
      </c>
      <c r="E288" s="6" t="s">
        <v>123</v>
      </c>
      <c r="F288" s="6" t="n">
        <v>1</v>
      </c>
      <c r="G288" s="6" t="n">
        <v>143</v>
      </c>
      <c r="H288" s="6" t="s">
        <v>7426</v>
      </c>
      <c r="I288" s="22" t="n">
        <v>1358500</v>
      </c>
      <c r="J288" s="22" t="n">
        <v>5000</v>
      </c>
      <c r="K288" s="22" t="n">
        <v>102262.5</v>
      </c>
      <c r="L288" s="22" t="n">
        <v>1465762.5</v>
      </c>
      <c r="M288" s="6" t="s">
        <v>224</v>
      </c>
      <c r="N288" s="6" t="s">
        <v>84</v>
      </c>
      <c r="O288" s="6" t="s">
        <v>866</v>
      </c>
      <c r="P288" s="6" t="s">
        <v>85</v>
      </c>
      <c r="Q288" s="6" t="str">
        <f aca="false">IF(P288="pass","No","Yes")</f>
        <v>Yes</v>
      </c>
      <c r="R288" s="6" t="s">
        <v>86</v>
      </c>
      <c r="S288" s="6" t="s">
        <v>866</v>
      </c>
      <c r="T288" s="6" t="s">
        <v>225</v>
      </c>
      <c r="U288" s="23" t="n">
        <v>2.228</v>
      </c>
      <c r="V288" s="6" t="s">
        <v>7427</v>
      </c>
      <c r="W288" s="6" t="s">
        <v>7428</v>
      </c>
      <c r="X288" s="6" t="s">
        <v>7429</v>
      </c>
      <c r="Y288" s="6" t="s">
        <v>86</v>
      </c>
      <c r="Z288" s="6" t="n">
        <v>1</v>
      </c>
      <c r="AA288" s="6" t="n">
        <v>0</v>
      </c>
      <c r="AB288" s="6" t="n">
        <v>0</v>
      </c>
      <c r="AC288" s="6" t="n">
        <v>0</v>
      </c>
      <c r="AD288" s="6" t="n">
        <v>0</v>
      </c>
      <c r="AE288" s="6" t="n">
        <v>0</v>
      </c>
      <c r="AF288" s="6" t="n">
        <v>0</v>
      </c>
      <c r="AG288" s="6" t="n">
        <v>0</v>
      </c>
      <c r="AH288" s="6" t="n">
        <v>0</v>
      </c>
      <c r="AI288" s="6" t="s">
        <v>58</v>
      </c>
    </row>
    <row r="289" customFormat="false" ht="15" hidden="false" customHeight="false" outlineLevel="0" collapsed="false">
      <c r="A289" s="6" t="n">
        <v>288</v>
      </c>
      <c r="B289" s="6" t="s">
        <v>7430</v>
      </c>
      <c r="C289" s="6" t="n">
        <v>6</v>
      </c>
      <c r="D289" s="6" t="s">
        <v>191</v>
      </c>
      <c r="E289" s="6" t="s">
        <v>116</v>
      </c>
      <c r="F289" s="6" t="n">
        <v>2</v>
      </c>
      <c r="G289" s="6" t="n">
        <v>1043</v>
      </c>
      <c r="H289" s="6" t="s">
        <v>7431</v>
      </c>
      <c r="I289" s="22" t="n">
        <v>12201800</v>
      </c>
      <c r="J289" s="22" t="n">
        <v>15000</v>
      </c>
      <c r="K289" s="22" t="n">
        <v>916260</v>
      </c>
      <c r="L289" s="22" t="n">
        <v>13133060</v>
      </c>
      <c r="M289" s="6" t="s">
        <v>159</v>
      </c>
      <c r="N289" s="6" t="s">
        <v>84</v>
      </c>
      <c r="O289" s="6" t="s">
        <v>886</v>
      </c>
      <c r="P289" s="6" t="s">
        <v>85</v>
      </c>
      <c r="Q289" s="6" t="str">
        <f aca="false">IF(P289="pass","No","Yes")</f>
        <v>Yes</v>
      </c>
      <c r="R289" s="6" t="s">
        <v>86</v>
      </c>
      <c r="S289" s="6" t="s">
        <v>992</v>
      </c>
      <c r="T289" s="6" t="s">
        <v>7432</v>
      </c>
      <c r="U289" s="23" t="n">
        <v>2.542</v>
      </c>
      <c r="V289" s="6" t="s">
        <v>7433</v>
      </c>
      <c r="W289" s="6" t="s">
        <v>7434</v>
      </c>
      <c r="X289" s="6" t="s">
        <v>7435</v>
      </c>
      <c r="Y289" s="6" t="s">
        <v>86</v>
      </c>
      <c r="Z289" s="6" t="n">
        <v>0</v>
      </c>
      <c r="AA289" s="6" t="n">
        <v>0</v>
      </c>
      <c r="AB289" s="6" t="n">
        <v>1</v>
      </c>
      <c r="AC289" s="6" t="n">
        <v>1</v>
      </c>
      <c r="AD289" s="6" t="n">
        <v>0</v>
      </c>
      <c r="AE289" s="6" t="n">
        <v>0</v>
      </c>
      <c r="AF289" s="6" t="n">
        <v>0</v>
      </c>
      <c r="AG289" s="6" t="n">
        <v>0</v>
      </c>
      <c r="AH289" s="6" t="n">
        <v>1</v>
      </c>
      <c r="AI289" s="6" t="s">
        <v>84</v>
      </c>
    </row>
    <row r="290" customFormat="false" ht="15" hidden="false" customHeight="false" outlineLevel="0" collapsed="false">
      <c r="A290" s="6" t="n">
        <v>289</v>
      </c>
      <c r="B290" s="6" t="s">
        <v>7436</v>
      </c>
      <c r="C290" s="6" t="n">
        <v>6</v>
      </c>
      <c r="D290" s="6" t="s">
        <v>105</v>
      </c>
      <c r="E290" s="6" t="s">
        <v>81</v>
      </c>
      <c r="F290" s="6" t="n">
        <v>3</v>
      </c>
      <c r="G290" s="6" t="n">
        <v>856</v>
      </c>
      <c r="H290" s="6" t="s">
        <v>7437</v>
      </c>
      <c r="I290" s="22" t="n">
        <v>7988300</v>
      </c>
      <c r="J290" s="22" t="n">
        <v>4000</v>
      </c>
      <c r="K290" s="22" t="n">
        <v>599422.5</v>
      </c>
      <c r="L290" s="22" t="n">
        <v>8591722.5</v>
      </c>
      <c r="M290" s="6" t="s">
        <v>171</v>
      </c>
      <c r="N290" s="6" t="s">
        <v>84</v>
      </c>
      <c r="O290" s="6" t="s">
        <v>892</v>
      </c>
      <c r="P290" s="6" t="s">
        <v>85</v>
      </c>
      <c r="Q290" s="6" t="str">
        <f aca="false">IF(P290="pass","No","Yes")</f>
        <v>Yes</v>
      </c>
      <c r="R290" s="6" t="s">
        <v>86</v>
      </c>
      <c r="S290" s="6" t="s">
        <v>893</v>
      </c>
      <c r="T290" s="6" t="s">
        <v>7438</v>
      </c>
      <c r="U290" s="23" t="n">
        <v>2.688</v>
      </c>
      <c r="V290" s="6" t="s">
        <v>7439</v>
      </c>
      <c r="W290" s="6" t="s">
        <v>7440</v>
      </c>
      <c r="X290" s="6" t="s">
        <v>7441</v>
      </c>
      <c r="Y290" s="6" t="s">
        <v>86</v>
      </c>
      <c r="Z290" s="6" t="n">
        <v>0</v>
      </c>
      <c r="AA290" s="6" t="n">
        <v>0</v>
      </c>
      <c r="AB290" s="6" t="n">
        <v>0</v>
      </c>
      <c r="AC290" s="6" t="n">
        <v>1</v>
      </c>
      <c r="AD290" s="6" t="n">
        <v>0</v>
      </c>
      <c r="AE290" s="6" t="n">
        <v>0</v>
      </c>
      <c r="AF290" s="6" t="n">
        <v>0</v>
      </c>
      <c r="AG290" s="6" t="n">
        <v>0</v>
      </c>
      <c r="AH290" s="6" t="n">
        <v>1</v>
      </c>
      <c r="AI290" s="6" t="s">
        <v>84</v>
      </c>
    </row>
    <row r="291" customFormat="false" ht="15" hidden="false" customHeight="false" outlineLevel="0" collapsed="false">
      <c r="A291" s="6" t="n">
        <v>290</v>
      </c>
      <c r="B291" s="6" t="s">
        <v>7442</v>
      </c>
      <c r="C291" s="6" t="n">
        <v>6</v>
      </c>
      <c r="D291" s="6" t="s">
        <v>142</v>
      </c>
      <c r="E291" s="6" t="s">
        <v>74</v>
      </c>
      <c r="F291" s="6" t="n">
        <v>4</v>
      </c>
      <c r="G291" s="6" t="n">
        <v>95</v>
      </c>
      <c r="H291" s="6" t="s">
        <v>7443</v>
      </c>
      <c r="I291" s="22" t="n">
        <v>1298400</v>
      </c>
      <c r="J291" s="22" t="n">
        <v>9000</v>
      </c>
      <c r="K291" s="22" t="n">
        <v>98055</v>
      </c>
      <c r="L291" s="22" t="n">
        <v>1405455</v>
      </c>
      <c r="M291" s="6" t="s">
        <v>132</v>
      </c>
      <c r="N291" s="6" t="s">
        <v>84</v>
      </c>
      <c r="O291" s="6" t="s">
        <v>879</v>
      </c>
      <c r="P291" s="6" t="s">
        <v>85</v>
      </c>
      <c r="Q291" s="6" t="str">
        <f aca="false">IF(P291="pass","No","Yes")</f>
        <v>Yes</v>
      </c>
      <c r="R291" s="6" t="s">
        <v>86</v>
      </c>
      <c r="S291" s="6" t="s">
        <v>880</v>
      </c>
      <c r="T291" s="6" t="s">
        <v>134</v>
      </c>
      <c r="U291" s="23" t="n">
        <v>2.44</v>
      </c>
      <c r="V291" s="6" t="s">
        <v>7444</v>
      </c>
      <c r="W291" s="6" t="s">
        <v>7445</v>
      </c>
      <c r="X291" s="6" t="s">
        <v>7446</v>
      </c>
      <c r="Y291" s="6" t="s">
        <v>86</v>
      </c>
      <c r="Z291" s="6" t="n">
        <v>0</v>
      </c>
      <c r="AA291" s="6" t="n">
        <v>1</v>
      </c>
      <c r="AB291" s="6" t="n">
        <v>0</v>
      </c>
      <c r="AC291" s="6" t="n">
        <v>1</v>
      </c>
      <c r="AD291" s="6" t="n">
        <v>0</v>
      </c>
      <c r="AE291" s="6" t="n">
        <v>0</v>
      </c>
      <c r="AF291" s="6" t="n">
        <v>0</v>
      </c>
      <c r="AG291" s="6" t="n">
        <v>0</v>
      </c>
      <c r="AH291" s="6" t="n">
        <v>0</v>
      </c>
      <c r="AI291" s="6" t="s">
        <v>84</v>
      </c>
    </row>
    <row r="292" customFormat="false" ht="15" hidden="false" customHeight="false" outlineLevel="0" collapsed="false">
      <c r="A292" s="6" t="n">
        <v>291</v>
      </c>
      <c r="B292" s="6" t="s">
        <v>7447</v>
      </c>
      <c r="C292" s="6" t="n">
        <v>6</v>
      </c>
      <c r="D292" s="6" t="s">
        <v>154</v>
      </c>
      <c r="E292" s="6" t="s">
        <v>123</v>
      </c>
      <c r="F292" s="6" t="n">
        <v>1</v>
      </c>
      <c r="G292" s="6" t="n">
        <v>66</v>
      </c>
      <c r="H292" s="6" t="s">
        <v>7448</v>
      </c>
      <c r="I292" s="22" t="n">
        <v>627000</v>
      </c>
      <c r="J292" s="22" t="n">
        <v>5000</v>
      </c>
      <c r="K292" s="22" t="n">
        <v>47400</v>
      </c>
      <c r="L292" s="22" t="n">
        <v>679400</v>
      </c>
      <c r="M292" s="6" t="s">
        <v>57</v>
      </c>
      <c r="N292" s="6" t="s">
        <v>58</v>
      </c>
      <c r="O292" s="6"/>
      <c r="P292" s="6" t="s">
        <v>69</v>
      </c>
      <c r="Q292" s="6" t="str">
        <f aca="false">IF(P292="pass","No","Yes")</f>
        <v>No</v>
      </c>
      <c r="R292" s="6" t="s">
        <v>60</v>
      </c>
      <c r="S292" s="6"/>
      <c r="T292" s="6"/>
      <c r="U292" s="23" t="n">
        <v>2.632</v>
      </c>
      <c r="V292" s="6" t="s">
        <v>7449</v>
      </c>
      <c r="W292" s="6" t="s">
        <v>7450</v>
      </c>
      <c r="X292" s="6" t="s">
        <v>7451</v>
      </c>
      <c r="Y292" s="6" t="s">
        <v>60</v>
      </c>
      <c r="Z292" s="6" t="n">
        <v>0</v>
      </c>
      <c r="AA292" s="6" t="n">
        <v>0</v>
      </c>
      <c r="AB292" s="6" t="n">
        <v>0</v>
      </c>
      <c r="AC292" s="6" t="n">
        <v>0</v>
      </c>
      <c r="AD292" s="6" t="n">
        <v>0</v>
      </c>
      <c r="AE292" s="6" t="n">
        <v>0</v>
      </c>
      <c r="AF292" s="6" t="n">
        <v>0</v>
      </c>
      <c r="AG292" s="6" t="n">
        <v>0</v>
      </c>
      <c r="AH292" s="6" t="n">
        <v>0</v>
      </c>
      <c r="AI292" s="6" t="s">
        <v>84</v>
      </c>
    </row>
    <row r="293" customFormat="false" ht="15" hidden="false" customHeight="false" outlineLevel="0" collapsed="false">
      <c r="A293" s="6" t="n">
        <v>292</v>
      </c>
      <c r="B293" s="6" t="s">
        <v>7452</v>
      </c>
      <c r="C293" s="6" t="n">
        <v>6</v>
      </c>
      <c r="D293" s="6" t="s">
        <v>213</v>
      </c>
      <c r="E293" s="6" t="s">
        <v>67</v>
      </c>
      <c r="F293" s="6" t="n">
        <v>4</v>
      </c>
      <c r="G293" s="6" t="n">
        <v>709</v>
      </c>
      <c r="H293" s="6" t="s">
        <v>7453</v>
      </c>
      <c r="I293" s="22" t="n">
        <v>6352900</v>
      </c>
      <c r="J293" s="22" t="n">
        <v>4500</v>
      </c>
      <c r="K293" s="22" t="n">
        <v>476805</v>
      </c>
      <c r="L293" s="22" t="n">
        <v>6834205</v>
      </c>
      <c r="M293" s="6" t="s">
        <v>159</v>
      </c>
      <c r="N293" s="6" t="s">
        <v>84</v>
      </c>
      <c r="O293" s="6" t="s">
        <v>886</v>
      </c>
      <c r="P293" s="6" t="s">
        <v>85</v>
      </c>
      <c r="Q293" s="6" t="str">
        <f aca="false">IF(P293="pass","No","Yes")</f>
        <v>Yes</v>
      </c>
      <c r="R293" s="6" t="s">
        <v>86</v>
      </c>
      <c r="S293" s="6" t="s">
        <v>934</v>
      </c>
      <c r="T293" s="6" t="s">
        <v>524</v>
      </c>
      <c r="U293" s="23" t="n">
        <v>2.496</v>
      </c>
      <c r="V293" s="6" t="s">
        <v>7454</v>
      </c>
      <c r="W293" s="6" t="s">
        <v>7455</v>
      </c>
      <c r="X293" s="6" t="s">
        <v>7456</v>
      </c>
      <c r="Y293" s="6" t="s">
        <v>86</v>
      </c>
      <c r="Z293" s="6" t="n">
        <v>0</v>
      </c>
      <c r="AA293" s="6" t="n">
        <v>0</v>
      </c>
      <c r="AB293" s="6" t="n">
        <v>1</v>
      </c>
      <c r="AC293" s="6" t="n">
        <v>1</v>
      </c>
      <c r="AD293" s="6" t="n">
        <v>0</v>
      </c>
      <c r="AE293" s="6" t="n">
        <v>0</v>
      </c>
      <c r="AF293" s="6" t="n">
        <v>0</v>
      </c>
      <c r="AG293" s="6" t="n">
        <v>0</v>
      </c>
      <c r="AH293" s="6" t="n">
        <v>0</v>
      </c>
      <c r="AI293" s="6" t="s">
        <v>84</v>
      </c>
    </row>
    <row r="294" customFormat="false" ht="15" hidden="false" customHeight="false" outlineLevel="0" collapsed="false">
      <c r="A294" s="6" t="n">
        <v>293</v>
      </c>
      <c r="B294" s="6" t="s">
        <v>7457</v>
      </c>
      <c r="C294" s="6" t="n">
        <v>6</v>
      </c>
      <c r="D294" s="6" t="s">
        <v>177</v>
      </c>
      <c r="E294" s="6" t="s">
        <v>81</v>
      </c>
      <c r="F294" s="6" t="n">
        <v>3</v>
      </c>
      <c r="G294" s="6" t="n">
        <v>62</v>
      </c>
      <c r="H294" s="6" t="s">
        <v>7458</v>
      </c>
      <c r="I294" s="22" t="n">
        <v>1059700</v>
      </c>
      <c r="J294" s="22" t="n">
        <v>4000</v>
      </c>
      <c r="K294" s="22" t="n">
        <v>79777.5</v>
      </c>
      <c r="L294" s="22" t="n">
        <v>1143477.5</v>
      </c>
      <c r="M294" s="6" t="s">
        <v>57</v>
      </c>
      <c r="N294" s="6" t="s">
        <v>58</v>
      </c>
      <c r="O294" s="6"/>
      <c r="P294" s="6" t="s">
        <v>69</v>
      </c>
      <c r="Q294" s="6" t="str">
        <f aca="false">IF(P294="pass","No","Yes")</f>
        <v>No</v>
      </c>
      <c r="R294" s="6" t="s">
        <v>60</v>
      </c>
      <c r="S294" s="6"/>
      <c r="T294" s="6"/>
      <c r="U294" s="23" t="n">
        <v>2.686</v>
      </c>
      <c r="V294" s="6" t="s">
        <v>7459</v>
      </c>
      <c r="W294" s="6" t="s">
        <v>7460</v>
      </c>
      <c r="X294" s="6" t="s">
        <v>7461</v>
      </c>
      <c r="Y294" s="6" t="s">
        <v>60</v>
      </c>
      <c r="Z294" s="6" t="n">
        <v>0</v>
      </c>
      <c r="AA294" s="6" t="n">
        <v>0</v>
      </c>
      <c r="AB294" s="6" t="n">
        <v>0</v>
      </c>
      <c r="AC294" s="6" t="n">
        <v>0</v>
      </c>
      <c r="AD294" s="6" t="n">
        <v>0</v>
      </c>
      <c r="AE294" s="6" t="n">
        <v>0</v>
      </c>
      <c r="AF294" s="6" t="n">
        <v>0</v>
      </c>
      <c r="AG294" s="6" t="n">
        <v>0</v>
      </c>
      <c r="AH294" s="6" t="n">
        <v>0</v>
      </c>
      <c r="AI294" s="6" t="s">
        <v>84</v>
      </c>
    </row>
    <row r="295" customFormat="false" ht="15" hidden="false" customHeight="false" outlineLevel="0" collapsed="false">
      <c r="A295" s="6" t="n">
        <v>294</v>
      </c>
      <c r="B295" s="6" t="s">
        <v>7462</v>
      </c>
      <c r="C295" s="6" t="n">
        <v>6</v>
      </c>
      <c r="D295" s="6" t="s">
        <v>89</v>
      </c>
      <c r="E295" s="6" t="s">
        <v>67</v>
      </c>
      <c r="F295" s="6" t="n">
        <v>3</v>
      </c>
      <c r="G295" s="6" t="n">
        <v>109</v>
      </c>
      <c r="H295" s="6" t="s">
        <v>7463</v>
      </c>
      <c r="I295" s="22" t="n">
        <v>1046600</v>
      </c>
      <c r="J295" s="22" t="n">
        <v>4500</v>
      </c>
      <c r="K295" s="22" t="n">
        <v>78832.5</v>
      </c>
      <c r="L295" s="22" t="n">
        <v>1129932.5</v>
      </c>
      <c r="M295" s="6" t="s">
        <v>272</v>
      </c>
      <c r="N295" s="6" t="s">
        <v>84</v>
      </c>
      <c r="O295" s="6" t="s">
        <v>879</v>
      </c>
      <c r="P295" s="6" t="s">
        <v>85</v>
      </c>
      <c r="Q295" s="6" t="str">
        <f aca="false">IF(P295="pass","No","Yes")</f>
        <v>Yes</v>
      </c>
      <c r="R295" s="6" t="s">
        <v>86</v>
      </c>
      <c r="S295" s="6" t="s">
        <v>879</v>
      </c>
      <c r="T295" s="6" t="s">
        <v>7464</v>
      </c>
      <c r="U295" s="23" t="n">
        <v>2.379</v>
      </c>
      <c r="V295" s="6" t="s">
        <v>7465</v>
      </c>
      <c r="W295" s="6" t="s">
        <v>7466</v>
      </c>
      <c r="X295" s="6" t="s">
        <v>7467</v>
      </c>
      <c r="Y295" s="6" t="s">
        <v>86</v>
      </c>
      <c r="Z295" s="6" t="n">
        <v>0</v>
      </c>
      <c r="AA295" s="6" t="n">
        <v>1</v>
      </c>
      <c r="AB295" s="6" t="n">
        <v>0</v>
      </c>
      <c r="AC295" s="6" t="n">
        <v>0</v>
      </c>
      <c r="AD295" s="6" t="n">
        <v>0</v>
      </c>
      <c r="AE295" s="6" t="n">
        <v>0</v>
      </c>
      <c r="AF295" s="6" t="n">
        <v>0</v>
      </c>
      <c r="AG295" s="6" t="n">
        <v>0</v>
      </c>
      <c r="AH295" s="6" t="n">
        <v>0</v>
      </c>
      <c r="AI295" s="6" t="s">
        <v>84</v>
      </c>
    </row>
    <row r="296" customFormat="false" ht="15" hidden="false" customHeight="false" outlineLevel="0" collapsed="false">
      <c r="A296" s="6" t="n">
        <v>295</v>
      </c>
      <c r="B296" s="6" t="s">
        <v>7468</v>
      </c>
      <c r="C296" s="6" t="n">
        <v>6</v>
      </c>
      <c r="D296" s="6" t="s">
        <v>127</v>
      </c>
      <c r="E296" s="6" t="s">
        <v>55</v>
      </c>
      <c r="F296" s="6" t="n">
        <v>4</v>
      </c>
      <c r="G296" s="6" t="n">
        <v>109</v>
      </c>
      <c r="H296" s="6" t="s">
        <v>7469</v>
      </c>
      <c r="I296" s="22" t="n">
        <v>1369300</v>
      </c>
      <c r="J296" s="22" t="n">
        <v>6000</v>
      </c>
      <c r="K296" s="22" t="n">
        <v>103147.5</v>
      </c>
      <c r="L296" s="22" t="n">
        <v>1478447.5</v>
      </c>
      <c r="M296" s="6" t="s">
        <v>152</v>
      </c>
      <c r="N296" s="6" t="s">
        <v>84</v>
      </c>
      <c r="O296" s="6" t="s">
        <v>886</v>
      </c>
      <c r="P296" s="6" t="s">
        <v>85</v>
      </c>
      <c r="Q296" s="6" t="str">
        <f aca="false">IF(P296="pass","No","Yes")</f>
        <v>Yes</v>
      </c>
      <c r="R296" s="6" t="s">
        <v>86</v>
      </c>
      <c r="S296" s="6" t="s">
        <v>1479</v>
      </c>
      <c r="T296" s="6" t="s">
        <v>7470</v>
      </c>
      <c r="U296" s="23" t="n">
        <v>2.298</v>
      </c>
      <c r="V296" s="6" t="s">
        <v>7471</v>
      </c>
      <c r="W296" s="6" t="s">
        <v>7472</v>
      </c>
      <c r="X296" s="6" t="s">
        <v>7473</v>
      </c>
      <c r="Y296" s="6" t="s">
        <v>86</v>
      </c>
      <c r="Z296" s="6" t="n">
        <v>0</v>
      </c>
      <c r="AA296" s="6" t="n">
        <v>0</v>
      </c>
      <c r="AB296" s="6" t="n">
        <v>1</v>
      </c>
      <c r="AC296" s="6" t="n">
        <v>0</v>
      </c>
      <c r="AD296" s="6" t="n">
        <v>0</v>
      </c>
      <c r="AE296" s="6" t="n">
        <v>0</v>
      </c>
      <c r="AF296" s="6" t="n">
        <v>0</v>
      </c>
      <c r="AG296" s="6" t="n">
        <v>0</v>
      </c>
      <c r="AH296" s="6" t="n">
        <v>1</v>
      </c>
      <c r="AI296" s="6" t="s">
        <v>84</v>
      </c>
    </row>
    <row r="297" customFormat="false" ht="15" hidden="false" customHeight="false" outlineLevel="0" collapsed="false">
      <c r="A297" s="6" t="n">
        <v>296</v>
      </c>
      <c r="B297" s="6" t="s">
        <v>7474</v>
      </c>
      <c r="C297" s="6" t="n">
        <v>6</v>
      </c>
      <c r="D297" s="6" t="s">
        <v>177</v>
      </c>
      <c r="E297" s="6" t="s">
        <v>81</v>
      </c>
      <c r="F297" s="6" t="n">
        <v>3</v>
      </c>
      <c r="G297" s="6" t="n">
        <v>62</v>
      </c>
      <c r="H297" s="6" t="s">
        <v>7458</v>
      </c>
      <c r="I297" s="22" t="n">
        <v>1059700</v>
      </c>
      <c r="J297" s="22" t="n">
        <v>4000</v>
      </c>
      <c r="K297" s="22" t="n">
        <v>79777.5</v>
      </c>
      <c r="L297" s="22" t="n">
        <v>1143477.5</v>
      </c>
      <c r="M297" s="6" t="s">
        <v>97</v>
      </c>
      <c r="N297" s="6" t="s">
        <v>84</v>
      </c>
      <c r="O297" s="6" t="s">
        <v>1185</v>
      </c>
      <c r="P297" s="6" t="s">
        <v>59</v>
      </c>
      <c r="Q297" s="6" t="str">
        <f aca="false">IF(P297="pass","No","Yes")</f>
        <v>Yes</v>
      </c>
      <c r="R297" s="6" t="s">
        <v>98</v>
      </c>
      <c r="S297" s="6" t="s">
        <v>1185</v>
      </c>
      <c r="T297" s="6" t="s">
        <v>7475</v>
      </c>
      <c r="U297" s="23" t="n">
        <v>1.565</v>
      </c>
      <c r="V297" s="6" t="s">
        <v>7476</v>
      </c>
      <c r="W297" s="6"/>
      <c r="X297" s="6" t="s">
        <v>7476</v>
      </c>
      <c r="Y297" s="6" t="s">
        <v>98</v>
      </c>
      <c r="Z297" s="6" t="n">
        <v>0</v>
      </c>
      <c r="AA297" s="6" t="n">
        <v>0</v>
      </c>
      <c r="AB297" s="6" t="n">
        <v>0</v>
      </c>
      <c r="AC297" s="6" t="n">
        <v>0</v>
      </c>
      <c r="AD297" s="6" t="n">
        <v>0</v>
      </c>
      <c r="AE297" s="6" t="n">
        <v>0</v>
      </c>
      <c r="AF297" s="6" t="n">
        <v>0</v>
      </c>
      <c r="AG297" s="6" t="n">
        <v>1</v>
      </c>
      <c r="AH297" s="6" t="n">
        <v>0</v>
      </c>
      <c r="AI297" s="6" t="s">
        <v>84</v>
      </c>
    </row>
    <row r="298" customFormat="false" ht="15" hidden="false" customHeight="false" outlineLevel="0" collapsed="false">
      <c r="A298" s="6" t="n">
        <v>297</v>
      </c>
      <c r="B298" s="6" t="s">
        <v>7477</v>
      </c>
      <c r="C298" s="6" t="n">
        <v>6</v>
      </c>
      <c r="D298" s="6" t="s">
        <v>77</v>
      </c>
      <c r="E298" s="6" t="s">
        <v>81</v>
      </c>
      <c r="F298" s="6" t="n">
        <v>2</v>
      </c>
      <c r="G298" s="6" t="n">
        <v>6</v>
      </c>
      <c r="H298" s="6" t="s">
        <v>7478</v>
      </c>
      <c r="I298" s="22" t="n">
        <v>186000</v>
      </c>
      <c r="J298" s="22" t="n">
        <v>4000</v>
      </c>
      <c r="K298" s="22" t="n">
        <v>14250</v>
      </c>
      <c r="L298" s="22" t="n">
        <v>204250</v>
      </c>
      <c r="M298" s="6" t="s">
        <v>272</v>
      </c>
      <c r="N298" s="6" t="s">
        <v>84</v>
      </c>
      <c r="O298" s="6" t="s">
        <v>879</v>
      </c>
      <c r="P298" s="6" t="s">
        <v>85</v>
      </c>
      <c r="Q298" s="6" t="str">
        <f aca="false">IF(P298="pass","No","Yes")</f>
        <v>Yes</v>
      </c>
      <c r="R298" s="6" t="s">
        <v>86</v>
      </c>
      <c r="S298" s="6" t="s">
        <v>879</v>
      </c>
      <c r="T298" s="6" t="s">
        <v>7479</v>
      </c>
      <c r="U298" s="23" t="n">
        <v>2.085</v>
      </c>
      <c r="V298" s="6" t="s">
        <v>7480</v>
      </c>
      <c r="W298" s="6" t="s">
        <v>7481</v>
      </c>
      <c r="X298" s="6" t="s">
        <v>7482</v>
      </c>
      <c r="Y298" s="6" t="s">
        <v>86</v>
      </c>
      <c r="Z298" s="6" t="n">
        <v>0</v>
      </c>
      <c r="AA298" s="6" t="n">
        <v>1</v>
      </c>
      <c r="AB298" s="6" t="n">
        <v>0</v>
      </c>
      <c r="AC298" s="6" t="n">
        <v>0</v>
      </c>
      <c r="AD298" s="6" t="n">
        <v>0</v>
      </c>
      <c r="AE298" s="6" t="n">
        <v>0</v>
      </c>
      <c r="AF298" s="6" t="n">
        <v>0</v>
      </c>
      <c r="AG298" s="6" t="n">
        <v>0</v>
      </c>
      <c r="AH298" s="6" t="n">
        <v>0</v>
      </c>
      <c r="AI298" s="6" t="s">
        <v>84</v>
      </c>
    </row>
    <row r="299" customFormat="false" ht="15" hidden="false" customHeight="false" outlineLevel="0" collapsed="false">
      <c r="A299" s="6" t="n">
        <v>298</v>
      </c>
      <c r="B299" s="6" t="s">
        <v>7483</v>
      </c>
      <c r="C299" s="6" t="n">
        <v>6</v>
      </c>
      <c r="D299" s="6" t="s">
        <v>177</v>
      </c>
      <c r="E299" s="6" t="s">
        <v>81</v>
      </c>
      <c r="F299" s="6" t="n">
        <v>3</v>
      </c>
      <c r="G299" s="6" t="n">
        <v>62</v>
      </c>
      <c r="H299" s="6" t="s">
        <v>7458</v>
      </c>
      <c r="I299" s="22" t="n">
        <v>1059700</v>
      </c>
      <c r="J299" s="22" t="n">
        <v>4000</v>
      </c>
      <c r="K299" s="22" t="n">
        <v>79777.5</v>
      </c>
      <c r="L299" s="22" t="n">
        <v>1143477.5</v>
      </c>
      <c r="M299" s="6" t="s">
        <v>97</v>
      </c>
      <c r="N299" s="6" t="s">
        <v>84</v>
      </c>
      <c r="O299" s="6" t="s">
        <v>1185</v>
      </c>
      <c r="P299" s="6" t="s">
        <v>59</v>
      </c>
      <c r="Q299" s="6" t="str">
        <f aca="false">IF(P299="pass","No","Yes")</f>
        <v>Yes</v>
      </c>
      <c r="R299" s="6" t="s">
        <v>98</v>
      </c>
      <c r="S299" s="6" t="s">
        <v>1185</v>
      </c>
      <c r="T299" s="6" t="s">
        <v>7475</v>
      </c>
      <c r="U299" s="23" t="n">
        <v>1.566</v>
      </c>
      <c r="V299" s="6" t="s">
        <v>7484</v>
      </c>
      <c r="W299" s="6"/>
      <c r="X299" s="6" t="s">
        <v>7484</v>
      </c>
      <c r="Y299" s="6" t="s">
        <v>98</v>
      </c>
      <c r="Z299" s="6" t="n">
        <v>0</v>
      </c>
      <c r="AA299" s="6" t="n">
        <v>0</v>
      </c>
      <c r="AB299" s="6" t="n">
        <v>0</v>
      </c>
      <c r="AC299" s="6" t="n">
        <v>0</v>
      </c>
      <c r="AD299" s="6" t="n">
        <v>0</v>
      </c>
      <c r="AE299" s="6" t="n">
        <v>0</v>
      </c>
      <c r="AF299" s="6" t="n">
        <v>0</v>
      </c>
      <c r="AG299" s="6" t="n">
        <v>1</v>
      </c>
      <c r="AH299" s="6" t="n">
        <v>0</v>
      </c>
      <c r="AI299" s="6" t="s">
        <v>84</v>
      </c>
    </row>
    <row r="300" customFormat="false" ht="15" hidden="false" customHeight="false" outlineLevel="0" collapsed="false">
      <c r="A300" s="6" t="n">
        <v>299</v>
      </c>
      <c r="B300" s="6" t="s">
        <v>7485</v>
      </c>
      <c r="C300" s="6" t="n">
        <v>6</v>
      </c>
      <c r="D300" s="6" t="s">
        <v>51</v>
      </c>
      <c r="E300" s="6" t="s">
        <v>55</v>
      </c>
      <c r="F300" s="6" t="n">
        <v>3</v>
      </c>
      <c r="G300" s="6" t="n">
        <v>257</v>
      </c>
      <c r="H300" s="6" t="s">
        <v>7486</v>
      </c>
      <c r="I300" s="22" t="n">
        <v>2705700</v>
      </c>
      <c r="J300" s="22" t="n">
        <v>6000</v>
      </c>
      <c r="K300" s="22" t="n">
        <v>203377.5</v>
      </c>
      <c r="L300" s="22" t="n">
        <v>2915077.5</v>
      </c>
      <c r="M300" s="6" t="s">
        <v>927</v>
      </c>
      <c r="N300" s="6" t="s">
        <v>58</v>
      </c>
      <c r="O300" s="6"/>
      <c r="P300" s="6" t="s">
        <v>59</v>
      </c>
      <c r="Q300" s="6" t="str">
        <f aca="false">IF(P300="pass","No","Yes")</f>
        <v>Yes</v>
      </c>
      <c r="R300" s="6" t="s">
        <v>60</v>
      </c>
      <c r="S300" s="6" t="s">
        <v>915</v>
      </c>
      <c r="T300" s="6" t="s">
        <v>7487</v>
      </c>
      <c r="U300" s="23" t="n">
        <v>2.605</v>
      </c>
      <c r="V300" s="6" t="s">
        <v>7488</v>
      </c>
      <c r="W300" s="6" t="s">
        <v>7489</v>
      </c>
      <c r="X300" s="6" t="s">
        <v>7490</v>
      </c>
      <c r="Y300" s="6" t="s">
        <v>60</v>
      </c>
      <c r="Z300" s="6" t="n">
        <v>0</v>
      </c>
      <c r="AA300" s="6" t="n">
        <v>0</v>
      </c>
      <c r="AB300" s="6" t="n">
        <v>0</v>
      </c>
      <c r="AC300" s="6" t="n">
        <v>0</v>
      </c>
      <c r="AD300" s="6" t="n">
        <v>0</v>
      </c>
      <c r="AE300" s="6" t="n">
        <v>0</v>
      </c>
      <c r="AF300" s="6" t="n">
        <v>0</v>
      </c>
      <c r="AG300" s="6" t="n">
        <v>0</v>
      </c>
      <c r="AH300" s="6" t="n">
        <v>1</v>
      </c>
      <c r="AI300" s="6" t="s">
        <v>84</v>
      </c>
    </row>
    <row r="301" customFormat="false" ht="15" hidden="false" customHeight="false" outlineLevel="0" collapsed="false">
      <c r="A301" s="6" t="n">
        <v>300</v>
      </c>
      <c r="B301" s="6" t="s">
        <v>7491</v>
      </c>
      <c r="C301" s="6" t="n">
        <v>6</v>
      </c>
      <c r="D301" s="6" t="s">
        <v>89</v>
      </c>
      <c r="E301" s="6" t="s">
        <v>67</v>
      </c>
      <c r="F301" s="6" t="n">
        <v>4</v>
      </c>
      <c r="G301" s="6" t="n">
        <v>29</v>
      </c>
      <c r="H301" s="6" t="s">
        <v>7492</v>
      </c>
      <c r="I301" s="22" t="n">
        <v>635300</v>
      </c>
      <c r="J301" s="22" t="n">
        <v>4500</v>
      </c>
      <c r="K301" s="22" t="n">
        <v>47985</v>
      </c>
      <c r="L301" s="22" t="n">
        <v>687785</v>
      </c>
      <c r="M301" s="6" t="s">
        <v>83</v>
      </c>
      <c r="N301" s="6" t="s">
        <v>84</v>
      </c>
      <c r="O301" s="6" t="s">
        <v>886</v>
      </c>
      <c r="P301" s="6" t="s">
        <v>85</v>
      </c>
      <c r="Q301" s="6" t="str">
        <f aca="false">IF(P301="pass","No","Yes")</f>
        <v>Yes</v>
      </c>
      <c r="R301" s="6" t="s">
        <v>86</v>
      </c>
      <c r="S301" s="6" t="s">
        <v>886</v>
      </c>
      <c r="T301" s="6" t="s">
        <v>488</v>
      </c>
      <c r="U301" s="23" t="n">
        <v>2.205</v>
      </c>
      <c r="V301" s="6" t="s">
        <v>7493</v>
      </c>
      <c r="W301" s="6" t="s">
        <v>7494</v>
      </c>
      <c r="X301" s="6" t="s">
        <v>7495</v>
      </c>
      <c r="Y301" s="6" t="s">
        <v>86</v>
      </c>
      <c r="Z301" s="6" t="n">
        <v>0</v>
      </c>
      <c r="AA301" s="6" t="n">
        <v>0</v>
      </c>
      <c r="AB301" s="6" t="n">
        <v>1</v>
      </c>
      <c r="AC301" s="6" t="n">
        <v>0</v>
      </c>
      <c r="AD301" s="6" t="n">
        <v>0</v>
      </c>
      <c r="AE301" s="6" t="n">
        <v>0</v>
      </c>
      <c r="AF301" s="6" t="n">
        <v>0</v>
      </c>
      <c r="AG301" s="6" t="n">
        <v>0</v>
      </c>
      <c r="AH301" s="6" t="n">
        <v>0</v>
      </c>
      <c r="AI301" s="6" t="s">
        <v>84</v>
      </c>
    </row>
    <row r="302" customFormat="false" ht="15" hidden="false" customHeight="false" outlineLevel="0" collapsed="false">
      <c r="A302" s="6" t="n">
        <v>301</v>
      </c>
      <c r="B302" s="6" t="s">
        <v>7496</v>
      </c>
      <c r="C302" s="6" t="n">
        <v>7</v>
      </c>
      <c r="D302" s="6" t="s">
        <v>105</v>
      </c>
      <c r="E302" s="6" t="s">
        <v>81</v>
      </c>
      <c r="F302" s="6" t="n">
        <v>2</v>
      </c>
      <c r="G302" s="6" t="n">
        <v>44</v>
      </c>
      <c r="H302" s="6" t="s">
        <v>7497</v>
      </c>
      <c r="I302" s="22" t="n">
        <v>938400</v>
      </c>
      <c r="J302" s="22" t="n">
        <v>4000</v>
      </c>
      <c r="K302" s="22" t="n">
        <v>70680</v>
      </c>
      <c r="L302" s="22" t="n">
        <v>1013080</v>
      </c>
      <c r="M302" s="6" t="s">
        <v>57</v>
      </c>
      <c r="N302" s="6" t="s">
        <v>58</v>
      </c>
      <c r="O302" s="6"/>
      <c r="P302" s="6" t="s">
        <v>69</v>
      </c>
      <c r="Q302" s="6" t="str">
        <f aca="false">IF(P302="pass","No","Yes")</f>
        <v>No</v>
      </c>
      <c r="R302" s="6" t="s">
        <v>60</v>
      </c>
      <c r="S302" s="6"/>
      <c r="T302" s="6"/>
      <c r="U302" s="23" t="n">
        <v>2.78</v>
      </c>
      <c r="V302" s="6" t="s">
        <v>7498</v>
      </c>
      <c r="W302" s="6" t="s">
        <v>7499</v>
      </c>
      <c r="X302" s="6" t="s">
        <v>7500</v>
      </c>
      <c r="Y302" s="6" t="s">
        <v>60</v>
      </c>
      <c r="Z302" s="6" t="n">
        <v>0</v>
      </c>
      <c r="AA302" s="6" t="n">
        <v>0</v>
      </c>
      <c r="AB302" s="6" t="n">
        <v>0</v>
      </c>
      <c r="AC302" s="6" t="n">
        <v>0</v>
      </c>
      <c r="AD302" s="6" t="n">
        <v>0</v>
      </c>
      <c r="AE302" s="6" t="n">
        <v>0</v>
      </c>
      <c r="AF302" s="6" t="n">
        <v>0</v>
      </c>
      <c r="AG302" s="6" t="n">
        <v>0</v>
      </c>
      <c r="AH302" s="6" t="n">
        <v>0</v>
      </c>
      <c r="AI302" s="6" t="s">
        <v>84</v>
      </c>
    </row>
    <row r="303" customFormat="false" ht="15" hidden="false" customHeight="false" outlineLevel="0" collapsed="false">
      <c r="A303" s="6" t="n">
        <v>302</v>
      </c>
      <c r="B303" s="6" t="s">
        <v>7501</v>
      </c>
      <c r="C303" s="6" t="n">
        <v>7</v>
      </c>
      <c r="D303" s="6" t="s">
        <v>198</v>
      </c>
      <c r="E303" s="6" t="s">
        <v>81</v>
      </c>
      <c r="F303" s="6" t="n">
        <v>1</v>
      </c>
      <c r="G303" s="6" t="n">
        <v>6</v>
      </c>
      <c r="H303" s="6" t="s">
        <v>1416</v>
      </c>
      <c r="I303" s="22" t="n">
        <v>228000</v>
      </c>
      <c r="J303" s="22" t="n">
        <v>4000</v>
      </c>
      <c r="K303" s="22" t="n">
        <v>17400</v>
      </c>
      <c r="L303" s="22" t="n">
        <v>249400</v>
      </c>
      <c r="M303" s="6" t="s">
        <v>224</v>
      </c>
      <c r="N303" s="6" t="s">
        <v>84</v>
      </c>
      <c r="O303" s="6" t="s">
        <v>866</v>
      </c>
      <c r="P303" s="6" t="s">
        <v>85</v>
      </c>
      <c r="Q303" s="6" t="str">
        <f aca="false">IF(P303="pass","No","Yes")</f>
        <v>Yes</v>
      </c>
      <c r="R303" s="6" t="s">
        <v>86</v>
      </c>
      <c r="S303" s="6" t="s">
        <v>866</v>
      </c>
      <c r="T303" s="6" t="s">
        <v>225</v>
      </c>
      <c r="U303" s="23" t="n">
        <v>2.071</v>
      </c>
      <c r="V303" s="6" t="s">
        <v>7502</v>
      </c>
      <c r="W303" s="6" t="s">
        <v>7503</v>
      </c>
      <c r="X303" s="6" t="s">
        <v>7504</v>
      </c>
      <c r="Y303" s="6" t="s">
        <v>86</v>
      </c>
      <c r="Z303" s="6" t="n">
        <v>1</v>
      </c>
      <c r="AA303" s="6" t="n">
        <v>0</v>
      </c>
      <c r="AB303" s="6" t="n">
        <v>0</v>
      </c>
      <c r="AC303" s="6" t="n">
        <v>0</v>
      </c>
      <c r="AD303" s="6" t="n">
        <v>0</v>
      </c>
      <c r="AE303" s="6" t="n">
        <v>0</v>
      </c>
      <c r="AF303" s="6" t="n">
        <v>0</v>
      </c>
      <c r="AG303" s="6" t="n">
        <v>0</v>
      </c>
      <c r="AH303" s="6" t="n">
        <v>0</v>
      </c>
      <c r="AI303" s="6" t="s">
        <v>58</v>
      </c>
    </row>
    <row r="304" customFormat="false" ht="15" hidden="false" customHeight="false" outlineLevel="0" collapsed="false">
      <c r="A304" s="6" t="n">
        <v>303</v>
      </c>
      <c r="B304" s="6" t="s">
        <v>7505</v>
      </c>
      <c r="C304" s="6" t="n">
        <v>7</v>
      </c>
      <c r="D304" s="6" t="s">
        <v>198</v>
      </c>
      <c r="E304" s="6" t="s">
        <v>81</v>
      </c>
      <c r="F304" s="6" t="n">
        <v>1</v>
      </c>
      <c r="G304" s="6" t="n">
        <v>2</v>
      </c>
      <c r="H304" s="6" t="s">
        <v>4763</v>
      </c>
      <c r="I304" s="22" t="n">
        <v>76000</v>
      </c>
      <c r="J304" s="22" t="n">
        <v>4000</v>
      </c>
      <c r="K304" s="22" t="n">
        <v>6000</v>
      </c>
      <c r="L304" s="22" t="n">
        <v>86000</v>
      </c>
      <c r="M304" s="6" t="s">
        <v>57</v>
      </c>
      <c r="N304" s="6" t="s">
        <v>58</v>
      </c>
      <c r="O304" s="6"/>
      <c r="P304" s="6" t="s">
        <v>69</v>
      </c>
      <c r="Q304" s="6" t="str">
        <f aca="false">IF(P304="pass","No","Yes")</f>
        <v>No</v>
      </c>
      <c r="R304" s="6" t="s">
        <v>60</v>
      </c>
      <c r="S304" s="6"/>
      <c r="T304" s="6"/>
      <c r="U304" s="23" t="n">
        <v>2.547</v>
      </c>
      <c r="V304" s="6" t="s">
        <v>7506</v>
      </c>
      <c r="W304" s="6" t="s">
        <v>7507</v>
      </c>
      <c r="X304" s="6" t="s">
        <v>7508</v>
      </c>
      <c r="Y304" s="6" t="s">
        <v>60</v>
      </c>
      <c r="Z304" s="6" t="n">
        <v>0</v>
      </c>
      <c r="AA304" s="6" t="n">
        <v>0</v>
      </c>
      <c r="AB304" s="6" t="n">
        <v>0</v>
      </c>
      <c r="AC304" s="6" t="n">
        <v>0</v>
      </c>
      <c r="AD304" s="6" t="n">
        <v>0</v>
      </c>
      <c r="AE304" s="6" t="n">
        <v>0</v>
      </c>
      <c r="AF304" s="6" t="n">
        <v>0</v>
      </c>
      <c r="AG304" s="6" t="n">
        <v>0</v>
      </c>
      <c r="AH304" s="6" t="n">
        <v>0</v>
      </c>
      <c r="AI304" s="6" t="s">
        <v>84</v>
      </c>
    </row>
    <row r="305" customFormat="false" ht="15" hidden="false" customHeight="false" outlineLevel="0" collapsed="false">
      <c r="A305" s="6" t="n">
        <v>304</v>
      </c>
      <c r="B305" s="6" t="s">
        <v>7509</v>
      </c>
      <c r="C305" s="6" t="n">
        <v>7</v>
      </c>
      <c r="D305" s="6" t="s">
        <v>198</v>
      </c>
      <c r="E305" s="6" t="s">
        <v>81</v>
      </c>
      <c r="F305" s="6" t="n">
        <v>1</v>
      </c>
      <c r="G305" s="6" t="n">
        <v>2</v>
      </c>
      <c r="H305" s="6" t="s">
        <v>4763</v>
      </c>
      <c r="I305" s="22" t="n">
        <v>76000</v>
      </c>
      <c r="J305" s="22" t="n">
        <v>4000</v>
      </c>
      <c r="K305" s="22" t="n">
        <v>6000</v>
      </c>
      <c r="L305" s="22" t="n">
        <v>86000</v>
      </c>
      <c r="M305" s="6" t="s">
        <v>97</v>
      </c>
      <c r="N305" s="6" t="s">
        <v>84</v>
      </c>
      <c r="O305" s="6" t="s">
        <v>1185</v>
      </c>
      <c r="P305" s="6" t="s">
        <v>59</v>
      </c>
      <c r="Q305" s="6" t="str">
        <f aca="false">IF(P305="pass","No","Yes")</f>
        <v>Yes</v>
      </c>
      <c r="R305" s="6" t="s">
        <v>98</v>
      </c>
      <c r="S305" s="6" t="s">
        <v>1185</v>
      </c>
      <c r="T305" s="6" t="s">
        <v>7510</v>
      </c>
      <c r="U305" s="23" t="n">
        <v>1.507</v>
      </c>
      <c r="V305" s="6" t="s">
        <v>7511</v>
      </c>
      <c r="W305" s="6"/>
      <c r="X305" s="6" t="s">
        <v>7511</v>
      </c>
      <c r="Y305" s="6" t="s">
        <v>98</v>
      </c>
      <c r="Z305" s="6" t="n">
        <v>0</v>
      </c>
      <c r="AA305" s="6" t="n">
        <v>0</v>
      </c>
      <c r="AB305" s="6" t="n">
        <v>0</v>
      </c>
      <c r="AC305" s="6" t="n">
        <v>0</v>
      </c>
      <c r="AD305" s="6" t="n">
        <v>0</v>
      </c>
      <c r="AE305" s="6" t="n">
        <v>0</v>
      </c>
      <c r="AF305" s="6" t="n">
        <v>0</v>
      </c>
      <c r="AG305" s="6" t="n">
        <v>1</v>
      </c>
      <c r="AH305" s="6" t="n">
        <v>0</v>
      </c>
      <c r="AI305" s="6" t="s">
        <v>84</v>
      </c>
    </row>
    <row r="306" customFormat="false" ht="15" hidden="false" customHeight="false" outlineLevel="0" collapsed="false">
      <c r="A306" s="6" t="n">
        <v>305</v>
      </c>
      <c r="B306" s="6" t="s">
        <v>7512</v>
      </c>
      <c r="C306" s="6" t="n">
        <v>7</v>
      </c>
      <c r="D306" s="6" t="s">
        <v>198</v>
      </c>
      <c r="E306" s="6" t="s">
        <v>81</v>
      </c>
      <c r="F306" s="6" t="n">
        <v>1</v>
      </c>
      <c r="G306" s="6" t="n">
        <v>36</v>
      </c>
      <c r="H306" s="6" t="s">
        <v>1312</v>
      </c>
      <c r="I306" s="22" t="n">
        <v>450000</v>
      </c>
      <c r="J306" s="22" t="n">
        <v>4000</v>
      </c>
      <c r="K306" s="22" t="n">
        <v>34050</v>
      </c>
      <c r="L306" s="22" t="n">
        <v>488050</v>
      </c>
      <c r="M306" s="6" t="s">
        <v>57</v>
      </c>
      <c r="N306" s="6" t="s">
        <v>58</v>
      </c>
      <c r="O306" s="6"/>
      <c r="P306" s="6" t="s">
        <v>69</v>
      </c>
      <c r="Q306" s="6" t="str">
        <f aca="false">IF(P306="pass","No","Yes")</f>
        <v>No</v>
      </c>
      <c r="R306" s="6" t="s">
        <v>60</v>
      </c>
      <c r="S306" s="6"/>
      <c r="T306" s="6"/>
      <c r="U306" s="23" t="n">
        <v>2.545</v>
      </c>
      <c r="V306" s="6" t="s">
        <v>7513</v>
      </c>
      <c r="W306" s="6" t="s">
        <v>7514</v>
      </c>
      <c r="X306" s="6" t="s">
        <v>7515</v>
      </c>
      <c r="Y306" s="6" t="s">
        <v>60</v>
      </c>
      <c r="Z306" s="6" t="n">
        <v>0</v>
      </c>
      <c r="AA306" s="6" t="n">
        <v>0</v>
      </c>
      <c r="AB306" s="6" t="n">
        <v>0</v>
      </c>
      <c r="AC306" s="6" t="n">
        <v>0</v>
      </c>
      <c r="AD306" s="6" t="n">
        <v>0</v>
      </c>
      <c r="AE306" s="6" t="n">
        <v>0</v>
      </c>
      <c r="AF306" s="6" t="n">
        <v>0</v>
      </c>
      <c r="AG306" s="6" t="n">
        <v>0</v>
      </c>
      <c r="AH306" s="6" t="n">
        <v>0</v>
      </c>
      <c r="AI306" s="6" t="s">
        <v>84</v>
      </c>
    </row>
    <row r="307" customFormat="false" ht="15" hidden="false" customHeight="false" outlineLevel="0" collapsed="false">
      <c r="A307" s="6" t="n">
        <v>306</v>
      </c>
      <c r="B307" s="6" t="s">
        <v>7516</v>
      </c>
      <c r="C307" s="6" t="n">
        <v>7</v>
      </c>
      <c r="D307" s="6" t="s">
        <v>191</v>
      </c>
      <c r="E307" s="6" t="s">
        <v>116</v>
      </c>
      <c r="F307" s="6" t="n">
        <v>3</v>
      </c>
      <c r="G307" s="6" t="n">
        <v>80</v>
      </c>
      <c r="H307" s="6" t="s">
        <v>7517</v>
      </c>
      <c r="I307" s="22" t="n">
        <v>1395000</v>
      </c>
      <c r="J307" s="22" t="n">
        <v>15000</v>
      </c>
      <c r="K307" s="22" t="n">
        <v>105750</v>
      </c>
      <c r="L307" s="22" t="n">
        <v>1515750</v>
      </c>
      <c r="M307" s="6" t="s">
        <v>152</v>
      </c>
      <c r="N307" s="6" t="s">
        <v>84</v>
      </c>
      <c r="O307" s="6" t="s">
        <v>886</v>
      </c>
      <c r="P307" s="6" t="s">
        <v>85</v>
      </c>
      <c r="Q307" s="6" t="str">
        <f aca="false">IF(P307="pass","No","Yes")</f>
        <v>Yes</v>
      </c>
      <c r="R307" s="6" t="s">
        <v>86</v>
      </c>
      <c r="S307" s="6" t="s">
        <v>886</v>
      </c>
      <c r="T307" s="6" t="s">
        <v>475</v>
      </c>
      <c r="U307" s="23" t="n">
        <v>2.212</v>
      </c>
      <c r="V307" s="6" t="s">
        <v>7518</v>
      </c>
      <c r="W307" s="6" t="s">
        <v>7519</v>
      </c>
      <c r="X307" s="6" t="s">
        <v>7520</v>
      </c>
      <c r="Y307" s="6" t="s">
        <v>86</v>
      </c>
      <c r="Z307" s="6" t="n">
        <v>0</v>
      </c>
      <c r="AA307" s="6" t="n">
        <v>0</v>
      </c>
      <c r="AB307" s="6" t="n">
        <v>1</v>
      </c>
      <c r="AC307" s="6" t="n">
        <v>0</v>
      </c>
      <c r="AD307" s="6" t="n">
        <v>0</v>
      </c>
      <c r="AE307" s="6" t="n">
        <v>0</v>
      </c>
      <c r="AF307" s="6" t="n">
        <v>0</v>
      </c>
      <c r="AG307" s="6" t="n">
        <v>0</v>
      </c>
      <c r="AH307" s="6" t="n">
        <v>0</v>
      </c>
      <c r="AI307" s="6" t="s">
        <v>84</v>
      </c>
    </row>
    <row r="308" customFormat="false" ht="15" hidden="false" customHeight="false" outlineLevel="0" collapsed="false">
      <c r="A308" s="6" t="n">
        <v>307</v>
      </c>
      <c r="B308" s="6" t="s">
        <v>7521</v>
      </c>
      <c r="C308" s="6" t="n">
        <v>7</v>
      </c>
      <c r="D308" s="6" t="s">
        <v>119</v>
      </c>
      <c r="E308" s="6" t="s">
        <v>123</v>
      </c>
      <c r="F308" s="6" t="n">
        <v>2</v>
      </c>
      <c r="G308" s="6" t="n">
        <v>537</v>
      </c>
      <c r="H308" s="6" t="s">
        <v>7522</v>
      </c>
      <c r="I308" s="22" t="n">
        <v>4609200</v>
      </c>
      <c r="J308" s="22" t="n">
        <v>5000</v>
      </c>
      <c r="K308" s="22" t="n">
        <v>346065</v>
      </c>
      <c r="L308" s="22" t="n">
        <v>4960265</v>
      </c>
      <c r="M308" s="6" t="s">
        <v>159</v>
      </c>
      <c r="N308" s="6" t="s">
        <v>84</v>
      </c>
      <c r="O308" s="6" t="s">
        <v>886</v>
      </c>
      <c r="P308" s="6" t="s">
        <v>85</v>
      </c>
      <c r="Q308" s="6" t="str">
        <f aca="false">IF(P308="pass","No","Yes")</f>
        <v>Yes</v>
      </c>
      <c r="R308" s="6" t="s">
        <v>86</v>
      </c>
      <c r="S308" s="6" t="s">
        <v>934</v>
      </c>
      <c r="T308" s="6" t="s">
        <v>524</v>
      </c>
      <c r="U308" s="23" t="n">
        <v>2.365</v>
      </c>
      <c r="V308" s="6" t="s">
        <v>7523</v>
      </c>
      <c r="W308" s="6" t="s">
        <v>7524</v>
      </c>
      <c r="X308" s="6" t="s">
        <v>7525</v>
      </c>
      <c r="Y308" s="6" t="s">
        <v>86</v>
      </c>
      <c r="Z308" s="6" t="n">
        <v>0</v>
      </c>
      <c r="AA308" s="6" t="n">
        <v>0</v>
      </c>
      <c r="AB308" s="6" t="n">
        <v>1</v>
      </c>
      <c r="AC308" s="6" t="n">
        <v>1</v>
      </c>
      <c r="AD308" s="6" t="n">
        <v>0</v>
      </c>
      <c r="AE308" s="6" t="n">
        <v>0</v>
      </c>
      <c r="AF308" s="6" t="n">
        <v>0</v>
      </c>
      <c r="AG308" s="6" t="n">
        <v>0</v>
      </c>
      <c r="AH308" s="6" t="n">
        <v>0</v>
      </c>
      <c r="AI308" s="6" t="s">
        <v>84</v>
      </c>
    </row>
    <row r="309" customFormat="false" ht="15" hidden="false" customHeight="false" outlineLevel="0" collapsed="false">
      <c r="A309" s="6" t="n">
        <v>308</v>
      </c>
      <c r="B309" s="6" t="s">
        <v>7526</v>
      </c>
      <c r="C309" s="6" t="n">
        <v>7</v>
      </c>
      <c r="D309" s="6" t="s">
        <v>177</v>
      </c>
      <c r="E309" s="6" t="s">
        <v>81</v>
      </c>
      <c r="F309" s="6" t="n">
        <v>3</v>
      </c>
      <c r="G309" s="6" t="n">
        <v>82</v>
      </c>
      <c r="H309" s="6" t="s">
        <v>7527</v>
      </c>
      <c r="I309" s="22" t="n">
        <v>1666600</v>
      </c>
      <c r="J309" s="22" t="n">
        <v>4000</v>
      </c>
      <c r="K309" s="22" t="n">
        <v>125295</v>
      </c>
      <c r="L309" s="22" t="n">
        <v>1795895</v>
      </c>
      <c r="M309" s="6" t="s">
        <v>1042</v>
      </c>
      <c r="N309" s="6" t="s">
        <v>58</v>
      </c>
      <c r="O309" s="6"/>
      <c r="P309" s="6" t="s">
        <v>69</v>
      </c>
      <c r="Q309" s="6" t="str">
        <f aca="false">IF(P309="pass","No","Yes")</f>
        <v>No</v>
      </c>
      <c r="R309" s="6" t="s">
        <v>60</v>
      </c>
      <c r="S309" s="6"/>
      <c r="T309" s="6"/>
      <c r="U309" s="23" t="n">
        <v>2.691</v>
      </c>
      <c r="V309" s="6" t="s">
        <v>7528</v>
      </c>
      <c r="W309" s="6" t="s">
        <v>7529</v>
      </c>
      <c r="X309" s="6" t="s">
        <v>7530</v>
      </c>
      <c r="Y309" s="6" t="s">
        <v>60</v>
      </c>
      <c r="Z309" s="6" t="n">
        <v>0</v>
      </c>
      <c r="AA309" s="6" t="n">
        <v>0</v>
      </c>
      <c r="AB309" s="6" t="n">
        <v>0</v>
      </c>
      <c r="AC309" s="6" t="n">
        <v>0</v>
      </c>
      <c r="AD309" s="6" t="n">
        <v>0</v>
      </c>
      <c r="AE309" s="6" t="n">
        <v>0</v>
      </c>
      <c r="AF309" s="6" t="n">
        <v>0</v>
      </c>
      <c r="AG309" s="6" t="n">
        <v>0</v>
      </c>
      <c r="AH309" s="6" t="n">
        <v>0</v>
      </c>
      <c r="AI309" s="6" t="s">
        <v>84</v>
      </c>
    </row>
    <row r="310" customFormat="false" ht="15" hidden="false" customHeight="false" outlineLevel="0" collapsed="false">
      <c r="A310" s="6" t="n">
        <v>309</v>
      </c>
      <c r="B310" s="6" t="s">
        <v>7531</v>
      </c>
      <c r="C310" s="6" t="n">
        <v>7</v>
      </c>
      <c r="D310" s="6" t="s">
        <v>186</v>
      </c>
      <c r="E310" s="6" t="s">
        <v>123</v>
      </c>
      <c r="F310" s="6" t="n">
        <v>2</v>
      </c>
      <c r="G310" s="6" t="n">
        <v>3</v>
      </c>
      <c r="H310" s="6" t="s">
        <v>1287</v>
      </c>
      <c r="I310" s="22" t="n">
        <v>193200</v>
      </c>
      <c r="J310" s="22" t="n">
        <v>5000</v>
      </c>
      <c r="K310" s="22" t="n">
        <v>14865</v>
      </c>
      <c r="L310" s="22" t="n">
        <v>213065</v>
      </c>
      <c r="M310" s="6" t="s">
        <v>132</v>
      </c>
      <c r="N310" s="6" t="s">
        <v>84</v>
      </c>
      <c r="O310" s="6" t="s">
        <v>879</v>
      </c>
      <c r="P310" s="6" t="s">
        <v>85</v>
      </c>
      <c r="Q310" s="6" t="str">
        <f aca="false">IF(P310="pass","No","Yes")</f>
        <v>Yes</v>
      </c>
      <c r="R310" s="6" t="s">
        <v>86</v>
      </c>
      <c r="S310" s="6" t="s">
        <v>880</v>
      </c>
      <c r="T310" s="6" t="s">
        <v>134</v>
      </c>
      <c r="U310" s="23" t="n">
        <v>2.247</v>
      </c>
      <c r="V310" s="6" t="s">
        <v>7532</v>
      </c>
      <c r="W310" s="6" t="s">
        <v>7533</v>
      </c>
      <c r="X310" s="6" t="s">
        <v>7534</v>
      </c>
      <c r="Y310" s="6" t="s">
        <v>86</v>
      </c>
      <c r="Z310" s="6" t="n">
        <v>0</v>
      </c>
      <c r="AA310" s="6" t="n">
        <v>1</v>
      </c>
      <c r="AB310" s="6" t="n">
        <v>0</v>
      </c>
      <c r="AC310" s="6" t="n">
        <v>1</v>
      </c>
      <c r="AD310" s="6" t="n">
        <v>0</v>
      </c>
      <c r="AE310" s="6" t="n">
        <v>0</v>
      </c>
      <c r="AF310" s="6" t="n">
        <v>0</v>
      </c>
      <c r="AG310" s="6" t="n">
        <v>0</v>
      </c>
      <c r="AH310" s="6" t="n">
        <v>0</v>
      </c>
      <c r="AI310" s="6" t="s">
        <v>84</v>
      </c>
    </row>
    <row r="311" customFormat="false" ht="15" hidden="false" customHeight="false" outlineLevel="0" collapsed="false">
      <c r="A311" s="6" t="n">
        <v>310</v>
      </c>
      <c r="B311" s="6" t="s">
        <v>7535</v>
      </c>
      <c r="C311" s="6" t="n">
        <v>7</v>
      </c>
      <c r="D311" s="6" t="s">
        <v>100</v>
      </c>
      <c r="E311" s="6" t="s">
        <v>67</v>
      </c>
      <c r="F311" s="6" t="n">
        <v>4</v>
      </c>
      <c r="G311" s="6" t="n">
        <v>35</v>
      </c>
      <c r="H311" s="6" t="s">
        <v>7536</v>
      </c>
      <c r="I311" s="22" t="n">
        <v>409600</v>
      </c>
      <c r="J311" s="22" t="n">
        <v>4500</v>
      </c>
      <c r="K311" s="22" t="n">
        <v>31057.5</v>
      </c>
      <c r="L311" s="22" t="n">
        <v>445157.5</v>
      </c>
      <c r="M311" s="6" t="s">
        <v>152</v>
      </c>
      <c r="N311" s="6" t="s">
        <v>84</v>
      </c>
      <c r="O311" s="6" t="s">
        <v>886</v>
      </c>
      <c r="P311" s="6" t="s">
        <v>85</v>
      </c>
      <c r="Q311" s="6" t="str">
        <f aca="false">IF(P311="pass","No","Yes")</f>
        <v>Yes</v>
      </c>
      <c r="R311" s="6" t="s">
        <v>86</v>
      </c>
      <c r="S311" s="6" t="s">
        <v>886</v>
      </c>
      <c r="T311" s="6" t="s">
        <v>264</v>
      </c>
      <c r="U311" s="23" t="n">
        <v>2.2</v>
      </c>
      <c r="V311" s="6" t="s">
        <v>7537</v>
      </c>
      <c r="W311" s="6" t="s">
        <v>7538</v>
      </c>
      <c r="X311" s="6" t="s">
        <v>7539</v>
      </c>
      <c r="Y311" s="6" t="s">
        <v>86</v>
      </c>
      <c r="Z311" s="6" t="n">
        <v>0</v>
      </c>
      <c r="AA311" s="6" t="n">
        <v>0</v>
      </c>
      <c r="AB311" s="6" t="n">
        <v>1</v>
      </c>
      <c r="AC311" s="6" t="n">
        <v>0</v>
      </c>
      <c r="AD311" s="6" t="n">
        <v>0</v>
      </c>
      <c r="AE311" s="6" t="n">
        <v>0</v>
      </c>
      <c r="AF311" s="6" t="n">
        <v>0</v>
      </c>
      <c r="AG311" s="6" t="n">
        <v>0</v>
      </c>
      <c r="AH311" s="6" t="n">
        <v>0</v>
      </c>
      <c r="AI311" s="6" t="s">
        <v>84</v>
      </c>
    </row>
    <row r="312" customFormat="false" ht="15" hidden="false" customHeight="false" outlineLevel="0" collapsed="false">
      <c r="A312" s="6" t="n">
        <v>311</v>
      </c>
      <c r="B312" s="6" t="s">
        <v>7540</v>
      </c>
      <c r="C312" s="6" t="n">
        <v>7</v>
      </c>
      <c r="D312" s="6" t="s">
        <v>100</v>
      </c>
      <c r="E312" s="6" t="s">
        <v>67</v>
      </c>
      <c r="F312" s="6" t="n">
        <v>2</v>
      </c>
      <c r="G312" s="6" t="n">
        <v>72</v>
      </c>
      <c r="H312" s="6" t="s">
        <v>7541</v>
      </c>
      <c r="I312" s="22" t="n">
        <v>831600</v>
      </c>
      <c r="J312" s="22" t="n">
        <v>4500</v>
      </c>
      <c r="K312" s="22" t="n">
        <v>62707.5</v>
      </c>
      <c r="L312" s="22" t="n">
        <v>898807.5</v>
      </c>
      <c r="M312" s="6" t="s">
        <v>57</v>
      </c>
      <c r="N312" s="6" t="s">
        <v>58</v>
      </c>
      <c r="O312" s="6"/>
      <c r="P312" s="6" t="s">
        <v>69</v>
      </c>
      <c r="Q312" s="6" t="str">
        <f aca="false">IF(P312="pass","No","Yes")</f>
        <v>No</v>
      </c>
      <c r="R312" s="6" t="s">
        <v>60</v>
      </c>
      <c r="S312" s="6"/>
      <c r="T312" s="6"/>
      <c r="U312" s="23" t="n">
        <v>2.799</v>
      </c>
      <c r="V312" s="6" t="s">
        <v>7542</v>
      </c>
      <c r="W312" s="6" t="s">
        <v>7543</v>
      </c>
      <c r="X312" s="6" t="s">
        <v>7544</v>
      </c>
      <c r="Y312" s="6" t="s">
        <v>60</v>
      </c>
      <c r="Z312" s="6" t="n">
        <v>0</v>
      </c>
      <c r="AA312" s="6" t="n">
        <v>0</v>
      </c>
      <c r="AB312" s="6" t="n">
        <v>0</v>
      </c>
      <c r="AC312" s="6" t="n">
        <v>0</v>
      </c>
      <c r="AD312" s="6" t="n">
        <v>0</v>
      </c>
      <c r="AE312" s="6" t="n">
        <v>0</v>
      </c>
      <c r="AF312" s="6" t="n">
        <v>0</v>
      </c>
      <c r="AG312" s="6" t="n">
        <v>0</v>
      </c>
      <c r="AH312" s="6" t="n">
        <v>0</v>
      </c>
      <c r="AI312" s="6" t="s">
        <v>84</v>
      </c>
    </row>
    <row r="313" customFormat="false" ht="15" hidden="false" customHeight="false" outlineLevel="0" collapsed="false">
      <c r="A313" s="6" t="n">
        <v>312</v>
      </c>
      <c r="B313" s="6" t="s">
        <v>7545</v>
      </c>
      <c r="C313" s="6" t="n">
        <v>7</v>
      </c>
      <c r="D313" s="6" t="s">
        <v>77</v>
      </c>
      <c r="E313" s="6" t="s">
        <v>81</v>
      </c>
      <c r="F313" s="6" t="n">
        <v>1</v>
      </c>
      <c r="G313" s="6" t="n">
        <v>64</v>
      </c>
      <c r="H313" s="6" t="s">
        <v>1118</v>
      </c>
      <c r="I313" s="22" t="n">
        <v>755200</v>
      </c>
      <c r="J313" s="22" t="n">
        <v>4000</v>
      </c>
      <c r="K313" s="22" t="n">
        <v>56940</v>
      </c>
      <c r="L313" s="22" t="n">
        <v>816140</v>
      </c>
      <c r="M313" s="6" t="s">
        <v>57</v>
      </c>
      <c r="N313" s="6" t="s">
        <v>58</v>
      </c>
      <c r="O313" s="6"/>
      <c r="P313" s="6" t="s">
        <v>69</v>
      </c>
      <c r="Q313" s="6" t="str">
        <f aca="false">IF(P313="pass","No","Yes")</f>
        <v>No</v>
      </c>
      <c r="R313" s="6" t="s">
        <v>60</v>
      </c>
      <c r="S313" s="6"/>
      <c r="T313" s="6"/>
      <c r="U313" s="23" t="n">
        <v>2.516</v>
      </c>
      <c r="V313" s="6" t="s">
        <v>7546</v>
      </c>
      <c r="W313" s="6" t="s">
        <v>7547</v>
      </c>
      <c r="X313" s="6" t="s">
        <v>7548</v>
      </c>
      <c r="Y313" s="6" t="s">
        <v>60</v>
      </c>
      <c r="Z313" s="6" t="n">
        <v>0</v>
      </c>
      <c r="AA313" s="6" t="n">
        <v>0</v>
      </c>
      <c r="AB313" s="6" t="n">
        <v>0</v>
      </c>
      <c r="AC313" s="6" t="n">
        <v>0</v>
      </c>
      <c r="AD313" s="6" t="n">
        <v>0</v>
      </c>
      <c r="AE313" s="6" t="n">
        <v>0</v>
      </c>
      <c r="AF313" s="6" t="n">
        <v>0</v>
      </c>
      <c r="AG313" s="6" t="n">
        <v>0</v>
      </c>
      <c r="AH313" s="6" t="n">
        <v>0</v>
      </c>
      <c r="AI313" s="6" t="s">
        <v>84</v>
      </c>
    </row>
    <row r="314" customFormat="false" ht="15" hidden="false" customHeight="false" outlineLevel="0" collapsed="false">
      <c r="A314" s="6" t="n">
        <v>313</v>
      </c>
      <c r="B314" s="6" t="s">
        <v>7549</v>
      </c>
      <c r="C314" s="6" t="n">
        <v>7</v>
      </c>
      <c r="D314" s="6" t="s">
        <v>105</v>
      </c>
      <c r="E314" s="6" t="s">
        <v>81</v>
      </c>
      <c r="F314" s="6" t="n">
        <v>1</v>
      </c>
      <c r="G314" s="6" t="n">
        <v>11</v>
      </c>
      <c r="H314" s="6" t="s">
        <v>7550</v>
      </c>
      <c r="I314" s="22" t="n">
        <v>137500</v>
      </c>
      <c r="J314" s="22" t="n">
        <v>4000</v>
      </c>
      <c r="K314" s="22" t="n">
        <v>10612.5</v>
      </c>
      <c r="L314" s="22" t="n">
        <v>152112.5</v>
      </c>
      <c r="M314" s="6" t="s">
        <v>94</v>
      </c>
      <c r="N314" s="6" t="s">
        <v>84</v>
      </c>
      <c r="O314" s="6" t="s">
        <v>909</v>
      </c>
      <c r="P314" s="6" t="s">
        <v>85</v>
      </c>
      <c r="Q314" s="6" t="str">
        <f aca="false">IF(P314="pass","No","Yes")</f>
        <v>Yes</v>
      </c>
      <c r="R314" s="6" t="s">
        <v>86</v>
      </c>
      <c r="S314" s="6" t="s">
        <v>909</v>
      </c>
      <c r="T314" s="6" t="s">
        <v>254</v>
      </c>
      <c r="U314" s="23" t="n">
        <v>2.159</v>
      </c>
      <c r="V314" s="6" t="s">
        <v>7551</v>
      </c>
      <c r="W314" s="6" t="s">
        <v>7552</v>
      </c>
      <c r="X314" s="6" t="s">
        <v>7553</v>
      </c>
      <c r="Y314" s="6" t="s">
        <v>86</v>
      </c>
      <c r="Z314" s="6" t="n">
        <v>0</v>
      </c>
      <c r="AA314" s="6" t="n">
        <v>0</v>
      </c>
      <c r="AB314" s="6" t="n">
        <v>0</v>
      </c>
      <c r="AC314" s="6" t="n">
        <v>0</v>
      </c>
      <c r="AD314" s="6" t="n">
        <v>0</v>
      </c>
      <c r="AE314" s="6" t="n">
        <v>0</v>
      </c>
      <c r="AF314" s="6" t="n">
        <v>1</v>
      </c>
      <c r="AG314" s="6" t="n">
        <v>0</v>
      </c>
      <c r="AH314" s="6" t="n">
        <v>0</v>
      </c>
      <c r="AI314" s="6" t="s">
        <v>84</v>
      </c>
    </row>
    <row r="315" customFormat="false" ht="15" hidden="false" customHeight="false" outlineLevel="0" collapsed="false">
      <c r="A315" s="6" t="n">
        <v>314</v>
      </c>
      <c r="B315" s="6" t="s">
        <v>7554</v>
      </c>
      <c r="C315" s="6" t="n">
        <v>7</v>
      </c>
      <c r="D315" s="6" t="s">
        <v>166</v>
      </c>
      <c r="E315" s="6" t="s">
        <v>74</v>
      </c>
      <c r="F315" s="6" t="n">
        <v>1</v>
      </c>
      <c r="G315" s="6" t="n">
        <v>12</v>
      </c>
      <c r="H315" s="6" t="s">
        <v>3147</v>
      </c>
      <c r="I315" s="22" t="n">
        <v>372000</v>
      </c>
      <c r="J315" s="22" t="n">
        <v>9000</v>
      </c>
      <c r="K315" s="22" t="n">
        <v>28575</v>
      </c>
      <c r="L315" s="22" t="n">
        <v>409575</v>
      </c>
      <c r="M315" s="6" t="s">
        <v>57</v>
      </c>
      <c r="N315" s="6" t="s">
        <v>58</v>
      </c>
      <c r="O315" s="6"/>
      <c r="P315" s="6" t="s">
        <v>69</v>
      </c>
      <c r="Q315" s="6" t="str">
        <f aca="false">IF(P315="pass","No","Yes")</f>
        <v>No</v>
      </c>
      <c r="R315" s="6" t="s">
        <v>60</v>
      </c>
      <c r="S315" s="6"/>
      <c r="T315" s="6"/>
      <c r="U315" s="23" t="n">
        <v>2.609</v>
      </c>
      <c r="V315" s="6" t="s">
        <v>7555</v>
      </c>
      <c r="W315" s="6" t="s">
        <v>7556</v>
      </c>
      <c r="X315" s="6" t="s">
        <v>7557</v>
      </c>
      <c r="Y315" s="6" t="s">
        <v>60</v>
      </c>
      <c r="Z315" s="6" t="n">
        <v>0</v>
      </c>
      <c r="AA315" s="6" t="n">
        <v>0</v>
      </c>
      <c r="AB315" s="6" t="n">
        <v>0</v>
      </c>
      <c r="AC315" s="6" t="n">
        <v>0</v>
      </c>
      <c r="AD315" s="6" t="n">
        <v>0</v>
      </c>
      <c r="AE315" s="6" t="n">
        <v>0</v>
      </c>
      <c r="AF315" s="6" t="n">
        <v>0</v>
      </c>
      <c r="AG315" s="6" t="n">
        <v>0</v>
      </c>
      <c r="AH315" s="6" t="n">
        <v>0</v>
      </c>
      <c r="AI315" s="6" t="s">
        <v>84</v>
      </c>
    </row>
    <row r="316" customFormat="false" ht="15" hidden="false" customHeight="false" outlineLevel="0" collapsed="false">
      <c r="A316" s="6" t="n">
        <v>315</v>
      </c>
      <c r="B316" s="6" t="s">
        <v>7558</v>
      </c>
      <c r="C316" s="6" t="n">
        <v>7</v>
      </c>
      <c r="D316" s="6" t="s">
        <v>63</v>
      </c>
      <c r="E316" s="6" t="s">
        <v>67</v>
      </c>
      <c r="F316" s="6" t="n">
        <v>3</v>
      </c>
      <c r="G316" s="6" t="n">
        <v>13</v>
      </c>
      <c r="H316" s="6" t="s">
        <v>7559</v>
      </c>
      <c r="I316" s="22" t="n">
        <v>468200</v>
      </c>
      <c r="J316" s="22" t="n">
        <v>4500</v>
      </c>
      <c r="K316" s="22" t="n">
        <v>35452.5</v>
      </c>
      <c r="L316" s="22" t="n">
        <v>508152.5</v>
      </c>
      <c r="M316" s="6" t="s">
        <v>94</v>
      </c>
      <c r="N316" s="6" t="s">
        <v>84</v>
      </c>
      <c r="O316" s="6" t="s">
        <v>909</v>
      </c>
      <c r="P316" s="6" t="s">
        <v>85</v>
      </c>
      <c r="Q316" s="6" t="str">
        <f aca="false">IF(P316="pass","No","Yes")</f>
        <v>Yes</v>
      </c>
      <c r="R316" s="6" t="s">
        <v>86</v>
      </c>
      <c r="S316" s="6" t="s">
        <v>909</v>
      </c>
      <c r="T316" s="6" t="s">
        <v>254</v>
      </c>
      <c r="U316" s="23" t="n">
        <v>2.091</v>
      </c>
      <c r="V316" s="6" t="s">
        <v>7560</v>
      </c>
      <c r="W316" s="6" t="s">
        <v>7561</v>
      </c>
      <c r="X316" s="6" t="s">
        <v>7562</v>
      </c>
      <c r="Y316" s="6" t="s">
        <v>86</v>
      </c>
      <c r="Z316" s="6" t="n">
        <v>0</v>
      </c>
      <c r="AA316" s="6" t="n">
        <v>0</v>
      </c>
      <c r="AB316" s="6" t="n">
        <v>0</v>
      </c>
      <c r="AC316" s="6" t="n">
        <v>0</v>
      </c>
      <c r="AD316" s="6" t="n">
        <v>0</v>
      </c>
      <c r="AE316" s="6" t="n">
        <v>0</v>
      </c>
      <c r="AF316" s="6" t="n">
        <v>1</v>
      </c>
      <c r="AG316" s="6" t="n">
        <v>0</v>
      </c>
      <c r="AH316" s="6" t="n">
        <v>0</v>
      </c>
      <c r="AI316" s="6" t="s">
        <v>84</v>
      </c>
    </row>
    <row r="317" customFormat="false" ht="15" hidden="false" customHeight="false" outlineLevel="0" collapsed="false">
      <c r="A317" s="6" t="n">
        <v>316</v>
      </c>
      <c r="B317" s="6" t="s">
        <v>7563</v>
      </c>
      <c r="C317" s="6" t="n">
        <v>7</v>
      </c>
      <c r="D317" s="6" t="s">
        <v>154</v>
      </c>
      <c r="E317" s="6" t="s">
        <v>123</v>
      </c>
      <c r="F317" s="6" t="n">
        <v>1</v>
      </c>
      <c r="G317" s="6" t="n">
        <v>10</v>
      </c>
      <c r="H317" s="6" t="s">
        <v>865</v>
      </c>
      <c r="I317" s="22" t="n">
        <v>520000</v>
      </c>
      <c r="J317" s="22" t="n">
        <v>5000</v>
      </c>
      <c r="K317" s="22" t="n">
        <v>39375</v>
      </c>
      <c r="L317" s="22" t="n">
        <v>564375</v>
      </c>
      <c r="M317" s="6" t="s">
        <v>94</v>
      </c>
      <c r="N317" s="6" t="s">
        <v>84</v>
      </c>
      <c r="O317" s="6" t="s">
        <v>909</v>
      </c>
      <c r="P317" s="6" t="s">
        <v>85</v>
      </c>
      <c r="Q317" s="6" t="str">
        <f aca="false">IF(P317="pass","No","Yes")</f>
        <v>Yes</v>
      </c>
      <c r="R317" s="6" t="s">
        <v>86</v>
      </c>
      <c r="S317" s="6" t="s">
        <v>909</v>
      </c>
      <c r="T317" s="6" t="s">
        <v>254</v>
      </c>
      <c r="U317" s="23" t="n">
        <v>2.087</v>
      </c>
      <c r="V317" s="6" t="s">
        <v>7564</v>
      </c>
      <c r="W317" s="6" t="s">
        <v>7565</v>
      </c>
      <c r="X317" s="6" t="s">
        <v>7566</v>
      </c>
      <c r="Y317" s="6" t="s">
        <v>86</v>
      </c>
      <c r="Z317" s="6" t="n">
        <v>0</v>
      </c>
      <c r="AA317" s="6" t="n">
        <v>0</v>
      </c>
      <c r="AB317" s="6" t="n">
        <v>0</v>
      </c>
      <c r="AC317" s="6" t="n">
        <v>0</v>
      </c>
      <c r="AD317" s="6" t="n">
        <v>0</v>
      </c>
      <c r="AE317" s="6" t="n">
        <v>0</v>
      </c>
      <c r="AF317" s="6" t="n">
        <v>1</v>
      </c>
      <c r="AG317" s="6" t="n">
        <v>0</v>
      </c>
      <c r="AH317" s="6" t="n">
        <v>0</v>
      </c>
      <c r="AI317" s="6" t="s">
        <v>84</v>
      </c>
    </row>
    <row r="318" customFormat="false" ht="15" hidden="false" customHeight="false" outlineLevel="0" collapsed="false">
      <c r="A318" s="6" t="n">
        <v>317</v>
      </c>
      <c r="B318" s="6" t="s">
        <v>7567</v>
      </c>
      <c r="C318" s="6" t="n">
        <v>7</v>
      </c>
      <c r="D318" s="6" t="s">
        <v>105</v>
      </c>
      <c r="E318" s="6" t="s">
        <v>81</v>
      </c>
      <c r="F318" s="6" t="n">
        <v>1</v>
      </c>
      <c r="G318" s="6" t="n">
        <v>22</v>
      </c>
      <c r="H318" s="6" t="s">
        <v>7568</v>
      </c>
      <c r="I318" s="22" t="n">
        <v>158400</v>
      </c>
      <c r="J318" s="22" t="n">
        <v>4000</v>
      </c>
      <c r="K318" s="22" t="n">
        <v>12180</v>
      </c>
      <c r="L318" s="22" t="n">
        <v>174580</v>
      </c>
      <c r="M318" s="6" t="s">
        <v>57</v>
      </c>
      <c r="N318" s="6" t="s">
        <v>58</v>
      </c>
      <c r="O318" s="6"/>
      <c r="P318" s="6" t="s">
        <v>69</v>
      </c>
      <c r="Q318" s="6" t="str">
        <f aca="false">IF(P318="pass","No","Yes")</f>
        <v>No</v>
      </c>
      <c r="R318" s="6" t="s">
        <v>60</v>
      </c>
      <c r="S318" s="6"/>
      <c r="T318" s="6"/>
      <c r="U318" s="23" t="n">
        <v>2.61</v>
      </c>
      <c r="V318" s="6" t="s">
        <v>7569</v>
      </c>
      <c r="W318" s="6" t="s">
        <v>7570</v>
      </c>
      <c r="X318" s="6" t="s">
        <v>7571</v>
      </c>
      <c r="Y318" s="6" t="s">
        <v>60</v>
      </c>
      <c r="Z318" s="6" t="n">
        <v>0</v>
      </c>
      <c r="AA318" s="6" t="n">
        <v>0</v>
      </c>
      <c r="AB318" s="6" t="n">
        <v>0</v>
      </c>
      <c r="AC318" s="6" t="n">
        <v>0</v>
      </c>
      <c r="AD318" s="6" t="n">
        <v>0</v>
      </c>
      <c r="AE318" s="6" t="n">
        <v>0</v>
      </c>
      <c r="AF318" s="6" t="n">
        <v>0</v>
      </c>
      <c r="AG318" s="6" t="n">
        <v>0</v>
      </c>
      <c r="AH318" s="6" t="n">
        <v>0</v>
      </c>
      <c r="AI318" s="6" t="s">
        <v>84</v>
      </c>
    </row>
    <row r="319" customFormat="false" ht="15" hidden="false" customHeight="false" outlineLevel="0" collapsed="false">
      <c r="A319" s="6" t="n">
        <v>318</v>
      </c>
      <c r="B319" s="6" t="s">
        <v>7572</v>
      </c>
      <c r="C319" s="6" t="n">
        <v>7</v>
      </c>
      <c r="D319" s="6" t="s">
        <v>213</v>
      </c>
      <c r="E319" s="6" t="s">
        <v>67</v>
      </c>
      <c r="F319" s="6" t="n">
        <v>2</v>
      </c>
      <c r="G319" s="6" t="n">
        <v>14</v>
      </c>
      <c r="H319" s="6" t="s">
        <v>7573</v>
      </c>
      <c r="I319" s="22" t="n">
        <v>511000</v>
      </c>
      <c r="J319" s="22" t="n">
        <v>4500</v>
      </c>
      <c r="K319" s="22" t="n">
        <v>38662.5</v>
      </c>
      <c r="L319" s="22" t="n">
        <v>554162.5</v>
      </c>
      <c r="M319" s="6" t="s">
        <v>224</v>
      </c>
      <c r="N319" s="6" t="s">
        <v>84</v>
      </c>
      <c r="O319" s="6" t="s">
        <v>866</v>
      </c>
      <c r="P319" s="6" t="s">
        <v>85</v>
      </c>
      <c r="Q319" s="6" t="str">
        <f aca="false">IF(P319="pass","No","Yes")</f>
        <v>Yes</v>
      </c>
      <c r="R319" s="6" t="s">
        <v>86</v>
      </c>
      <c r="S319" s="6" t="s">
        <v>866</v>
      </c>
      <c r="T319" s="6" t="s">
        <v>225</v>
      </c>
      <c r="U319" s="23" t="n">
        <v>2.207</v>
      </c>
      <c r="V319" s="6" t="s">
        <v>7574</v>
      </c>
      <c r="W319" s="6" t="s">
        <v>7575</v>
      </c>
      <c r="X319" s="6" t="s">
        <v>7576</v>
      </c>
      <c r="Y319" s="6" t="s">
        <v>86</v>
      </c>
      <c r="Z319" s="6" t="n">
        <v>1</v>
      </c>
      <c r="AA319" s="6" t="n">
        <v>0</v>
      </c>
      <c r="AB319" s="6" t="n">
        <v>0</v>
      </c>
      <c r="AC319" s="6" t="n">
        <v>0</v>
      </c>
      <c r="AD319" s="6" t="n">
        <v>0</v>
      </c>
      <c r="AE319" s="6" t="n">
        <v>0</v>
      </c>
      <c r="AF319" s="6" t="n">
        <v>0</v>
      </c>
      <c r="AG319" s="6" t="n">
        <v>0</v>
      </c>
      <c r="AH319" s="6" t="n">
        <v>0</v>
      </c>
      <c r="AI319" s="6" t="s">
        <v>58</v>
      </c>
    </row>
    <row r="320" customFormat="false" ht="15" hidden="false" customHeight="false" outlineLevel="0" collapsed="false">
      <c r="A320" s="6" t="n">
        <v>319</v>
      </c>
      <c r="B320" s="6" t="s">
        <v>7577</v>
      </c>
      <c r="C320" s="6" t="n">
        <v>7</v>
      </c>
      <c r="D320" s="6" t="s">
        <v>51</v>
      </c>
      <c r="E320" s="6" t="s">
        <v>55</v>
      </c>
      <c r="F320" s="6" t="n">
        <v>3</v>
      </c>
      <c r="G320" s="6" t="n">
        <v>156</v>
      </c>
      <c r="H320" s="6" t="s">
        <v>7578</v>
      </c>
      <c r="I320" s="22" t="n">
        <v>1681500</v>
      </c>
      <c r="J320" s="22" t="n">
        <v>6000</v>
      </c>
      <c r="K320" s="22" t="n">
        <v>126562.5</v>
      </c>
      <c r="L320" s="22" t="n">
        <v>1814062.5</v>
      </c>
      <c r="M320" s="6" t="s">
        <v>83</v>
      </c>
      <c r="N320" s="6" t="s">
        <v>84</v>
      </c>
      <c r="O320" s="6" t="s">
        <v>886</v>
      </c>
      <c r="P320" s="6" t="s">
        <v>85</v>
      </c>
      <c r="Q320" s="6" t="str">
        <f aca="false">IF(P320="pass","No","Yes")</f>
        <v>Yes</v>
      </c>
      <c r="R320" s="6" t="s">
        <v>86</v>
      </c>
      <c r="S320" s="6" t="s">
        <v>1479</v>
      </c>
      <c r="T320" s="6" t="s">
        <v>7579</v>
      </c>
      <c r="U320" s="23" t="n">
        <v>2.387</v>
      </c>
      <c r="V320" s="6" t="s">
        <v>7580</v>
      </c>
      <c r="W320" s="6" t="s">
        <v>7581</v>
      </c>
      <c r="X320" s="6" t="s">
        <v>7582</v>
      </c>
      <c r="Y320" s="6" t="s">
        <v>86</v>
      </c>
      <c r="Z320" s="6" t="n">
        <v>0</v>
      </c>
      <c r="AA320" s="6" t="n">
        <v>0</v>
      </c>
      <c r="AB320" s="6" t="n">
        <v>1</v>
      </c>
      <c r="AC320" s="6" t="n">
        <v>0</v>
      </c>
      <c r="AD320" s="6" t="n">
        <v>0</v>
      </c>
      <c r="AE320" s="6" t="n">
        <v>0</v>
      </c>
      <c r="AF320" s="6" t="n">
        <v>0</v>
      </c>
      <c r="AG320" s="6" t="n">
        <v>0</v>
      </c>
      <c r="AH320" s="6" t="n">
        <v>1</v>
      </c>
      <c r="AI320" s="6" t="s">
        <v>84</v>
      </c>
    </row>
    <row r="321" customFormat="false" ht="15" hidden="false" customHeight="false" outlineLevel="0" collapsed="false">
      <c r="A321" s="6" t="n">
        <v>320</v>
      </c>
      <c r="B321" s="6" t="s">
        <v>7583</v>
      </c>
      <c r="C321" s="6" t="n">
        <v>7</v>
      </c>
      <c r="D321" s="6" t="s">
        <v>154</v>
      </c>
      <c r="E321" s="6" t="s">
        <v>123</v>
      </c>
      <c r="F321" s="6" t="n">
        <v>3</v>
      </c>
      <c r="G321" s="6" t="n">
        <v>53</v>
      </c>
      <c r="H321" s="6" t="s">
        <v>7584</v>
      </c>
      <c r="I321" s="22" t="n">
        <v>1121000</v>
      </c>
      <c r="J321" s="22" t="n">
        <v>5000</v>
      </c>
      <c r="K321" s="22" t="n">
        <v>84450</v>
      </c>
      <c r="L321" s="22" t="n">
        <v>1210450</v>
      </c>
      <c r="M321" s="6" t="s">
        <v>57</v>
      </c>
      <c r="N321" s="6" t="s">
        <v>58</v>
      </c>
      <c r="O321" s="6"/>
      <c r="P321" s="6" t="s">
        <v>69</v>
      </c>
      <c r="Q321" s="6" t="str">
        <f aca="false">IF(P321="pass","No","Yes")</f>
        <v>No</v>
      </c>
      <c r="R321" s="6" t="s">
        <v>60</v>
      </c>
      <c r="S321" s="6"/>
      <c r="T321" s="6"/>
      <c r="U321" s="23" t="n">
        <v>2.64</v>
      </c>
      <c r="V321" s="6" t="s">
        <v>7585</v>
      </c>
      <c r="W321" s="6" t="s">
        <v>7586</v>
      </c>
      <c r="X321" s="6" t="s">
        <v>7587</v>
      </c>
      <c r="Y321" s="6" t="s">
        <v>60</v>
      </c>
      <c r="Z321" s="6" t="n">
        <v>0</v>
      </c>
      <c r="AA321" s="6" t="n">
        <v>0</v>
      </c>
      <c r="AB321" s="6" t="n">
        <v>0</v>
      </c>
      <c r="AC321" s="6" t="n">
        <v>0</v>
      </c>
      <c r="AD321" s="6" t="n">
        <v>0</v>
      </c>
      <c r="AE321" s="6" t="n">
        <v>0</v>
      </c>
      <c r="AF321" s="6" t="n">
        <v>0</v>
      </c>
      <c r="AG321" s="6" t="n">
        <v>0</v>
      </c>
      <c r="AH321" s="6" t="n">
        <v>0</v>
      </c>
      <c r="AI321" s="6" t="s">
        <v>84</v>
      </c>
    </row>
    <row r="322" customFormat="false" ht="15" hidden="false" customHeight="false" outlineLevel="0" collapsed="false">
      <c r="A322" s="6" t="n">
        <v>321</v>
      </c>
      <c r="B322" s="6" t="s">
        <v>7588</v>
      </c>
      <c r="C322" s="6" t="n">
        <v>7</v>
      </c>
      <c r="D322" s="6" t="s">
        <v>137</v>
      </c>
      <c r="E322" s="6" t="s">
        <v>55</v>
      </c>
      <c r="F322" s="6" t="n">
        <v>4</v>
      </c>
      <c r="G322" s="6" t="n">
        <v>83</v>
      </c>
      <c r="H322" s="6" t="s">
        <v>7589</v>
      </c>
      <c r="I322" s="22" t="n">
        <v>1446000</v>
      </c>
      <c r="J322" s="22" t="n">
        <v>6000</v>
      </c>
      <c r="K322" s="22" t="n">
        <v>108900</v>
      </c>
      <c r="L322" s="22" t="n">
        <v>1560900</v>
      </c>
      <c r="M322" s="6" t="s">
        <v>272</v>
      </c>
      <c r="N322" s="6" t="s">
        <v>84</v>
      </c>
      <c r="O322" s="6" t="s">
        <v>879</v>
      </c>
      <c r="P322" s="6" t="s">
        <v>85</v>
      </c>
      <c r="Q322" s="6" t="str">
        <f aca="false">IF(P322="pass","No","Yes")</f>
        <v>Yes</v>
      </c>
      <c r="R322" s="6" t="s">
        <v>86</v>
      </c>
      <c r="S322" s="6" t="s">
        <v>879</v>
      </c>
      <c r="T322" s="6" t="s">
        <v>7590</v>
      </c>
      <c r="U322" s="23" t="n">
        <v>2.365</v>
      </c>
      <c r="V322" s="6" t="s">
        <v>7591</v>
      </c>
      <c r="W322" s="6" t="s">
        <v>7592</v>
      </c>
      <c r="X322" s="6" t="s">
        <v>7593</v>
      </c>
      <c r="Y322" s="6" t="s">
        <v>86</v>
      </c>
      <c r="Z322" s="6" t="n">
        <v>0</v>
      </c>
      <c r="AA322" s="6" t="n">
        <v>1</v>
      </c>
      <c r="AB322" s="6" t="n">
        <v>0</v>
      </c>
      <c r="AC322" s="6" t="n">
        <v>0</v>
      </c>
      <c r="AD322" s="6" t="n">
        <v>0</v>
      </c>
      <c r="AE322" s="6" t="n">
        <v>0</v>
      </c>
      <c r="AF322" s="6" t="n">
        <v>0</v>
      </c>
      <c r="AG322" s="6" t="n">
        <v>0</v>
      </c>
      <c r="AH322" s="6" t="n">
        <v>0</v>
      </c>
      <c r="AI322" s="6" t="s">
        <v>84</v>
      </c>
    </row>
    <row r="323" customFormat="false" ht="15" hidden="false" customHeight="false" outlineLevel="0" collapsed="false">
      <c r="A323" s="6" t="n">
        <v>322</v>
      </c>
      <c r="B323" s="6" t="s">
        <v>7594</v>
      </c>
      <c r="C323" s="6" t="n">
        <v>7</v>
      </c>
      <c r="D323" s="6" t="s">
        <v>63</v>
      </c>
      <c r="E323" s="6" t="s">
        <v>67</v>
      </c>
      <c r="F323" s="6" t="n">
        <v>2</v>
      </c>
      <c r="G323" s="6" t="n">
        <v>26</v>
      </c>
      <c r="H323" s="6" t="s">
        <v>7595</v>
      </c>
      <c r="I323" s="22" t="n">
        <v>1128000</v>
      </c>
      <c r="J323" s="22" t="n">
        <v>4500</v>
      </c>
      <c r="K323" s="22" t="n">
        <v>84937.5</v>
      </c>
      <c r="L323" s="22" t="n">
        <v>1217437.5</v>
      </c>
      <c r="M323" s="6" t="s">
        <v>57</v>
      </c>
      <c r="N323" s="6" t="s">
        <v>58</v>
      </c>
      <c r="O323" s="6"/>
      <c r="P323" s="6" t="s">
        <v>69</v>
      </c>
      <c r="Q323" s="6" t="str">
        <f aca="false">IF(P323="pass","No","Yes")</f>
        <v>No</v>
      </c>
      <c r="R323" s="6" t="s">
        <v>60</v>
      </c>
      <c r="S323" s="6"/>
      <c r="T323" s="6"/>
      <c r="U323" s="23" t="n">
        <v>2.653</v>
      </c>
      <c r="V323" s="6" t="s">
        <v>7596</v>
      </c>
      <c r="W323" s="6" t="s">
        <v>7597</v>
      </c>
      <c r="X323" s="6" t="s">
        <v>7598</v>
      </c>
      <c r="Y323" s="6" t="s">
        <v>60</v>
      </c>
      <c r="Z323" s="6" t="n">
        <v>0</v>
      </c>
      <c r="AA323" s="6" t="n">
        <v>0</v>
      </c>
      <c r="AB323" s="6" t="n">
        <v>0</v>
      </c>
      <c r="AC323" s="6" t="n">
        <v>0</v>
      </c>
      <c r="AD323" s="6" t="n">
        <v>0</v>
      </c>
      <c r="AE323" s="6" t="n">
        <v>0</v>
      </c>
      <c r="AF323" s="6" t="n">
        <v>0</v>
      </c>
      <c r="AG323" s="6" t="n">
        <v>0</v>
      </c>
      <c r="AH323" s="6" t="n">
        <v>0</v>
      </c>
      <c r="AI323" s="6" t="s">
        <v>84</v>
      </c>
    </row>
    <row r="324" customFormat="false" ht="15" hidden="false" customHeight="false" outlineLevel="0" collapsed="false">
      <c r="A324" s="6" t="n">
        <v>323</v>
      </c>
      <c r="B324" s="6" t="s">
        <v>7599</v>
      </c>
      <c r="C324" s="6" t="n">
        <v>7</v>
      </c>
      <c r="D324" s="6" t="s">
        <v>89</v>
      </c>
      <c r="E324" s="6" t="s">
        <v>67</v>
      </c>
      <c r="F324" s="6" t="n">
        <v>3</v>
      </c>
      <c r="G324" s="6" t="n">
        <v>537</v>
      </c>
      <c r="H324" s="6" t="s">
        <v>7600</v>
      </c>
      <c r="I324" s="22" t="n">
        <v>6957200</v>
      </c>
      <c r="J324" s="22" t="n">
        <v>4500</v>
      </c>
      <c r="K324" s="22" t="n">
        <v>522127.5</v>
      </c>
      <c r="L324" s="22" t="n">
        <v>7483827.5</v>
      </c>
      <c r="M324" s="6" t="s">
        <v>171</v>
      </c>
      <c r="N324" s="6" t="s">
        <v>84</v>
      </c>
      <c r="O324" s="6" t="s">
        <v>892</v>
      </c>
      <c r="P324" s="6" t="s">
        <v>85</v>
      </c>
      <c r="Q324" s="6" t="str">
        <f aca="false">IF(P324="pass","No","Yes")</f>
        <v>Yes</v>
      </c>
      <c r="R324" s="6" t="s">
        <v>86</v>
      </c>
      <c r="S324" s="6" t="s">
        <v>893</v>
      </c>
      <c r="T324" s="6" t="s">
        <v>7601</v>
      </c>
      <c r="U324" s="23" t="n">
        <v>3.16</v>
      </c>
      <c r="V324" s="6" t="s">
        <v>7602</v>
      </c>
      <c r="W324" s="6" t="s">
        <v>7603</v>
      </c>
      <c r="X324" s="6" t="s">
        <v>7604</v>
      </c>
      <c r="Y324" s="6" t="s">
        <v>86</v>
      </c>
      <c r="Z324" s="6" t="n">
        <v>0</v>
      </c>
      <c r="AA324" s="6" t="n">
        <v>0</v>
      </c>
      <c r="AB324" s="6" t="n">
        <v>0</v>
      </c>
      <c r="AC324" s="6" t="n">
        <v>1</v>
      </c>
      <c r="AD324" s="6" t="n">
        <v>0</v>
      </c>
      <c r="AE324" s="6" t="n">
        <v>0</v>
      </c>
      <c r="AF324" s="6" t="n">
        <v>0</v>
      </c>
      <c r="AG324" s="6" t="n">
        <v>0</v>
      </c>
      <c r="AH324" s="6" t="n">
        <v>1</v>
      </c>
      <c r="AI324" s="6" t="s">
        <v>84</v>
      </c>
    </row>
    <row r="325" customFormat="false" ht="15" hidden="false" customHeight="false" outlineLevel="0" collapsed="false">
      <c r="A325" s="6" t="n">
        <v>324</v>
      </c>
      <c r="B325" s="6" t="s">
        <v>7605</v>
      </c>
      <c r="C325" s="6" t="n">
        <v>7</v>
      </c>
      <c r="D325" s="6" t="s">
        <v>166</v>
      </c>
      <c r="E325" s="6" t="s">
        <v>74</v>
      </c>
      <c r="F325" s="6" t="n">
        <v>3</v>
      </c>
      <c r="G325" s="6" t="n">
        <v>100</v>
      </c>
      <c r="H325" s="6" t="s">
        <v>7606</v>
      </c>
      <c r="I325" s="22" t="n">
        <v>1162600</v>
      </c>
      <c r="J325" s="22" t="n">
        <v>9000</v>
      </c>
      <c r="K325" s="22" t="n">
        <v>87870</v>
      </c>
      <c r="L325" s="22" t="n">
        <v>1259470</v>
      </c>
      <c r="M325" s="6" t="s">
        <v>94</v>
      </c>
      <c r="N325" s="6" t="s">
        <v>84</v>
      </c>
      <c r="O325" s="6" t="s">
        <v>909</v>
      </c>
      <c r="P325" s="6" t="s">
        <v>85</v>
      </c>
      <c r="Q325" s="6" t="str">
        <f aca="false">IF(P325="pass","No","Yes")</f>
        <v>Yes</v>
      </c>
      <c r="R325" s="6" t="s">
        <v>86</v>
      </c>
      <c r="S325" s="6" t="s">
        <v>909</v>
      </c>
      <c r="T325" s="6" t="s">
        <v>254</v>
      </c>
      <c r="U325" s="23" t="n">
        <v>2.219</v>
      </c>
      <c r="V325" s="6" t="s">
        <v>7607</v>
      </c>
      <c r="W325" s="6" t="s">
        <v>7608</v>
      </c>
      <c r="X325" s="6" t="s">
        <v>7609</v>
      </c>
      <c r="Y325" s="6" t="s">
        <v>86</v>
      </c>
      <c r="Z325" s="6" t="n">
        <v>0</v>
      </c>
      <c r="AA325" s="6" t="n">
        <v>0</v>
      </c>
      <c r="AB325" s="6" t="n">
        <v>0</v>
      </c>
      <c r="AC325" s="6" t="n">
        <v>0</v>
      </c>
      <c r="AD325" s="6" t="n">
        <v>0</v>
      </c>
      <c r="AE325" s="6" t="n">
        <v>0</v>
      </c>
      <c r="AF325" s="6" t="n">
        <v>1</v>
      </c>
      <c r="AG325" s="6" t="n">
        <v>0</v>
      </c>
      <c r="AH325" s="6" t="n">
        <v>0</v>
      </c>
      <c r="AI325" s="6" t="s">
        <v>84</v>
      </c>
    </row>
    <row r="326" customFormat="false" ht="15" hidden="false" customHeight="false" outlineLevel="0" collapsed="false">
      <c r="A326" s="6" t="n">
        <v>325</v>
      </c>
      <c r="B326" s="6" t="s">
        <v>7610</v>
      </c>
      <c r="C326" s="6" t="n">
        <v>7</v>
      </c>
      <c r="D326" s="6" t="s">
        <v>142</v>
      </c>
      <c r="E326" s="6" t="s">
        <v>74</v>
      </c>
      <c r="F326" s="6" t="n">
        <v>3</v>
      </c>
      <c r="G326" s="6" t="n">
        <v>44</v>
      </c>
      <c r="H326" s="6" t="s">
        <v>7611</v>
      </c>
      <c r="I326" s="22" t="n">
        <v>416200</v>
      </c>
      <c r="J326" s="22" t="n">
        <v>9000</v>
      </c>
      <c r="K326" s="22" t="n">
        <v>31890</v>
      </c>
      <c r="L326" s="22" t="n">
        <v>457090</v>
      </c>
      <c r="M326" s="6" t="s">
        <v>83</v>
      </c>
      <c r="N326" s="6" t="s">
        <v>84</v>
      </c>
      <c r="O326" s="6" t="s">
        <v>886</v>
      </c>
      <c r="P326" s="6" t="s">
        <v>85</v>
      </c>
      <c r="Q326" s="6" t="str">
        <f aca="false">IF(P326="pass","No","Yes")</f>
        <v>Yes</v>
      </c>
      <c r="R326" s="6" t="s">
        <v>86</v>
      </c>
      <c r="S326" s="6" t="s">
        <v>886</v>
      </c>
      <c r="T326" s="6" t="s">
        <v>488</v>
      </c>
      <c r="U326" s="23" t="n">
        <v>2.174</v>
      </c>
      <c r="V326" s="6" t="s">
        <v>7612</v>
      </c>
      <c r="W326" s="6" t="s">
        <v>7613</v>
      </c>
      <c r="X326" s="6" t="s">
        <v>7614</v>
      </c>
      <c r="Y326" s="6" t="s">
        <v>86</v>
      </c>
      <c r="Z326" s="6" t="n">
        <v>0</v>
      </c>
      <c r="AA326" s="6" t="n">
        <v>0</v>
      </c>
      <c r="AB326" s="6" t="n">
        <v>1</v>
      </c>
      <c r="AC326" s="6" t="n">
        <v>0</v>
      </c>
      <c r="AD326" s="6" t="n">
        <v>0</v>
      </c>
      <c r="AE326" s="6" t="n">
        <v>0</v>
      </c>
      <c r="AF326" s="6" t="n">
        <v>0</v>
      </c>
      <c r="AG326" s="6" t="n">
        <v>0</v>
      </c>
      <c r="AH326" s="6" t="n">
        <v>0</v>
      </c>
      <c r="AI326" s="6" t="s">
        <v>84</v>
      </c>
    </row>
    <row r="327" customFormat="false" ht="15" hidden="false" customHeight="false" outlineLevel="0" collapsed="false">
      <c r="A327" s="6" t="n">
        <v>326</v>
      </c>
      <c r="B327" s="6" t="s">
        <v>7615</v>
      </c>
      <c r="C327" s="6" t="n">
        <v>7</v>
      </c>
      <c r="D327" s="6" t="s">
        <v>51</v>
      </c>
      <c r="E327" s="6" t="s">
        <v>55</v>
      </c>
      <c r="F327" s="6" t="n">
        <v>4</v>
      </c>
      <c r="G327" s="6" t="n">
        <v>71</v>
      </c>
      <c r="H327" s="6" t="s">
        <v>7616</v>
      </c>
      <c r="I327" s="22" t="n">
        <v>1229900</v>
      </c>
      <c r="J327" s="22" t="n">
        <v>6000</v>
      </c>
      <c r="K327" s="22" t="n">
        <v>92692.5</v>
      </c>
      <c r="L327" s="22" t="n">
        <v>1328592.5</v>
      </c>
      <c r="M327" s="6" t="s">
        <v>132</v>
      </c>
      <c r="N327" s="6" t="s">
        <v>84</v>
      </c>
      <c r="O327" s="6" t="s">
        <v>879</v>
      </c>
      <c r="P327" s="6" t="s">
        <v>85</v>
      </c>
      <c r="Q327" s="6" t="str">
        <f aca="false">IF(P327="pass","No","Yes")</f>
        <v>Yes</v>
      </c>
      <c r="R327" s="6" t="s">
        <v>86</v>
      </c>
      <c r="S327" s="6" t="s">
        <v>880</v>
      </c>
      <c r="T327" s="6" t="s">
        <v>134</v>
      </c>
      <c r="U327" s="23" t="n">
        <v>2.315</v>
      </c>
      <c r="V327" s="6" t="s">
        <v>7617</v>
      </c>
      <c r="W327" s="6" t="s">
        <v>7618</v>
      </c>
      <c r="X327" s="6" t="s">
        <v>7619</v>
      </c>
      <c r="Y327" s="6" t="s">
        <v>86</v>
      </c>
      <c r="Z327" s="6" t="n">
        <v>0</v>
      </c>
      <c r="AA327" s="6" t="n">
        <v>1</v>
      </c>
      <c r="AB327" s="6" t="n">
        <v>0</v>
      </c>
      <c r="AC327" s="6" t="n">
        <v>1</v>
      </c>
      <c r="AD327" s="6" t="n">
        <v>0</v>
      </c>
      <c r="AE327" s="6" t="n">
        <v>0</v>
      </c>
      <c r="AF327" s="6" t="n">
        <v>0</v>
      </c>
      <c r="AG327" s="6" t="n">
        <v>0</v>
      </c>
      <c r="AH327" s="6" t="n">
        <v>0</v>
      </c>
      <c r="AI327" s="6" t="s">
        <v>84</v>
      </c>
    </row>
    <row r="328" customFormat="false" ht="15" hidden="false" customHeight="false" outlineLevel="0" collapsed="false">
      <c r="A328" s="6" t="n">
        <v>327</v>
      </c>
      <c r="B328" s="6" t="s">
        <v>7620</v>
      </c>
      <c r="C328" s="6" t="n">
        <v>7</v>
      </c>
      <c r="D328" s="6" t="s">
        <v>142</v>
      </c>
      <c r="E328" s="6" t="s">
        <v>74</v>
      </c>
      <c r="F328" s="6" t="n">
        <v>2</v>
      </c>
      <c r="G328" s="6" t="n">
        <v>272</v>
      </c>
      <c r="H328" s="6" t="s">
        <v>7621</v>
      </c>
      <c r="I328" s="22" t="n">
        <v>2573200</v>
      </c>
      <c r="J328" s="22" t="n">
        <v>9000</v>
      </c>
      <c r="K328" s="22" t="n">
        <v>193665</v>
      </c>
      <c r="L328" s="22" t="n">
        <v>2775865</v>
      </c>
      <c r="M328" s="6" t="s">
        <v>927</v>
      </c>
      <c r="N328" s="6" t="s">
        <v>58</v>
      </c>
      <c r="O328" s="6"/>
      <c r="P328" s="6" t="s">
        <v>59</v>
      </c>
      <c r="Q328" s="6" t="str">
        <f aca="false">IF(P328="pass","No","Yes")</f>
        <v>Yes</v>
      </c>
      <c r="R328" s="6" t="s">
        <v>60</v>
      </c>
      <c r="S328" s="6" t="s">
        <v>915</v>
      </c>
      <c r="T328" s="6" t="s">
        <v>7622</v>
      </c>
      <c r="U328" s="23" t="n">
        <v>2.552</v>
      </c>
      <c r="V328" s="6" t="s">
        <v>7623</v>
      </c>
      <c r="W328" s="6" t="s">
        <v>7624</v>
      </c>
      <c r="X328" s="6" t="s">
        <v>7625</v>
      </c>
      <c r="Y328" s="6" t="s">
        <v>60</v>
      </c>
      <c r="Z328" s="6" t="n">
        <v>0</v>
      </c>
      <c r="AA328" s="6" t="n">
        <v>0</v>
      </c>
      <c r="AB328" s="6" t="n">
        <v>0</v>
      </c>
      <c r="AC328" s="6" t="n">
        <v>0</v>
      </c>
      <c r="AD328" s="6" t="n">
        <v>0</v>
      </c>
      <c r="AE328" s="6" t="n">
        <v>0</v>
      </c>
      <c r="AF328" s="6" t="n">
        <v>0</v>
      </c>
      <c r="AG328" s="6" t="n">
        <v>0</v>
      </c>
      <c r="AH328" s="6" t="n">
        <v>1</v>
      </c>
      <c r="AI328" s="6" t="s">
        <v>84</v>
      </c>
    </row>
    <row r="329" customFormat="false" ht="15" hidden="false" customHeight="false" outlineLevel="0" collapsed="false">
      <c r="A329" s="6" t="n">
        <v>328</v>
      </c>
      <c r="B329" s="6" t="s">
        <v>7626</v>
      </c>
      <c r="C329" s="6" t="n">
        <v>7</v>
      </c>
      <c r="D329" s="6" t="s">
        <v>112</v>
      </c>
      <c r="E329" s="6" t="s">
        <v>116</v>
      </c>
      <c r="F329" s="6" t="n">
        <v>2</v>
      </c>
      <c r="G329" s="6" t="n">
        <v>71</v>
      </c>
      <c r="H329" s="6" t="s">
        <v>7627</v>
      </c>
      <c r="I329" s="22" t="n">
        <v>916400</v>
      </c>
      <c r="J329" s="22" t="n">
        <v>15000</v>
      </c>
      <c r="K329" s="22" t="n">
        <v>69855</v>
      </c>
      <c r="L329" s="22" t="n">
        <v>1001255</v>
      </c>
      <c r="M329" s="6" t="s">
        <v>57</v>
      </c>
      <c r="N329" s="6" t="s">
        <v>58</v>
      </c>
      <c r="O329" s="6"/>
      <c r="P329" s="6" t="s">
        <v>69</v>
      </c>
      <c r="Q329" s="6" t="str">
        <f aca="false">IF(P329="pass","No","Yes")</f>
        <v>No</v>
      </c>
      <c r="R329" s="6" t="s">
        <v>60</v>
      </c>
      <c r="S329" s="6"/>
      <c r="T329" s="6"/>
      <c r="U329" s="23" t="n">
        <v>2.571</v>
      </c>
      <c r="V329" s="6" t="s">
        <v>7628</v>
      </c>
      <c r="W329" s="6" t="s">
        <v>7629</v>
      </c>
      <c r="X329" s="6" t="s">
        <v>7630</v>
      </c>
      <c r="Y329" s="6" t="s">
        <v>60</v>
      </c>
      <c r="Z329" s="6" t="n">
        <v>0</v>
      </c>
      <c r="AA329" s="6" t="n">
        <v>0</v>
      </c>
      <c r="AB329" s="6" t="n">
        <v>0</v>
      </c>
      <c r="AC329" s="6" t="n">
        <v>0</v>
      </c>
      <c r="AD329" s="6" t="n">
        <v>0</v>
      </c>
      <c r="AE329" s="6" t="n">
        <v>0</v>
      </c>
      <c r="AF329" s="6" t="n">
        <v>0</v>
      </c>
      <c r="AG329" s="6" t="n">
        <v>0</v>
      </c>
      <c r="AH329" s="6" t="n">
        <v>0</v>
      </c>
      <c r="AI329" s="6" t="s">
        <v>84</v>
      </c>
    </row>
    <row r="330" customFormat="false" ht="15" hidden="false" customHeight="false" outlineLevel="0" collapsed="false">
      <c r="A330" s="6" t="n">
        <v>329</v>
      </c>
      <c r="B330" s="6" t="s">
        <v>7631</v>
      </c>
      <c r="C330" s="6" t="n">
        <v>7</v>
      </c>
      <c r="D330" s="6" t="s">
        <v>198</v>
      </c>
      <c r="E330" s="6" t="s">
        <v>81</v>
      </c>
      <c r="F330" s="6" t="n">
        <v>3</v>
      </c>
      <c r="G330" s="6" t="n">
        <v>193</v>
      </c>
      <c r="H330" s="6" t="s">
        <v>7632</v>
      </c>
      <c r="I330" s="22" t="n">
        <v>2065900</v>
      </c>
      <c r="J330" s="22" t="n">
        <v>4000</v>
      </c>
      <c r="K330" s="22" t="n">
        <v>155242.5</v>
      </c>
      <c r="L330" s="22" t="n">
        <v>2225142.5</v>
      </c>
      <c r="M330" s="6" t="s">
        <v>984</v>
      </c>
      <c r="N330" s="6" t="s">
        <v>84</v>
      </c>
      <c r="O330" s="6" t="s">
        <v>985</v>
      </c>
      <c r="P330" s="6" t="s">
        <v>85</v>
      </c>
      <c r="Q330" s="6" t="str">
        <f aca="false">IF(P330="pass","No","Yes")</f>
        <v>Yes</v>
      </c>
      <c r="R330" s="6" t="s">
        <v>86</v>
      </c>
      <c r="S330" s="6" t="s">
        <v>985</v>
      </c>
      <c r="T330" s="6" t="s">
        <v>3809</v>
      </c>
      <c r="U330" s="23" t="n">
        <v>2.486</v>
      </c>
      <c r="V330" s="6" t="s">
        <v>7633</v>
      </c>
      <c r="W330" s="6" t="s">
        <v>7634</v>
      </c>
      <c r="X330" s="6" t="s">
        <v>7635</v>
      </c>
      <c r="Y330" s="6" t="s">
        <v>86</v>
      </c>
      <c r="Z330" s="6" t="n">
        <v>0</v>
      </c>
      <c r="AA330" s="6" t="n">
        <v>0</v>
      </c>
      <c r="AB330" s="6" t="n">
        <v>0</v>
      </c>
      <c r="AC330" s="6" t="n">
        <v>0</v>
      </c>
      <c r="AD330" s="6" t="n">
        <v>0</v>
      </c>
      <c r="AE330" s="6" t="n">
        <v>1</v>
      </c>
      <c r="AF330" s="6" t="n">
        <v>0</v>
      </c>
      <c r="AG330" s="6" t="n">
        <v>0</v>
      </c>
      <c r="AH330" s="6" t="n">
        <v>0</v>
      </c>
      <c r="AI330" s="6" t="s">
        <v>84</v>
      </c>
    </row>
    <row r="331" customFormat="false" ht="15" hidden="false" customHeight="false" outlineLevel="0" collapsed="false">
      <c r="A331" s="6" t="n">
        <v>330</v>
      </c>
      <c r="B331" s="6" t="s">
        <v>7636</v>
      </c>
      <c r="C331" s="6" t="n">
        <v>7</v>
      </c>
      <c r="D331" s="6" t="s">
        <v>112</v>
      </c>
      <c r="E331" s="6" t="s">
        <v>146</v>
      </c>
      <c r="F331" s="6" t="n">
        <v>3</v>
      </c>
      <c r="G331" s="6" t="n">
        <v>79</v>
      </c>
      <c r="H331" s="6" t="s">
        <v>7637</v>
      </c>
      <c r="I331" s="22" t="n">
        <v>784400</v>
      </c>
      <c r="J331" s="22" t="n">
        <v>0</v>
      </c>
      <c r="K331" s="22" t="n">
        <v>58830</v>
      </c>
      <c r="L331" s="22" t="n">
        <v>843230</v>
      </c>
      <c r="M331" s="6" t="s">
        <v>148</v>
      </c>
      <c r="N331" s="6" t="s">
        <v>84</v>
      </c>
      <c r="O331" s="6" t="s">
        <v>866</v>
      </c>
      <c r="P331" s="6" t="s">
        <v>85</v>
      </c>
      <c r="Q331" s="6" t="str">
        <f aca="false">IF(P331="pass","No","Yes")</f>
        <v>Yes</v>
      </c>
      <c r="R331" s="6" t="s">
        <v>86</v>
      </c>
      <c r="S331" s="6" t="s">
        <v>866</v>
      </c>
      <c r="T331" s="6" t="s">
        <v>150</v>
      </c>
      <c r="U331" s="23" t="n">
        <v>2.148</v>
      </c>
      <c r="V331" s="6" t="s">
        <v>7638</v>
      </c>
      <c r="W331" s="6" t="s">
        <v>7639</v>
      </c>
      <c r="X331" s="6" t="s">
        <v>7640</v>
      </c>
      <c r="Y331" s="6" t="s">
        <v>86</v>
      </c>
      <c r="Z331" s="6" t="n">
        <v>1</v>
      </c>
      <c r="AA331" s="6" t="n">
        <v>0</v>
      </c>
      <c r="AB331" s="6" t="n">
        <v>0</v>
      </c>
      <c r="AC331" s="6" t="n">
        <v>0</v>
      </c>
      <c r="AD331" s="6" t="n">
        <v>0</v>
      </c>
      <c r="AE331" s="6" t="n">
        <v>0</v>
      </c>
      <c r="AF331" s="6" t="n">
        <v>0</v>
      </c>
      <c r="AG331" s="6" t="n">
        <v>0</v>
      </c>
      <c r="AH331" s="6" t="n">
        <v>0</v>
      </c>
      <c r="AI331" s="6" t="s">
        <v>84</v>
      </c>
    </row>
    <row r="332" customFormat="false" ht="15" hidden="false" customHeight="false" outlineLevel="0" collapsed="false">
      <c r="A332" s="6" t="n">
        <v>331</v>
      </c>
      <c r="B332" s="6" t="s">
        <v>7641</v>
      </c>
      <c r="C332" s="6" t="n">
        <v>7</v>
      </c>
      <c r="D332" s="6" t="s">
        <v>177</v>
      </c>
      <c r="E332" s="6" t="s">
        <v>81</v>
      </c>
      <c r="F332" s="6" t="n">
        <v>1</v>
      </c>
      <c r="G332" s="6" t="n">
        <v>24</v>
      </c>
      <c r="H332" s="6" t="s">
        <v>3121</v>
      </c>
      <c r="I332" s="22" t="n">
        <v>206400</v>
      </c>
      <c r="J332" s="22" t="n">
        <v>4000</v>
      </c>
      <c r="K332" s="22" t="n">
        <v>15780</v>
      </c>
      <c r="L332" s="22" t="n">
        <v>226180</v>
      </c>
      <c r="M332" s="6" t="s">
        <v>57</v>
      </c>
      <c r="N332" s="6" t="s">
        <v>58</v>
      </c>
      <c r="O332" s="6"/>
      <c r="P332" s="6" t="s">
        <v>69</v>
      </c>
      <c r="Q332" s="6" t="str">
        <f aca="false">IF(P332="pass","No","Yes")</f>
        <v>No</v>
      </c>
      <c r="R332" s="6" t="s">
        <v>60</v>
      </c>
      <c r="S332" s="6"/>
      <c r="T332" s="6"/>
      <c r="U332" s="23" t="n">
        <v>2.661</v>
      </c>
      <c r="V332" s="6" t="s">
        <v>7642</v>
      </c>
      <c r="W332" s="6" t="s">
        <v>7643</v>
      </c>
      <c r="X332" s="6" t="s">
        <v>7644</v>
      </c>
      <c r="Y332" s="6" t="s">
        <v>60</v>
      </c>
      <c r="Z332" s="6" t="n">
        <v>0</v>
      </c>
      <c r="AA332" s="6" t="n">
        <v>0</v>
      </c>
      <c r="AB332" s="6" t="n">
        <v>0</v>
      </c>
      <c r="AC332" s="6" t="n">
        <v>0</v>
      </c>
      <c r="AD332" s="6" t="n">
        <v>0</v>
      </c>
      <c r="AE332" s="6" t="n">
        <v>0</v>
      </c>
      <c r="AF332" s="6" t="n">
        <v>0</v>
      </c>
      <c r="AG332" s="6" t="n">
        <v>0</v>
      </c>
      <c r="AH332" s="6" t="n">
        <v>0</v>
      </c>
      <c r="AI332" s="6" t="s">
        <v>84</v>
      </c>
    </row>
    <row r="333" customFormat="false" ht="15" hidden="false" customHeight="false" outlineLevel="0" collapsed="false">
      <c r="A333" s="6" t="n">
        <v>332</v>
      </c>
      <c r="B333" s="6" t="s">
        <v>7645</v>
      </c>
      <c r="C333" s="6" t="n">
        <v>7</v>
      </c>
      <c r="D333" s="6" t="s">
        <v>177</v>
      </c>
      <c r="E333" s="6" t="s">
        <v>81</v>
      </c>
      <c r="F333" s="6" t="n">
        <v>1</v>
      </c>
      <c r="G333" s="6" t="n">
        <v>24</v>
      </c>
      <c r="H333" s="6" t="s">
        <v>3121</v>
      </c>
      <c r="I333" s="22" t="n">
        <v>206400</v>
      </c>
      <c r="J333" s="22" t="n">
        <v>4000</v>
      </c>
      <c r="K333" s="22" t="n">
        <v>15780</v>
      </c>
      <c r="L333" s="22" t="n">
        <v>226180</v>
      </c>
      <c r="M333" s="6" t="s">
        <v>97</v>
      </c>
      <c r="N333" s="6" t="s">
        <v>84</v>
      </c>
      <c r="O333" s="6" t="s">
        <v>1185</v>
      </c>
      <c r="P333" s="6" t="s">
        <v>59</v>
      </c>
      <c r="Q333" s="6" t="str">
        <f aca="false">IF(P333="pass","No","Yes")</f>
        <v>Yes</v>
      </c>
      <c r="R333" s="6" t="s">
        <v>98</v>
      </c>
      <c r="S333" s="6" t="s">
        <v>1185</v>
      </c>
      <c r="T333" s="6" t="s">
        <v>7646</v>
      </c>
      <c r="U333" s="23" t="n">
        <v>1.458</v>
      </c>
      <c r="V333" s="6" t="s">
        <v>7647</v>
      </c>
      <c r="W333" s="6"/>
      <c r="X333" s="6" t="s">
        <v>7647</v>
      </c>
      <c r="Y333" s="6" t="s">
        <v>98</v>
      </c>
      <c r="Z333" s="6" t="n">
        <v>0</v>
      </c>
      <c r="AA333" s="6" t="n">
        <v>0</v>
      </c>
      <c r="AB333" s="6" t="n">
        <v>0</v>
      </c>
      <c r="AC333" s="6" t="n">
        <v>0</v>
      </c>
      <c r="AD333" s="6" t="n">
        <v>0</v>
      </c>
      <c r="AE333" s="6" t="n">
        <v>0</v>
      </c>
      <c r="AF333" s="6" t="n">
        <v>0</v>
      </c>
      <c r="AG333" s="6" t="n">
        <v>1</v>
      </c>
      <c r="AH333" s="6" t="n">
        <v>0</v>
      </c>
      <c r="AI333" s="6" t="s">
        <v>84</v>
      </c>
    </row>
    <row r="334" customFormat="false" ht="15" hidden="false" customHeight="false" outlineLevel="0" collapsed="false">
      <c r="A334" s="6" t="n">
        <v>333</v>
      </c>
      <c r="B334" s="6" t="s">
        <v>7648</v>
      </c>
      <c r="C334" s="6" t="n">
        <v>7</v>
      </c>
      <c r="D334" s="6" t="s">
        <v>154</v>
      </c>
      <c r="E334" s="6" t="s">
        <v>123</v>
      </c>
      <c r="F334" s="6" t="n">
        <v>1</v>
      </c>
      <c r="G334" s="6" t="n">
        <v>17</v>
      </c>
      <c r="H334" s="6" t="s">
        <v>1928</v>
      </c>
      <c r="I334" s="22" t="n">
        <v>646000</v>
      </c>
      <c r="J334" s="22" t="n">
        <v>5000</v>
      </c>
      <c r="K334" s="22" t="n">
        <v>48825</v>
      </c>
      <c r="L334" s="22" t="n">
        <v>699825</v>
      </c>
      <c r="M334" s="6" t="s">
        <v>57</v>
      </c>
      <c r="N334" s="6" t="s">
        <v>58</v>
      </c>
      <c r="O334" s="6"/>
      <c r="P334" s="6" t="s">
        <v>69</v>
      </c>
      <c r="Q334" s="6" t="str">
        <f aca="false">IF(P334="pass","No","Yes")</f>
        <v>No</v>
      </c>
      <c r="R334" s="6" t="s">
        <v>60</v>
      </c>
      <c r="S334" s="6"/>
      <c r="T334" s="6"/>
      <c r="U334" s="23" t="n">
        <v>2.577</v>
      </c>
      <c r="V334" s="6" t="s">
        <v>7649</v>
      </c>
      <c r="W334" s="6" t="s">
        <v>7650</v>
      </c>
      <c r="X334" s="6" t="s">
        <v>7651</v>
      </c>
      <c r="Y334" s="6" t="s">
        <v>60</v>
      </c>
      <c r="Z334" s="6" t="n">
        <v>0</v>
      </c>
      <c r="AA334" s="6" t="n">
        <v>0</v>
      </c>
      <c r="AB334" s="6" t="n">
        <v>0</v>
      </c>
      <c r="AC334" s="6" t="n">
        <v>0</v>
      </c>
      <c r="AD334" s="6" t="n">
        <v>0</v>
      </c>
      <c r="AE334" s="6" t="n">
        <v>0</v>
      </c>
      <c r="AF334" s="6" t="n">
        <v>0</v>
      </c>
      <c r="AG334" s="6" t="n">
        <v>0</v>
      </c>
      <c r="AH334" s="6" t="n">
        <v>0</v>
      </c>
      <c r="AI334" s="6" t="s">
        <v>84</v>
      </c>
    </row>
    <row r="335" customFormat="false" ht="15" hidden="false" customHeight="false" outlineLevel="0" collapsed="false">
      <c r="A335" s="6" t="n">
        <v>334</v>
      </c>
      <c r="B335" s="6" t="s">
        <v>7652</v>
      </c>
      <c r="C335" s="6" t="n">
        <v>7</v>
      </c>
      <c r="D335" s="6" t="s">
        <v>198</v>
      </c>
      <c r="E335" s="6" t="s">
        <v>81</v>
      </c>
      <c r="F335" s="6" t="n">
        <v>3</v>
      </c>
      <c r="G335" s="6" t="n">
        <v>112</v>
      </c>
      <c r="H335" s="6" t="s">
        <v>7653</v>
      </c>
      <c r="I335" s="22" t="n">
        <v>1291100</v>
      </c>
      <c r="J335" s="22" t="n">
        <v>4000</v>
      </c>
      <c r="K335" s="22" t="n">
        <v>97132.5</v>
      </c>
      <c r="L335" s="22" t="n">
        <v>1392232.5</v>
      </c>
      <c r="M335" s="6" t="s">
        <v>57</v>
      </c>
      <c r="N335" s="6" t="s">
        <v>58</v>
      </c>
      <c r="O335" s="6"/>
      <c r="P335" s="6" t="s">
        <v>69</v>
      </c>
      <c r="Q335" s="6" t="str">
        <f aca="false">IF(P335="pass","No","Yes")</f>
        <v>No</v>
      </c>
      <c r="R335" s="6" t="s">
        <v>60</v>
      </c>
      <c r="S335" s="6"/>
      <c r="T335" s="6"/>
      <c r="U335" s="23" t="n">
        <v>2.852</v>
      </c>
      <c r="V335" s="6" t="s">
        <v>7654</v>
      </c>
      <c r="W335" s="6" t="s">
        <v>7655</v>
      </c>
      <c r="X335" s="6" t="s">
        <v>7656</v>
      </c>
      <c r="Y335" s="6" t="s">
        <v>60</v>
      </c>
      <c r="Z335" s="6" t="n">
        <v>0</v>
      </c>
      <c r="AA335" s="6" t="n">
        <v>0</v>
      </c>
      <c r="AB335" s="6" t="n">
        <v>0</v>
      </c>
      <c r="AC335" s="6" t="n">
        <v>0</v>
      </c>
      <c r="AD335" s="6" t="n">
        <v>0</v>
      </c>
      <c r="AE335" s="6" t="n">
        <v>0</v>
      </c>
      <c r="AF335" s="6" t="n">
        <v>0</v>
      </c>
      <c r="AG335" s="6" t="n">
        <v>0</v>
      </c>
      <c r="AH335" s="6" t="n">
        <v>0</v>
      </c>
      <c r="AI335" s="6" t="s">
        <v>84</v>
      </c>
    </row>
    <row r="336" customFormat="false" ht="15" hidden="false" customHeight="false" outlineLevel="0" collapsed="false">
      <c r="A336" s="6" t="n">
        <v>335</v>
      </c>
      <c r="B336" s="6" t="s">
        <v>7657</v>
      </c>
      <c r="C336" s="6" t="n">
        <v>7</v>
      </c>
      <c r="D336" s="6" t="s">
        <v>105</v>
      </c>
      <c r="E336" s="6" t="s">
        <v>81</v>
      </c>
      <c r="F336" s="6" t="n">
        <v>1</v>
      </c>
      <c r="G336" s="6" t="n">
        <v>2</v>
      </c>
      <c r="H336" s="6" t="s">
        <v>959</v>
      </c>
      <c r="I336" s="22" t="n">
        <v>8200</v>
      </c>
      <c r="J336" s="22" t="n">
        <v>4000</v>
      </c>
      <c r="K336" s="22" t="n">
        <v>915</v>
      </c>
      <c r="L336" s="22" t="n">
        <v>13115</v>
      </c>
      <c r="M336" s="6" t="s">
        <v>57</v>
      </c>
      <c r="N336" s="6" t="s">
        <v>58</v>
      </c>
      <c r="O336" s="6"/>
      <c r="P336" s="6" t="s">
        <v>69</v>
      </c>
      <c r="Q336" s="6" t="str">
        <f aca="false">IF(P336="pass","No","Yes")</f>
        <v>No</v>
      </c>
      <c r="R336" s="6" t="s">
        <v>60</v>
      </c>
      <c r="S336" s="6"/>
      <c r="T336" s="6"/>
      <c r="U336" s="23" t="n">
        <v>2.728</v>
      </c>
      <c r="V336" s="6" t="s">
        <v>7658</v>
      </c>
      <c r="W336" s="6" t="s">
        <v>7659</v>
      </c>
      <c r="X336" s="6" t="s">
        <v>7660</v>
      </c>
      <c r="Y336" s="6" t="s">
        <v>60</v>
      </c>
      <c r="Z336" s="6" t="n">
        <v>0</v>
      </c>
      <c r="AA336" s="6" t="n">
        <v>0</v>
      </c>
      <c r="AB336" s="6" t="n">
        <v>0</v>
      </c>
      <c r="AC336" s="6" t="n">
        <v>0</v>
      </c>
      <c r="AD336" s="6" t="n">
        <v>0</v>
      </c>
      <c r="AE336" s="6" t="n">
        <v>0</v>
      </c>
      <c r="AF336" s="6" t="n">
        <v>0</v>
      </c>
      <c r="AG336" s="6" t="n">
        <v>0</v>
      </c>
      <c r="AH336" s="6" t="n">
        <v>0</v>
      </c>
      <c r="AI336" s="6" t="s">
        <v>84</v>
      </c>
    </row>
    <row r="337" customFormat="false" ht="15" hidden="false" customHeight="false" outlineLevel="0" collapsed="false">
      <c r="A337" s="6" t="n">
        <v>336</v>
      </c>
      <c r="B337" s="6" t="s">
        <v>7661</v>
      </c>
      <c r="C337" s="6" t="n">
        <v>7</v>
      </c>
      <c r="D337" s="6" t="s">
        <v>213</v>
      </c>
      <c r="E337" s="6" t="s">
        <v>67</v>
      </c>
      <c r="F337" s="6" t="n">
        <v>4</v>
      </c>
      <c r="G337" s="6" t="n">
        <v>902</v>
      </c>
      <c r="H337" s="6" t="s">
        <v>7662</v>
      </c>
      <c r="I337" s="22" t="n">
        <v>13242500</v>
      </c>
      <c r="J337" s="22" t="n">
        <v>4500</v>
      </c>
      <c r="K337" s="22" t="n">
        <v>993525</v>
      </c>
      <c r="L337" s="22" t="n">
        <v>14240525</v>
      </c>
      <c r="M337" s="6" t="s">
        <v>159</v>
      </c>
      <c r="N337" s="6" t="s">
        <v>84</v>
      </c>
      <c r="O337" s="6" t="s">
        <v>886</v>
      </c>
      <c r="P337" s="6" t="s">
        <v>85</v>
      </c>
      <c r="Q337" s="6" t="str">
        <f aca="false">IF(P337="pass","No","Yes")</f>
        <v>Yes</v>
      </c>
      <c r="R337" s="6" t="s">
        <v>86</v>
      </c>
      <c r="S337" s="6" t="s">
        <v>992</v>
      </c>
      <c r="T337" s="6" t="s">
        <v>7663</v>
      </c>
      <c r="U337" s="23" t="n">
        <v>2.632</v>
      </c>
      <c r="V337" s="6" t="s">
        <v>7664</v>
      </c>
      <c r="W337" s="6" t="s">
        <v>7665</v>
      </c>
      <c r="X337" s="6" t="s">
        <v>7666</v>
      </c>
      <c r="Y337" s="6" t="s">
        <v>86</v>
      </c>
      <c r="Z337" s="6" t="n">
        <v>0</v>
      </c>
      <c r="AA337" s="6" t="n">
        <v>0</v>
      </c>
      <c r="AB337" s="6" t="n">
        <v>1</v>
      </c>
      <c r="AC337" s="6" t="n">
        <v>1</v>
      </c>
      <c r="AD337" s="6" t="n">
        <v>0</v>
      </c>
      <c r="AE337" s="6" t="n">
        <v>0</v>
      </c>
      <c r="AF337" s="6" t="n">
        <v>0</v>
      </c>
      <c r="AG337" s="6" t="n">
        <v>0</v>
      </c>
      <c r="AH337" s="6" t="n">
        <v>1</v>
      </c>
      <c r="AI337" s="6" t="s">
        <v>84</v>
      </c>
    </row>
    <row r="338" customFormat="false" ht="15" hidden="false" customHeight="false" outlineLevel="0" collapsed="false">
      <c r="A338" s="6" t="n">
        <v>337</v>
      </c>
      <c r="B338" s="6" t="s">
        <v>7667</v>
      </c>
      <c r="C338" s="6" t="n">
        <v>7</v>
      </c>
      <c r="D338" s="6" t="s">
        <v>105</v>
      </c>
      <c r="E338" s="6" t="s">
        <v>81</v>
      </c>
      <c r="F338" s="6" t="n">
        <v>1</v>
      </c>
      <c r="G338" s="6" t="n">
        <v>2</v>
      </c>
      <c r="H338" s="6" t="s">
        <v>959</v>
      </c>
      <c r="I338" s="22" t="n">
        <v>8200</v>
      </c>
      <c r="J338" s="22" t="n">
        <v>4000</v>
      </c>
      <c r="K338" s="22" t="n">
        <v>915</v>
      </c>
      <c r="L338" s="22" t="n">
        <v>13115</v>
      </c>
      <c r="M338" s="6" t="s">
        <v>97</v>
      </c>
      <c r="N338" s="6" t="s">
        <v>84</v>
      </c>
      <c r="O338" s="6" t="s">
        <v>1185</v>
      </c>
      <c r="P338" s="6" t="s">
        <v>59</v>
      </c>
      <c r="Q338" s="6" t="str">
        <f aca="false">IF(P338="pass","No","Yes")</f>
        <v>Yes</v>
      </c>
      <c r="R338" s="6" t="s">
        <v>98</v>
      </c>
      <c r="S338" s="6" t="s">
        <v>1185</v>
      </c>
      <c r="T338" s="6" t="s">
        <v>7668</v>
      </c>
      <c r="U338" s="23" t="n">
        <v>1.496</v>
      </c>
      <c r="V338" s="6" t="s">
        <v>7669</v>
      </c>
      <c r="W338" s="6"/>
      <c r="X338" s="6" t="s">
        <v>7669</v>
      </c>
      <c r="Y338" s="6" t="s">
        <v>98</v>
      </c>
      <c r="Z338" s="6" t="n">
        <v>0</v>
      </c>
      <c r="AA338" s="6" t="n">
        <v>0</v>
      </c>
      <c r="AB338" s="6" t="n">
        <v>0</v>
      </c>
      <c r="AC338" s="6" t="n">
        <v>0</v>
      </c>
      <c r="AD338" s="6" t="n">
        <v>0</v>
      </c>
      <c r="AE338" s="6" t="n">
        <v>0</v>
      </c>
      <c r="AF338" s="6" t="n">
        <v>0</v>
      </c>
      <c r="AG338" s="6" t="n">
        <v>1</v>
      </c>
      <c r="AH338" s="6" t="n">
        <v>0</v>
      </c>
      <c r="AI338" s="6" t="s">
        <v>84</v>
      </c>
    </row>
    <row r="339" customFormat="false" ht="15" hidden="false" customHeight="false" outlineLevel="0" collapsed="false">
      <c r="A339" s="6" t="n">
        <v>338</v>
      </c>
      <c r="B339" s="6" t="s">
        <v>7670</v>
      </c>
      <c r="C339" s="6" t="n">
        <v>7</v>
      </c>
      <c r="D339" s="6" t="s">
        <v>186</v>
      </c>
      <c r="E339" s="6" t="s">
        <v>123</v>
      </c>
      <c r="F339" s="6" t="n">
        <v>2</v>
      </c>
      <c r="G339" s="6" t="n">
        <v>51</v>
      </c>
      <c r="H339" s="6" t="s">
        <v>7671</v>
      </c>
      <c r="I339" s="22" t="n">
        <v>927000</v>
      </c>
      <c r="J339" s="22" t="n">
        <v>5000</v>
      </c>
      <c r="K339" s="22" t="n">
        <v>69900</v>
      </c>
      <c r="L339" s="22" t="n">
        <v>1001900</v>
      </c>
      <c r="M339" s="6" t="s">
        <v>57</v>
      </c>
      <c r="N339" s="6" t="s">
        <v>58</v>
      </c>
      <c r="O339" s="6"/>
      <c r="P339" s="6" t="s">
        <v>69</v>
      </c>
      <c r="Q339" s="6" t="str">
        <f aca="false">IF(P339="pass","No","Yes")</f>
        <v>No</v>
      </c>
      <c r="R339" s="6" t="s">
        <v>60</v>
      </c>
      <c r="S339" s="6"/>
      <c r="T339" s="6"/>
      <c r="U339" s="23" t="n">
        <v>2.537</v>
      </c>
      <c r="V339" s="6" t="s">
        <v>7672</v>
      </c>
      <c r="W339" s="6" t="s">
        <v>7673</v>
      </c>
      <c r="X339" s="6" t="s">
        <v>7674</v>
      </c>
      <c r="Y339" s="6" t="s">
        <v>60</v>
      </c>
      <c r="Z339" s="6" t="n">
        <v>0</v>
      </c>
      <c r="AA339" s="6" t="n">
        <v>0</v>
      </c>
      <c r="AB339" s="6" t="n">
        <v>0</v>
      </c>
      <c r="AC339" s="6" t="n">
        <v>0</v>
      </c>
      <c r="AD339" s="6" t="n">
        <v>0</v>
      </c>
      <c r="AE339" s="6" t="n">
        <v>0</v>
      </c>
      <c r="AF339" s="6" t="n">
        <v>0</v>
      </c>
      <c r="AG339" s="6" t="n">
        <v>0</v>
      </c>
      <c r="AH339" s="6" t="n">
        <v>0</v>
      </c>
      <c r="AI339" s="6" t="s">
        <v>84</v>
      </c>
    </row>
    <row r="340" customFormat="false" ht="15" hidden="false" customHeight="false" outlineLevel="0" collapsed="false">
      <c r="A340" s="6" t="n">
        <v>339</v>
      </c>
      <c r="B340" s="6" t="s">
        <v>7675</v>
      </c>
      <c r="C340" s="6" t="n">
        <v>7</v>
      </c>
      <c r="D340" s="6" t="s">
        <v>100</v>
      </c>
      <c r="E340" s="6" t="s">
        <v>67</v>
      </c>
      <c r="F340" s="6" t="n">
        <v>2</v>
      </c>
      <c r="G340" s="6" t="n">
        <v>196</v>
      </c>
      <c r="H340" s="6" t="s">
        <v>7676</v>
      </c>
      <c r="I340" s="22" t="n">
        <v>1910000</v>
      </c>
      <c r="J340" s="22" t="n">
        <v>4500</v>
      </c>
      <c r="K340" s="22" t="n">
        <v>143587.5</v>
      </c>
      <c r="L340" s="22" t="n">
        <v>2058087.5</v>
      </c>
      <c r="M340" s="6" t="s">
        <v>927</v>
      </c>
      <c r="N340" s="6" t="s">
        <v>58</v>
      </c>
      <c r="O340" s="6"/>
      <c r="P340" s="6" t="s">
        <v>59</v>
      </c>
      <c r="Q340" s="6" t="str">
        <f aca="false">IF(P340="pass","No","Yes")</f>
        <v>Yes</v>
      </c>
      <c r="R340" s="6" t="s">
        <v>60</v>
      </c>
      <c r="S340" s="6" t="s">
        <v>915</v>
      </c>
      <c r="T340" s="6" t="s">
        <v>7677</v>
      </c>
      <c r="U340" s="23" t="n">
        <v>2.595</v>
      </c>
      <c r="V340" s="6" t="s">
        <v>7678</v>
      </c>
      <c r="W340" s="6" t="s">
        <v>7679</v>
      </c>
      <c r="X340" s="6" t="s">
        <v>7680</v>
      </c>
      <c r="Y340" s="6" t="s">
        <v>60</v>
      </c>
      <c r="Z340" s="6" t="n">
        <v>0</v>
      </c>
      <c r="AA340" s="6" t="n">
        <v>0</v>
      </c>
      <c r="AB340" s="6" t="n">
        <v>0</v>
      </c>
      <c r="AC340" s="6" t="n">
        <v>0</v>
      </c>
      <c r="AD340" s="6" t="n">
        <v>0</v>
      </c>
      <c r="AE340" s="6" t="n">
        <v>0</v>
      </c>
      <c r="AF340" s="6" t="n">
        <v>0</v>
      </c>
      <c r="AG340" s="6" t="n">
        <v>0</v>
      </c>
      <c r="AH340" s="6" t="n">
        <v>1</v>
      </c>
      <c r="AI340" s="6" t="s">
        <v>84</v>
      </c>
    </row>
    <row r="341" customFormat="false" ht="15" hidden="false" customHeight="false" outlineLevel="0" collapsed="false">
      <c r="A341" s="6" t="n">
        <v>340</v>
      </c>
      <c r="B341" s="6" t="s">
        <v>7681</v>
      </c>
      <c r="C341" s="6" t="n">
        <v>7</v>
      </c>
      <c r="D341" s="6" t="s">
        <v>198</v>
      </c>
      <c r="E341" s="6" t="s">
        <v>81</v>
      </c>
      <c r="F341" s="6" t="n">
        <v>1</v>
      </c>
      <c r="G341" s="6" t="n">
        <v>15</v>
      </c>
      <c r="H341" s="6" t="s">
        <v>1458</v>
      </c>
      <c r="I341" s="22" t="n">
        <v>780000</v>
      </c>
      <c r="J341" s="22" t="n">
        <v>4000</v>
      </c>
      <c r="K341" s="22" t="n">
        <v>58800</v>
      </c>
      <c r="L341" s="22" t="n">
        <v>842800</v>
      </c>
      <c r="M341" s="6" t="s">
        <v>57</v>
      </c>
      <c r="N341" s="6" t="s">
        <v>58</v>
      </c>
      <c r="O341" s="6"/>
      <c r="P341" s="6" t="s">
        <v>69</v>
      </c>
      <c r="Q341" s="6" t="str">
        <f aca="false">IF(P341="pass","No","Yes")</f>
        <v>No</v>
      </c>
      <c r="R341" s="6" t="s">
        <v>60</v>
      </c>
      <c r="S341" s="6"/>
      <c r="T341" s="6"/>
      <c r="U341" s="23" t="n">
        <v>2.701</v>
      </c>
      <c r="V341" s="6" t="s">
        <v>7682</v>
      </c>
      <c r="W341" s="6" t="s">
        <v>7683</v>
      </c>
      <c r="X341" s="6" t="s">
        <v>7684</v>
      </c>
      <c r="Y341" s="6" t="s">
        <v>60</v>
      </c>
      <c r="Z341" s="6" t="n">
        <v>0</v>
      </c>
      <c r="AA341" s="6" t="n">
        <v>0</v>
      </c>
      <c r="AB341" s="6" t="n">
        <v>0</v>
      </c>
      <c r="AC341" s="6" t="n">
        <v>0</v>
      </c>
      <c r="AD341" s="6" t="n">
        <v>0</v>
      </c>
      <c r="AE341" s="6" t="n">
        <v>0</v>
      </c>
      <c r="AF341" s="6" t="n">
        <v>0</v>
      </c>
      <c r="AG341" s="6" t="n">
        <v>0</v>
      </c>
      <c r="AH341" s="6" t="n">
        <v>0</v>
      </c>
      <c r="AI341" s="6" t="s">
        <v>84</v>
      </c>
    </row>
    <row r="342" customFormat="false" ht="15" hidden="false" customHeight="false" outlineLevel="0" collapsed="false">
      <c r="A342" s="6" t="n">
        <v>341</v>
      </c>
      <c r="B342" s="6" t="s">
        <v>7685</v>
      </c>
      <c r="C342" s="6" t="n">
        <v>7</v>
      </c>
      <c r="D342" s="6" t="s">
        <v>191</v>
      </c>
      <c r="E342" s="6" t="s">
        <v>116</v>
      </c>
      <c r="F342" s="6" t="n">
        <v>4</v>
      </c>
      <c r="G342" s="6" t="n">
        <v>772</v>
      </c>
      <c r="H342" s="6" t="s">
        <v>7686</v>
      </c>
      <c r="I342" s="22" t="n">
        <v>6481800</v>
      </c>
      <c r="J342" s="22" t="n">
        <v>15000</v>
      </c>
      <c r="K342" s="22" t="n">
        <v>487260</v>
      </c>
      <c r="L342" s="22" t="n">
        <v>6984060</v>
      </c>
      <c r="M342" s="6" t="s">
        <v>171</v>
      </c>
      <c r="N342" s="6" t="s">
        <v>84</v>
      </c>
      <c r="O342" s="6" t="s">
        <v>892</v>
      </c>
      <c r="P342" s="6" t="s">
        <v>85</v>
      </c>
      <c r="Q342" s="6" t="str">
        <f aca="false">IF(P342="pass","No","Yes")</f>
        <v>Yes</v>
      </c>
      <c r="R342" s="6" t="s">
        <v>86</v>
      </c>
      <c r="S342" s="6" t="s">
        <v>893</v>
      </c>
      <c r="T342" s="6" t="s">
        <v>738</v>
      </c>
      <c r="U342" s="23" t="n">
        <v>2.525</v>
      </c>
      <c r="V342" s="6" t="s">
        <v>7687</v>
      </c>
      <c r="W342" s="6" t="s">
        <v>7688</v>
      </c>
      <c r="X342" s="6" t="s">
        <v>7689</v>
      </c>
      <c r="Y342" s="6" t="s">
        <v>86</v>
      </c>
      <c r="Z342" s="6" t="n">
        <v>0</v>
      </c>
      <c r="AA342" s="6" t="n">
        <v>0</v>
      </c>
      <c r="AB342" s="6" t="n">
        <v>0</v>
      </c>
      <c r="AC342" s="6" t="n">
        <v>1</v>
      </c>
      <c r="AD342" s="6" t="n">
        <v>0</v>
      </c>
      <c r="AE342" s="6" t="n">
        <v>0</v>
      </c>
      <c r="AF342" s="6" t="n">
        <v>0</v>
      </c>
      <c r="AG342" s="6" t="n">
        <v>0</v>
      </c>
      <c r="AH342" s="6" t="n">
        <v>1</v>
      </c>
      <c r="AI342" s="6" t="s">
        <v>84</v>
      </c>
    </row>
    <row r="343" customFormat="false" ht="15" hidden="false" customHeight="false" outlineLevel="0" collapsed="false">
      <c r="A343" s="6" t="n">
        <v>342</v>
      </c>
      <c r="B343" s="6" t="s">
        <v>7690</v>
      </c>
      <c r="C343" s="6" t="n">
        <v>7</v>
      </c>
      <c r="D343" s="6" t="s">
        <v>112</v>
      </c>
      <c r="E343" s="6" t="s">
        <v>116</v>
      </c>
      <c r="F343" s="6" t="n">
        <v>2</v>
      </c>
      <c r="G343" s="6" t="n">
        <v>59</v>
      </c>
      <c r="H343" s="6" t="s">
        <v>7691</v>
      </c>
      <c r="I343" s="22" t="n">
        <v>810500</v>
      </c>
      <c r="J343" s="22" t="n">
        <v>15000</v>
      </c>
      <c r="K343" s="22" t="n">
        <v>61912.5</v>
      </c>
      <c r="L343" s="22" t="n">
        <v>887412.5</v>
      </c>
      <c r="M343" s="6" t="s">
        <v>83</v>
      </c>
      <c r="N343" s="6" t="s">
        <v>84</v>
      </c>
      <c r="O343" s="6" t="s">
        <v>886</v>
      </c>
      <c r="P343" s="6" t="s">
        <v>85</v>
      </c>
      <c r="Q343" s="6" t="str">
        <f aca="false">IF(P343="pass","No","Yes")</f>
        <v>Yes</v>
      </c>
      <c r="R343" s="6" t="s">
        <v>86</v>
      </c>
      <c r="S343" s="6" t="s">
        <v>886</v>
      </c>
      <c r="T343" s="6" t="s">
        <v>88</v>
      </c>
      <c r="U343" s="23" t="n">
        <v>2.17</v>
      </c>
      <c r="V343" s="6" t="s">
        <v>7692</v>
      </c>
      <c r="W343" s="6" t="s">
        <v>7693</v>
      </c>
      <c r="X343" s="6" t="s">
        <v>7694</v>
      </c>
      <c r="Y343" s="6" t="s">
        <v>86</v>
      </c>
      <c r="Z343" s="6" t="n">
        <v>0</v>
      </c>
      <c r="AA343" s="6" t="n">
        <v>0</v>
      </c>
      <c r="AB343" s="6" t="n">
        <v>1</v>
      </c>
      <c r="AC343" s="6" t="n">
        <v>0</v>
      </c>
      <c r="AD343" s="6" t="n">
        <v>0</v>
      </c>
      <c r="AE343" s="6" t="n">
        <v>0</v>
      </c>
      <c r="AF343" s="6" t="n">
        <v>0</v>
      </c>
      <c r="AG343" s="6" t="n">
        <v>0</v>
      </c>
      <c r="AH343" s="6" t="n">
        <v>0</v>
      </c>
      <c r="AI343" s="6" t="s">
        <v>84</v>
      </c>
    </row>
    <row r="344" customFormat="false" ht="15" hidden="false" customHeight="false" outlineLevel="0" collapsed="false">
      <c r="A344" s="6" t="n">
        <v>343</v>
      </c>
      <c r="B344" s="6" t="s">
        <v>7695</v>
      </c>
      <c r="C344" s="6" t="n">
        <v>7</v>
      </c>
      <c r="D344" s="6" t="s">
        <v>186</v>
      </c>
      <c r="E344" s="6" t="s">
        <v>123</v>
      </c>
      <c r="F344" s="6" t="n">
        <v>4</v>
      </c>
      <c r="G344" s="6" t="n">
        <v>143</v>
      </c>
      <c r="H344" s="6" t="s">
        <v>7696</v>
      </c>
      <c r="I344" s="22" t="n">
        <v>2349100</v>
      </c>
      <c r="J344" s="22" t="n">
        <v>5000</v>
      </c>
      <c r="K344" s="22" t="n">
        <v>176557.5</v>
      </c>
      <c r="L344" s="22" t="n">
        <v>2530657.5</v>
      </c>
      <c r="M344" s="6" t="s">
        <v>152</v>
      </c>
      <c r="N344" s="6" t="s">
        <v>84</v>
      </c>
      <c r="O344" s="6" t="s">
        <v>886</v>
      </c>
      <c r="P344" s="6" t="s">
        <v>85</v>
      </c>
      <c r="Q344" s="6" t="str">
        <f aca="false">IF(P344="pass","No","Yes")</f>
        <v>Yes</v>
      </c>
      <c r="R344" s="6" t="s">
        <v>86</v>
      </c>
      <c r="S344" s="6" t="s">
        <v>886</v>
      </c>
      <c r="T344" s="6" t="s">
        <v>153</v>
      </c>
      <c r="U344" s="23" t="n">
        <v>2.256</v>
      </c>
      <c r="V344" s="6" t="s">
        <v>7697</v>
      </c>
      <c r="W344" s="6" t="s">
        <v>7698</v>
      </c>
      <c r="X344" s="6" t="s">
        <v>7699</v>
      </c>
      <c r="Y344" s="6" t="s">
        <v>86</v>
      </c>
      <c r="Z344" s="6" t="n">
        <v>0</v>
      </c>
      <c r="AA344" s="6" t="n">
        <v>0</v>
      </c>
      <c r="AB344" s="6" t="n">
        <v>1</v>
      </c>
      <c r="AC344" s="6" t="n">
        <v>0</v>
      </c>
      <c r="AD344" s="6" t="n">
        <v>0</v>
      </c>
      <c r="AE344" s="6" t="n">
        <v>0</v>
      </c>
      <c r="AF344" s="6" t="n">
        <v>0</v>
      </c>
      <c r="AG344" s="6" t="n">
        <v>0</v>
      </c>
      <c r="AH344" s="6" t="n">
        <v>0</v>
      </c>
      <c r="AI344" s="6" t="s">
        <v>84</v>
      </c>
    </row>
    <row r="345" customFormat="false" ht="15" hidden="false" customHeight="false" outlineLevel="0" collapsed="false">
      <c r="A345" s="6" t="n">
        <v>344</v>
      </c>
      <c r="B345" s="6" t="s">
        <v>7700</v>
      </c>
      <c r="C345" s="6" t="n">
        <v>7</v>
      </c>
      <c r="D345" s="6" t="s">
        <v>198</v>
      </c>
      <c r="E345" s="6" t="s">
        <v>81</v>
      </c>
      <c r="F345" s="6" t="n">
        <v>1</v>
      </c>
      <c r="G345" s="6" t="n">
        <v>16</v>
      </c>
      <c r="H345" s="6" t="s">
        <v>1550</v>
      </c>
      <c r="I345" s="22" t="n">
        <v>188800</v>
      </c>
      <c r="J345" s="22" t="n">
        <v>4000</v>
      </c>
      <c r="K345" s="22" t="n">
        <v>14460</v>
      </c>
      <c r="L345" s="22" t="n">
        <v>207260</v>
      </c>
      <c r="M345" s="6" t="s">
        <v>57</v>
      </c>
      <c r="N345" s="6" t="s">
        <v>58</v>
      </c>
      <c r="O345" s="6"/>
      <c r="P345" s="6" t="s">
        <v>69</v>
      </c>
      <c r="Q345" s="6" t="str">
        <f aca="false">IF(P345="pass","No","Yes")</f>
        <v>No</v>
      </c>
      <c r="R345" s="6" t="s">
        <v>60</v>
      </c>
      <c r="S345" s="6"/>
      <c r="T345" s="6"/>
      <c r="U345" s="23" t="n">
        <v>2.734</v>
      </c>
      <c r="V345" s="6" t="s">
        <v>7701</v>
      </c>
      <c r="W345" s="6" t="s">
        <v>7702</v>
      </c>
      <c r="X345" s="6" t="s">
        <v>7703</v>
      </c>
      <c r="Y345" s="6" t="s">
        <v>60</v>
      </c>
      <c r="Z345" s="6" t="n">
        <v>0</v>
      </c>
      <c r="AA345" s="6" t="n">
        <v>0</v>
      </c>
      <c r="AB345" s="6" t="n">
        <v>0</v>
      </c>
      <c r="AC345" s="6" t="n">
        <v>0</v>
      </c>
      <c r="AD345" s="6" t="n">
        <v>0</v>
      </c>
      <c r="AE345" s="6" t="n">
        <v>0</v>
      </c>
      <c r="AF345" s="6" t="n">
        <v>0</v>
      </c>
      <c r="AG345" s="6" t="n">
        <v>0</v>
      </c>
      <c r="AH345" s="6" t="n">
        <v>0</v>
      </c>
      <c r="AI345" s="6" t="s">
        <v>84</v>
      </c>
    </row>
    <row r="346" customFormat="false" ht="15" hidden="false" customHeight="false" outlineLevel="0" collapsed="false">
      <c r="A346" s="6" t="n">
        <v>345</v>
      </c>
      <c r="B346" s="6" t="s">
        <v>7704</v>
      </c>
      <c r="C346" s="6" t="n">
        <v>7</v>
      </c>
      <c r="D346" s="6" t="s">
        <v>198</v>
      </c>
      <c r="E346" s="6" t="s">
        <v>81</v>
      </c>
      <c r="F346" s="6" t="n">
        <v>1</v>
      </c>
      <c r="G346" s="6" t="n">
        <v>16</v>
      </c>
      <c r="H346" s="6" t="s">
        <v>1550</v>
      </c>
      <c r="I346" s="22" t="n">
        <v>188800</v>
      </c>
      <c r="J346" s="22" t="n">
        <v>4000</v>
      </c>
      <c r="K346" s="22" t="n">
        <v>14460</v>
      </c>
      <c r="L346" s="22" t="n">
        <v>207260</v>
      </c>
      <c r="M346" s="6" t="s">
        <v>97</v>
      </c>
      <c r="N346" s="6" t="s">
        <v>84</v>
      </c>
      <c r="O346" s="6" t="s">
        <v>1185</v>
      </c>
      <c r="P346" s="6" t="s">
        <v>59</v>
      </c>
      <c r="Q346" s="6" t="str">
        <f aca="false">IF(P346="pass","No","Yes")</f>
        <v>Yes</v>
      </c>
      <c r="R346" s="6" t="s">
        <v>98</v>
      </c>
      <c r="S346" s="6" t="s">
        <v>1185</v>
      </c>
      <c r="T346" s="6" t="s">
        <v>7705</v>
      </c>
      <c r="U346" s="23" t="n">
        <v>1.535</v>
      </c>
      <c r="V346" s="6" t="s">
        <v>7706</v>
      </c>
      <c r="W346" s="6"/>
      <c r="X346" s="6" t="s">
        <v>7706</v>
      </c>
      <c r="Y346" s="6" t="s">
        <v>98</v>
      </c>
      <c r="Z346" s="6" t="n">
        <v>0</v>
      </c>
      <c r="AA346" s="6" t="n">
        <v>0</v>
      </c>
      <c r="AB346" s="6" t="n">
        <v>0</v>
      </c>
      <c r="AC346" s="6" t="n">
        <v>0</v>
      </c>
      <c r="AD346" s="6" t="n">
        <v>0</v>
      </c>
      <c r="AE346" s="6" t="n">
        <v>0</v>
      </c>
      <c r="AF346" s="6" t="n">
        <v>0</v>
      </c>
      <c r="AG346" s="6" t="n">
        <v>1</v>
      </c>
      <c r="AH346" s="6" t="n">
        <v>0</v>
      </c>
      <c r="AI346" s="6" t="s">
        <v>84</v>
      </c>
    </row>
    <row r="347" customFormat="false" ht="15" hidden="false" customHeight="false" outlineLevel="0" collapsed="false">
      <c r="A347" s="6" t="n">
        <v>346</v>
      </c>
      <c r="B347" s="6" t="s">
        <v>7707</v>
      </c>
      <c r="C347" s="6" t="n">
        <v>7</v>
      </c>
      <c r="D347" s="6" t="s">
        <v>70</v>
      </c>
      <c r="E347" s="6" t="s">
        <v>74</v>
      </c>
      <c r="F347" s="6" t="n">
        <v>1</v>
      </c>
      <c r="G347" s="6" t="n">
        <v>65</v>
      </c>
      <c r="H347" s="6" t="s">
        <v>7708</v>
      </c>
      <c r="I347" s="22" t="n">
        <v>767000</v>
      </c>
      <c r="J347" s="22" t="n">
        <v>9000</v>
      </c>
      <c r="K347" s="22" t="n">
        <v>58200</v>
      </c>
      <c r="L347" s="22" t="n">
        <v>834200</v>
      </c>
      <c r="M347" s="6" t="s">
        <v>57</v>
      </c>
      <c r="N347" s="6" t="s">
        <v>58</v>
      </c>
      <c r="O347" s="6"/>
      <c r="P347" s="6" t="s">
        <v>69</v>
      </c>
      <c r="Q347" s="6" t="str">
        <f aca="false">IF(P347="pass","No","Yes")</f>
        <v>No</v>
      </c>
      <c r="R347" s="6" t="s">
        <v>60</v>
      </c>
      <c r="S347" s="6"/>
      <c r="T347" s="6"/>
      <c r="U347" s="23" t="n">
        <v>2.551</v>
      </c>
      <c r="V347" s="6" t="s">
        <v>7709</v>
      </c>
      <c r="W347" s="6" t="s">
        <v>7710</v>
      </c>
      <c r="X347" s="6" t="s">
        <v>7711</v>
      </c>
      <c r="Y347" s="6" t="s">
        <v>60</v>
      </c>
      <c r="Z347" s="6" t="n">
        <v>0</v>
      </c>
      <c r="AA347" s="6" t="n">
        <v>0</v>
      </c>
      <c r="AB347" s="6" t="n">
        <v>0</v>
      </c>
      <c r="AC347" s="6" t="n">
        <v>0</v>
      </c>
      <c r="AD347" s="6" t="n">
        <v>0</v>
      </c>
      <c r="AE347" s="6" t="n">
        <v>0</v>
      </c>
      <c r="AF347" s="6" t="n">
        <v>0</v>
      </c>
      <c r="AG347" s="6" t="n">
        <v>0</v>
      </c>
      <c r="AH347" s="6" t="n">
        <v>0</v>
      </c>
      <c r="AI347" s="6" t="s">
        <v>84</v>
      </c>
    </row>
    <row r="348" customFormat="false" ht="15" hidden="false" customHeight="false" outlineLevel="0" collapsed="false">
      <c r="A348" s="6" t="n">
        <v>347</v>
      </c>
      <c r="B348" s="6" t="s">
        <v>7712</v>
      </c>
      <c r="C348" s="6" t="n">
        <v>7</v>
      </c>
      <c r="D348" s="6" t="s">
        <v>119</v>
      </c>
      <c r="E348" s="6" t="s">
        <v>146</v>
      </c>
      <c r="F348" s="6" t="n">
        <v>1</v>
      </c>
      <c r="G348" s="6" t="n">
        <v>1</v>
      </c>
      <c r="H348" s="6" t="s">
        <v>1140</v>
      </c>
      <c r="I348" s="22" t="n">
        <v>38000</v>
      </c>
      <c r="J348" s="22" t="n">
        <v>0</v>
      </c>
      <c r="K348" s="22" t="n">
        <v>2850</v>
      </c>
      <c r="L348" s="22" t="n">
        <v>40850</v>
      </c>
      <c r="M348" s="6" t="s">
        <v>148</v>
      </c>
      <c r="N348" s="6" t="s">
        <v>84</v>
      </c>
      <c r="O348" s="6" t="s">
        <v>866</v>
      </c>
      <c r="P348" s="6" t="s">
        <v>85</v>
      </c>
      <c r="Q348" s="6" t="str">
        <f aca="false">IF(P348="pass","No","Yes")</f>
        <v>Yes</v>
      </c>
      <c r="R348" s="6" t="s">
        <v>86</v>
      </c>
      <c r="S348" s="6" t="s">
        <v>866</v>
      </c>
      <c r="T348" s="6" t="s">
        <v>150</v>
      </c>
      <c r="U348" s="23" t="n">
        <v>2.226</v>
      </c>
      <c r="V348" s="6" t="s">
        <v>7713</v>
      </c>
      <c r="W348" s="6" t="s">
        <v>7714</v>
      </c>
      <c r="X348" s="6" t="s">
        <v>7715</v>
      </c>
      <c r="Y348" s="6" t="s">
        <v>86</v>
      </c>
      <c r="Z348" s="6" t="n">
        <v>1</v>
      </c>
      <c r="AA348" s="6" t="n">
        <v>0</v>
      </c>
      <c r="AB348" s="6" t="n">
        <v>0</v>
      </c>
      <c r="AC348" s="6" t="n">
        <v>0</v>
      </c>
      <c r="AD348" s="6" t="n">
        <v>0</v>
      </c>
      <c r="AE348" s="6" t="n">
        <v>0</v>
      </c>
      <c r="AF348" s="6" t="n">
        <v>0</v>
      </c>
      <c r="AG348" s="6" t="n">
        <v>0</v>
      </c>
      <c r="AH348" s="6" t="n">
        <v>0</v>
      </c>
      <c r="AI348" s="6" t="s">
        <v>84</v>
      </c>
    </row>
    <row r="349" customFormat="false" ht="15" hidden="false" customHeight="false" outlineLevel="0" collapsed="false">
      <c r="A349" s="6" t="n">
        <v>348</v>
      </c>
      <c r="B349" s="6" t="s">
        <v>7716</v>
      </c>
      <c r="C349" s="6" t="n">
        <v>7</v>
      </c>
      <c r="D349" s="6" t="s">
        <v>154</v>
      </c>
      <c r="E349" s="6" t="s">
        <v>123</v>
      </c>
      <c r="F349" s="6" t="n">
        <v>2</v>
      </c>
      <c r="G349" s="6" t="n">
        <v>64</v>
      </c>
      <c r="H349" s="6" t="s">
        <v>7717</v>
      </c>
      <c r="I349" s="22" t="n">
        <v>1462600</v>
      </c>
      <c r="J349" s="22" t="n">
        <v>5000</v>
      </c>
      <c r="K349" s="22" t="n">
        <v>110070</v>
      </c>
      <c r="L349" s="22" t="n">
        <v>1577670</v>
      </c>
      <c r="M349" s="6" t="s">
        <v>57</v>
      </c>
      <c r="N349" s="6" t="s">
        <v>58</v>
      </c>
      <c r="O349" s="6"/>
      <c r="P349" s="6" t="s">
        <v>69</v>
      </c>
      <c r="Q349" s="6" t="str">
        <f aca="false">IF(P349="pass","No","Yes")</f>
        <v>No</v>
      </c>
      <c r="R349" s="6" t="s">
        <v>60</v>
      </c>
      <c r="S349" s="6"/>
      <c r="T349" s="6"/>
      <c r="U349" s="23" t="n">
        <v>2.548</v>
      </c>
      <c r="V349" s="6" t="s">
        <v>7718</v>
      </c>
      <c r="W349" s="6" t="s">
        <v>7719</v>
      </c>
      <c r="X349" s="6" t="s">
        <v>7720</v>
      </c>
      <c r="Y349" s="6" t="s">
        <v>60</v>
      </c>
      <c r="Z349" s="6" t="n">
        <v>0</v>
      </c>
      <c r="AA349" s="6" t="n">
        <v>0</v>
      </c>
      <c r="AB349" s="6" t="n">
        <v>0</v>
      </c>
      <c r="AC349" s="6" t="n">
        <v>0</v>
      </c>
      <c r="AD349" s="6" t="n">
        <v>0</v>
      </c>
      <c r="AE349" s="6" t="n">
        <v>0</v>
      </c>
      <c r="AF349" s="6" t="n">
        <v>0</v>
      </c>
      <c r="AG349" s="6" t="n">
        <v>0</v>
      </c>
      <c r="AH349" s="6" t="n">
        <v>0</v>
      </c>
      <c r="AI349" s="6" t="s">
        <v>84</v>
      </c>
    </row>
    <row r="350" customFormat="false" ht="15" hidden="false" customHeight="false" outlineLevel="0" collapsed="false">
      <c r="A350" s="6" t="n">
        <v>349</v>
      </c>
      <c r="B350" s="6" t="s">
        <v>7721</v>
      </c>
      <c r="C350" s="6" t="n">
        <v>7</v>
      </c>
      <c r="D350" s="6" t="s">
        <v>105</v>
      </c>
      <c r="E350" s="6" t="s">
        <v>146</v>
      </c>
      <c r="F350" s="6" t="n">
        <v>3</v>
      </c>
      <c r="G350" s="6" t="n">
        <v>108</v>
      </c>
      <c r="H350" s="6" t="s">
        <v>7722</v>
      </c>
      <c r="I350" s="22" t="n">
        <v>819000</v>
      </c>
      <c r="J350" s="22" t="n">
        <v>0</v>
      </c>
      <c r="K350" s="22" t="n">
        <v>61425</v>
      </c>
      <c r="L350" s="22" t="n">
        <v>880425</v>
      </c>
      <c r="M350" s="6" t="s">
        <v>148</v>
      </c>
      <c r="N350" s="6" t="s">
        <v>84</v>
      </c>
      <c r="O350" s="6" t="s">
        <v>866</v>
      </c>
      <c r="P350" s="6" t="s">
        <v>85</v>
      </c>
      <c r="Q350" s="6" t="str">
        <f aca="false">IF(P350="pass","No","Yes")</f>
        <v>Yes</v>
      </c>
      <c r="R350" s="6" t="s">
        <v>86</v>
      </c>
      <c r="S350" s="6" t="s">
        <v>866</v>
      </c>
      <c r="T350" s="6" t="s">
        <v>150</v>
      </c>
      <c r="U350" s="23" t="n">
        <v>2.407</v>
      </c>
      <c r="V350" s="6" t="s">
        <v>7723</v>
      </c>
      <c r="W350" s="6" t="s">
        <v>7724</v>
      </c>
      <c r="X350" s="6" t="s">
        <v>7725</v>
      </c>
      <c r="Y350" s="6" t="s">
        <v>86</v>
      </c>
      <c r="Z350" s="6" t="n">
        <v>1</v>
      </c>
      <c r="AA350" s="6" t="n">
        <v>0</v>
      </c>
      <c r="AB350" s="6" t="n">
        <v>0</v>
      </c>
      <c r="AC350" s="6" t="n">
        <v>0</v>
      </c>
      <c r="AD350" s="6" t="n">
        <v>0</v>
      </c>
      <c r="AE350" s="6" t="n">
        <v>0</v>
      </c>
      <c r="AF350" s="6" t="n">
        <v>0</v>
      </c>
      <c r="AG350" s="6" t="n">
        <v>0</v>
      </c>
      <c r="AH350" s="6" t="n">
        <v>0</v>
      </c>
      <c r="AI350" s="6" t="s">
        <v>84</v>
      </c>
    </row>
    <row r="351" customFormat="false" ht="15" hidden="false" customHeight="false" outlineLevel="0" collapsed="false">
      <c r="A351" s="6" t="n">
        <v>350</v>
      </c>
      <c r="B351" s="6" t="s">
        <v>7726</v>
      </c>
      <c r="C351" s="6" t="n">
        <v>7</v>
      </c>
      <c r="D351" s="6" t="s">
        <v>100</v>
      </c>
      <c r="E351" s="6" t="s">
        <v>67</v>
      </c>
      <c r="F351" s="6" t="n">
        <v>2</v>
      </c>
      <c r="G351" s="6" t="n">
        <v>79</v>
      </c>
      <c r="H351" s="6" t="s">
        <v>7727</v>
      </c>
      <c r="I351" s="22" t="n">
        <v>752800</v>
      </c>
      <c r="J351" s="22" t="n">
        <v>4500</v>
      </c>
      <c r="K351" s="22" t="n">
        <v>56797.5</v>
      </c>
      <c r="L351" s="22" t="n">
        <v>814097.5</v>
      </c>
      <c r="M351" s="6" t="s">
        <v>57</v>
      </c>
      <c r="N351" s="6" t="s">
        <v>58</v>
      </c>
      <c r="O351" s="6"/>
      <c r="P351" s="6" t="s">
        <v>69</v>
      </c>
      <c r="Q351" s="6" t="str">
        <f aca="false">IF(P351="pass","No","Yes")</f>
        <v>No</v>
      </c>
      <c r="R351" s="6" t="s">
        <v>60</v>
      </c>
      <c r="S351" s="6"/>
      <c r="T351" s="6"/>
      <c r="U351" s="23" t="n">
        <v>2.592</v>
      </c>
      <c r="V351" s="6" t="s">
        <v>7728</v>
      </c>
      <c r="W351" s="6" t="s">
        <v>7729</v>
      </c>
      <c r="X351" s="6" t="s">
        <v>7730</v>
      </c>
      <c r="Y351" s="6" t="s">
        <v>60</v>
      </c>
      <c r="Z351" s="6" t="n">
        <v>0</v>
      </c>
      <c r="AA351" s="6" t="n">
        <v>0</v>
      </c>
      <c r="AB351" s="6" t="n">
        <v>0</v>
      </c>
      <c r="AC351" s="6" t="n">
        <v>0</v>
      </c>
      <c r="AD351" s="6" t="n">
        <v>0</v>
      </c>
      <c r="AE351" s="6" t="n">
        <v>0</v>
      </c>
      <c r="AF351" s="6" t="n">
        <v>0</v>
      </c>
      <c r="AG351" s="6" t="n">
        <v>0</v>
      </c>
      <c r="AH351" s="6" t="n">
        <v>0</v>
      </c>
      <c r="AI351" s="6" t="s">
        <v>84</v>
      </c>
    </row>
    <row r="352" customFormat="false" ht="15" hidden="false" customHeight="false" outlineLevel="0" collapsed="false">
      <c r="A352" s="6" t="n">
        <v>351</v>
      </c>
      <c r="B352" s="6" t="s">
        <v>7731</v>
      </c>
      <c r="C352" s="6" t="n">
        <v>8</v>
      </c>
      <c r="D352" s="6" t="s">
        <v>213</v>
      </c>
      <c r="E352" s="6" t="s">
        <v>67</v>
      </c>
      <c r="F352" s="6" t="n">
        <v>3</v>
      </c>
      <c r="G352" s="6" t="n">
        <v>276</v>
      </c>
      <c r="H352" s="6" t="s">
        <v>7732</v>
      </c>
      <c r="I352" s="22" t="n">
        <v>2725200</v>
      </c>
      <c r="J352" s="22" t="n">
        <v>4500</v>
      </c>
      <c r="K352" s="22" t="n">
        <v>204727.5</v>
      </c>
      <c r="L352" s="22" t="n">
        <v>2934427.5</v>
      </c>
      <c r="M352" s="6" t="s">
        <v>927</v>
      </c>
      <c r="N352" s="6" t="s">
        <v>58</v>
      </c>
      <c r="O352" s="6"/>
      <c r="P352" s="6" t="s">
        <v>59</v>
      </c>
      <c r="Q352" s="6" t="str">
        <f aca="false">IF(P352="pass","No","Yes")</f>
        <v>Yes</v>
      </c>
      <c r="R352" s="6" t="s">
        <v>60</v>
      </c>
      <c r="S352" s="6" t="s">
        <v>915</v>
      </c>
      <c r="T352" s="6" t="s">
        <v>7733</v>
      </c>
      <c r="U352" s="23" t="n">
        <v>2.843</v>
      </c>
      <c r="V352" s="6" t="s">
        <v>7734</v>
      </c>
      <c r="W352" s="6" t="s">
        <v>7735</v>
      </c>
      <c r="X352" s="6" t="s">
        <v>7736</v>
      </c>
      <c r="Y352" s="6" t="s">
        <v>60</v>
      </c>
      <c r="Z352" s="6" t="n">
        <v>0</v>
      </c>
      <c r="AA352" s="6" t="n">
        <v>0</v>
      </c>
      <c r="AB352" s="6" t="n">
        <v>0</v>
      </c>
      <c r="AC352" s="6" t="n">
        <v>0</v>
      </c>
      <c r="AD352" s="6" t="n">
        <v>0</v>
      </c>
      <c r="AE352" s="6" t="n">
        <v>0</v>
      </c>
      <c r="AF352" s="6" t="n">
        <v>0</v>
      </c>
      <c r="AG352" s="6" t="n">
        <v>0</v>
      </c>
      <c r="AH352" s="6" t="n">
        <v>1</v>
      </c>
      <c r="AI352" s="6" t="s">
        <v>84</v>
      </c>
    </row>
    <row r="353" customFormat="false" ht="15" hidden="false" customHeight="false" outlineLevel="0" collapsed="false">
      <c r="A353" s="6" t="n">
        <v>352</v>
      </c>
      <c r="B353" s="6" t="s">
        <v>7737</v>
      </c>
      <c r="C353" s="6" t="n">
        <v>8</v>
      </c>
      <c r="D353" s="6" t="s">
        <v>127</v>
      </c>
      <c r="E353" s="6" t="s">
        <v>55</v>
      </c>
      <c r="F353" s="6" t="n">
        <v>3</v>
      </c>
      <c r="G353" s="6" t="n">
        <v>28</v>
      </c>
      <c r="H353" s="6" t="s">
        <v>7738</v>
      </c>
      <c r="I353" s="22" t="n">
        <v>1246000</v>
      </c>
      <c r="J353" s="22" t="n">
        <v>6000</v>
      </c>
      <c r="K353" s="22" t="n">
        <v>93900</v>
      </c>
      <c r="L353" s="22" t="n">
        <v>1345900</v>
      </c>
      <c r="M353" s="6" t="s">
        <v>94</v>
      </c>
      <c r="N353" s="6" t="s">
        <v>84</v>
      </c>
      <c r="O353" s="6" t="s">
        <v>909</v>
      </c>
      <c r="P353" s="6" t="s">
        <v>85</v>
      </c>
      <c r="Q353" s="6" t="str">
        <f aca="false">IF(P353="pass","No","Yes")</f>
        <v>Yes</v>
      </c>
      <c r="R353" s="6" t="s">
        <v>86</v>
      </c>
      <c r="S353" s="6" t="s">
        <v>909</v>
      </c>
      <c r="T353" s="6" t="s">
        <v>254</v>
      </c>
      <c r="U353" s="23" t="n">
        <v>2.223</v>
      </c>
      <c r="V353" s="6" t="s">
        <v>7739</v>
      </c>
      <c r="W353" s="6" t="s">
        <v>7740</v>
      </c>
      <c r="X353" s="6" t="s">
        <v>7741</v>
      </c>
      <c r="Y353" s="6" t="s">
        <v>86</v>
      </c>
      <c r="Z353" s="6" t="n">
        <v>0</v>
      </c>
      <c r="AA353" s="6" t="n">
        <v>0</v>
      </c>
      <c r="AB353" s="6" t="n">
        <v>0</v>
      </c>
      <c r="AC353" s="6" t="n">
        <v>0</v>
      </c>
      <c r="AD353" s="6" t="n">
        <v>0</v>
      </c>
      <c r="AE353" s="6" t="n">
        <v>0</v>
      </c>
      <c r="AF353" s="6" t="n">
        <v>1</v>
      </c>
      <c r="AG353" s="6" t="n">
        <v>0</v>
      </c>
      <c r="AH353" s="6" t="n">
        <v>0</v>
      </c>
      <c r="AI353" s="6" t="s">
        <v>84</v>
      </c>
    </row>
    <row r="354" customFormat="false" ht="15" hidden="false" customHeight="false" outlineLevel="0" collapsed="false">
      <c r="A354" s="6" t="n">
        <v>353</v>
      </c>
      <c r="B354" s="6" t="s">
        <v>7742</v>
      </c>
      <c r="C354" s="6" t="n">
        <v>8</v>
      </c>
      <c r="D354" s="6" t="s">
        <v>237</v>
      </c>
      <c r="E354" s="6" t="s">
        <v>116</v>
      </c>
      <c r="F354" s="6" t="n">
        <v>3</v>
      </c>
      <c r="G354" s="6" t="n">
        <v>150</v>
      </c>
      <c r="H354" s="6" t="s">
        <v>7743</v>
      </c>
      <c r="I354" s="22" t="n">
        <v>1852100</v>
      </c>
      <c r="J354" s="22" t="n">
        <v>15000</v>
      </c>
      <c r="K354" s="22" t="n">
        <v>140032.5</v>
      </c>
      <c r="L354" s="22" t="n">
        <v>2007132.5</v>
      </c>
      <c r="M354" s="6" t="s">
        <v>57</v>
      </c>
      <c r="N354" s="6" t="s">
        <v>58</v>
      </c>
      <c r="O354" s="6"/>
      <c r="P354" s="6" t="s">
        <v>69</v>
      </c>
      <c r="Q354" s="6" t="str">
        <f aca="false">IF(P354="pass","No","Yes")</f>
        <v>No</v>
      </c>
      <c r="R354" s="6" t="s">
        <v>60</v>
      </c>
      <c r="S354" s="6"/>
      <c r="T354" s="6"/>
      <c r="U354" s="23" t="n">
        <v>2.623</v>
      </c>
      <c r="V354" s="6" t="s">
        <v>7744</v>
      </c>
      <c r="W354" s="6" t="s">
        <v>7745</v>
      </c>
      <c r="X354" s="6" t="s">
        <v>7746</v>
      </c>
      <c r="Y354" s="6" t="s">
        <v>60</v>
      </c>
      <c r="Z354" s="6" t="n">
        <v>0</v>
      </c>
      <c r="AA354" s="6" t="n">
        <v>0</v>
      </c>
      <c r="AB354" s="6" t="n">
        <v>0</v>
      </c>
      <c r="AC354" s="6" t="n">
        <v>0</v>
      </c>
      <c r="AD354" s="6" t="n">
        <v>0</v>
      </c>
      <c r="AE354" s="6" t="n">
        <v>0</v>
      </c>
      <c r="AF354" s="6" t="n">
        <v>0</v>
      </c>
      <c r="AG354" s="6" t="n">
        <v>0</v>
      </c>
      <c r="AH354" s="6" t="n">
        <v>0</v>
      </c>
      <c r="AI354" s="6" t="s">
        <v>84</v>
      </c>
    </row>
    <row r="355" customFormat="false" ht="15" hidden="false" customHeight="false" outlineLevel="0" collapsed="false">
      <c r="A355" s="6" t="n">
        <v>354</v>
      </c>
      <c r="B355" s="6" t="s">
        <v>7747</v>
      </c>
      <c r="C355" s="6" t="n">
        <v>8</v>
      </c>
      <c r="D355" s="6" t="s">
        <v>63</v>
      </c>
      <c r="E355" s="6" t="s">
        <v>67</v>
      </c>
      <c r="F355" s="6" t="n">
        <v>3</v>
      </c>
      <c r="G355" s="6" t="n">
        <v>122</v>
      </c>
      <c r="H355" s="6" t="s">
        <v>7748</v>
      </c>
      <c r="I355" s="22" t="n">
        <v>1226000</v>
      </c>
      <c r="J355" s="22" t="n">
        <v>4500</v>
      </c>
      <c r="K355" s="22" t="n">
        <v>92287.5</v>
      </c>
      <c r="L355" s="22" t="n">
        <v>1322787.5</v>
      </c>
      <c r="M355" s="6" t="s">
        <v>57</v>
      </c>
      <c r="N355" s="6" t="s">
        <v>58</v>
      </c>
      <c r="O355" s="6"/>
      <c r="P355" s="6" t="s">
        <v>69</v>
      </c>
      <c r="Q355" s="6" t="str">
        <f aca="false">IF(P355="pass","No","Yes")</f>
        <v>No</v>
      </c>
      <c r="R355" s="6" t="s">
        <v>60</v>
      </c>
      <c r="S355" s="6"/>
      <c r="T355" s="6"/>
      <c r="U355" s="23" t="n">
        <v>2.695</v>
      </c>
      <c r="V355" s="6" t="s">
        <v>7749</v>
      </c>
      <c r="W355" s="6" t="s">
        <v>7750</v>
      </c>
      <c r="X355" s="6" t="s">
        <v>7751</v>
      </c>
      <c r="Y355" s="6" t="s">
        <v>60</v>
      </c>
      <c r="Z355" s="6" t="n">
        <v>0</v>
      </c>
      <c r="AA355" s="6" t="n">
        <v>0</v>
      </c>
      <c r="AB355" s="6" t="n">
        <v>0</v>
      </c>
      <c r="AC355" s="6" t="n">
        <v>0</v>
      </c>
      <c r="AD355" s="6" t="n">
        <v>0</v>
      </c>
      <c r="AE355" s="6" t="n">
        <v>0</v>
      </c>
      <c r="AF355" s="6" t="n">
        <v>0</v>
      </c>
      <c r="AG355" s="6" t="n">
        <v>0</v>
      </c>
      <c r="AH355" s="6" t="n">
        <v>0</v>
      </c>
      <c r="AI355" s="6" t="s">
        <v>84</v>
      </c>
    </row>
    <row r="356" customFormat="false" ht="15" hidden="false" customHeight="false" outlineLevel="0" collapsed="false">
      <c r="A356" s="6" t="n">
        <v>355</v>
      </c>
      <c r="B356" s="6" t="s">
        <v>7752</v>
      </c>
      <c r="C356" s="6" t="n">
        <v>8</v>
      </c>
      <c r="D356" s="6" t="s">
        <v>63</v>
      </c>
      <c r="E356" s="6" t="s">
        <v>67</v>
      </c>
      <c r="F356" s="6" t="n">
        <v>3</v>
      </c>
      <c r="G356" s="6" t="n">
        <v>122</v>
      </c>
      <c r="H356" s="6" t="s">
        <v>7748</v>
      </c>
      <c r="I356" s="22" t="n">
        <v>1226000</v>
      </c>
      <c r="J356" s="22" t="n">
        <v>4500</v>
      </c>
      <c r="K356" s="22" t="n">
        <v>92287.5</v>
      </c>
      <c r="L356" s="22" t="n">
        <v>1322787.5</v>
      </c>
      <c r="M356" s="6" t="s">
        <v>97</v>
      </c>
      <c r="N356" s="6" t="s">
        <v>84</v>
      </c>
      <c r="O356" s="6" t="s">
        <v>1185</v>
      </c>
      <c r="P356" s="6" t="s">
        <v>59</v>
      </c>
      <c r="Q356" s="6" t="str">
        <f aca="false">IF(P356="pass","No","Yes")</f>
        <v>Yes</v>
      </c>
      <c r="R356" s="6" t="s">
        <v>98</v>
      </c>
      <c r="S356" s="6" t="s">
        <v>1185</v>
      </c>
      <c r="T356" s="6" t="s">
        <v>7753</v>
      </c>
      <c r="U356" s="23" t="n">
        <v>1.462</v>
      </c>
      <c r="V356" s="6" t="s">
        <v>7754</v>
      </c>
      <c r="W356" s="6"/>
      <c r="X356" s="6" t="s">
        <v>7754</v>
      </c>
      <c r="Y356" s="6" t="s">
        <v>98</v>
      </c>
      <c r="Z356" s="6" t="n">
        <v>0</v>
      </c>
      <c r="AA356" s="6" t="n">
        <v>0</v>
      </c>
      <c r="AB356" s="6" t="n">
        <v>0</v>
      </c>
      <c r="AC356" s="6" t="n">
        <v>0</v>
      </c>
      <c r="AD356" s="6" t="n">
        <v>0</v>
      </c>
      <c r="AE356" s="6" t="n">
        <v>0</v>
      </c>
      <c r="AF356" s="6" t="n">
        <v>0</v>
      </c>
      <c r="AG356" s="6" t="n">
        <v>1</v>
      </c>
      <c r="AH356" s="6" t="n">
        <v>0</v>
      </c>
      <c r="AI356" s="6" t="s">
        <v>84</v>
      </c>
    </row>
    <row r="357" customFormat="false" ht="15" hidden="false" customHeight="false" outlineLevel="0" collapsed="false">
      <c r="A357" s="6" t="n">
        <v>356</v>
      </c>
      <c r="B357" s="6" t="s">
        <v>7755</v>
      </c>
      <c r="C357" s="6" t="n">
        <v>8</v>
      </c>
      <c r="D357" s="6" t="s">
        <v>105</v>
      </c>
      <c r="E357" s="6" t="s">
        <v>81</v>
      </c>
      <c r="F357" s="6" t="n">
        <v>2</v>
      </c>
      <c r="G357" s="6" t="n">
        <v>44</v>
      </c>
      <c r="H357" s="6" t="s">
        <v>7756</v>
      </c>
      <c r="I357" s="22" t="n">
        <v>602400</v>
      </c>
      <c r="J357" s="22" t="n">
        <v>4000</v>
      </c>
      <c r="K357" s="22" t="n">
        <v>45480</v>
      </c>
      <c r="L357" s="22" t="n">
        <v>651880</v>
      </c>
      <c r="M357" s="6" t="s">
        <v>57</v>
      </c>
      <c r="N357" s="6" t="s">
        <v>58</v>
      </c>
      <c r="O357" s="6"/>
      <c r="P357" s="6" t="s">
        <v>69</v>
      </c>
      <c r="Q357" s="6" t="str">
        <f aca="false">IF(P357="pass","No","Yes")</f>
        <v>No</v>
      </c>
      <c r="R357" s="6" t="s">
        <v>60</v>
      </c>
      <c r="S357" s="6"/>
      <c r="T357" s="6"/>
      <c r="U357" s="23" t="n">
        <v>2.756</v>
      </c>
      <c r="V357" s="6" t="s">
        <v>7757</v>
      </c>
      <c r="W357" s="6" t="s">
        <v>7758</v>
      </c>
      <c r="X357" s="6" t="s">
        <v>7759</v>
      </c>
      <c r="Y357" s="6" t="s">
        <v>60</v>
      </c>
      <c r="Z357" s="6" t="n">
        <v>0</v>
      </c>
      <c r="AA357" s="6" t="n">
        <v>0</v>
      </c>
      <c r="AB357" s="6" t="n">
        <v>0</v>
      </c>
      <c r="AC357" s="6" t="n">
        <v>0</v>
      </c>
      <c r="AD357" s="6" t="n">
        <v>0</v>
      </c>
      <c r="AE357" s="6" t="n">
        <v>0</v>
      </c>
      <c r="AF357" s="6" t="n">
        <v>0</v>
      </c>
      <c r="AG357" s="6" t="n">
        <v>0</v>
      </c>
      <c r="AH357" s="6" t="n">
        <v>0</v>
      </c>
      <c r="AI357" s="6" t="s">
        <v>84</v>
      </c>
    </row>
    <row r="358" customFormat="false" ht="15" hidden="false" customHeight="false" outlineLevel="0" collapsed="false">
      <c r="A358" s="6" t="n">
        <v>357</v>
      </c>
      <c r="B358" s="6" t="s">
        <v>7760</v>
      </c>
      <c r="C358" s="6" t="n">
        <v>8</v>
      </c>
      <c r="D358" s="6" t="s">
        <v>112</v>
      </c>
      <c r="E358" s="6" t="s">
        <v>116</v>
      </c>
      <c r="F358" s="6" t="n">
        <v>2</v>
      </c>
      <c r="G358" s="6" t="n">
        <v>64</v>
      </c>
      <c r="H358" s="6" t="s">
        <v>7761</v>
      </c>
      <c r="I358" s="22" t="n">
        <v>774400</v>
      </c>
      <c r="J358" s="22" t="n">
        <v>15000</v>
      </c>
      <c r="K358" s="22" t="n">
        <v>59205</v>
      </c>
      <c r="L358" s="22" t="n">
        <v>848605</v>
      </c>
      <c r="M358" s="6" t="s">
        <v>1042</v>
      </c>
      <c r="N358" s="6" t="s">
        <v>58</v>
      </c>
      <c r="O358" s="6"/>
      <c r="P358" s="6" t="s">
        <v>69</v>
      </c>
      <c r="Q358" s="6" t="str">
        <f aca="false">IF(P358="pass","No","Yes")</f>
        <v>No</v>
      </c>
      <c r="R358" s="6" t="s">
        <v>60</v>
      </c>
      <c r="S358" s="6"/>
      <c r="T358" s="6"/>
      <c r="U358" s="23" t="n">
        <v>2.732</v>
      </c>
      <c r="V358" s="6" t="s">
        <v>7762</v>
      </c>
      <c r="W358" s="6" t="s">
        <v>7763</v>
      </c>
      <c r="X358" s="6" t="s">
        <v>7764</v>
      </c>
      <c r="Y358" s="6" t="s">
        <v>60</v>
      </c>
      <c r="Z358" s="6" t="n">
        <v>0</v>
      </c>
      <c r="AA358" s="6" t="n">
        <v>0</v>
      </c>
      <c r="AB358" s="6" t="n">
        <v>0</v>
      </c>
      <c r="AC358" s="6" t="n">
        <v>0</v>
      </c>
      <c r="AD358" s="6" t="n">
        <v>0</v>
      </c>
      <c r="AE358" s="6" t="n">
        <v>0</v>
      </c>
      <c r="AF358" s="6" t="n">
        <v>0</v>
      </c>
      <c r="AG358" s="6" t="n">
        <v>0</v>
      </c>
      <c r="AH358" s="6" t="n">
        <v>0</v>
      </c>
      <c r="AI358" s="6" t="s">
        <v>84</v>
      </c>
    </row>
    <row r="359" customFormat="false" ht="15" hidden="false" customHeight="false" outlineLevel="0" collapsed="false">
      <c r="A359" s="6" t="n">
        <v>358</v>
      </c>
      <c r="B359" s="6" t="s">
        <v>7765</v>
      </c>
      <c r="C359" s="6" t="n">
        <v>8</v>
      </c>
      <c r="D359" s="6" t="s">
        <v>119</v>
      </c>
      <c r="E359" s="6" t="s">
        <v>123</v>
      </c>
      <c r="F359" s="6" t="n">
        <v>3</v>
      </c>
      <c r="G359" s="6" t="n">
        <v>182</v>
      </c>
      <c r="H359" s="6" t="s">
        <v>7766</v>
      </c>
      <c r="I359" s="22" t="n">
        <v>2102800</v>
      </c>
      <c r="J359" s="22" t="n">
        <v>5000</v>
      </c>
      <c r="K359" s="22" t="n">
        <v>158085</v>
      </c>
      <c r="L359" s="22" t="n">
        <v>2265885</v>
      </c>
      <c r="M359" s="6" t="s">
        <v>57</v>
      </c>
      <c r="N359" s="6" t="s">
        <v>58</v>
      </c>
      <c r="O359" s="6"/>
      <c r="P359" s="6" t="s">
        <v>59</v>
      </c>
      <c r="Q359" s="6" t="str">
        <f aca="false">IF(P359="pass","No","Yes")</f>
        <v>Yes</v>
      </c>
      <c r="R359" s="6" t="s">
        <v>60</v>
      </c>
      <c r="S359" s="6" t="s">
        <v>915</v>
      </c>
      <c r="T359" s="6" t="s">
        <v>7767</v>
      </c>
      <c r="U359" s="23" t="n">
        <v>2.753</v>
      </c>
      <c r="V359" s="6" t="s">
        <v>7768</v>
      </c>
      <c r="W359" s="6" t="s">
        <v>7769</v>
      </c>
      <c r="X359" s="6" t="s">
        <v>7770</v>
      </c>
      <c r="Y359" s="6" t="s">
        <v>60</v>
      </c>
      <c r="Z359" s="6" t="n">
        <v>0</v>
      </c>
      <c r="AA359" s="6" t="n">
        <v>0</v>
      </c>
      <c r="AB359" s="6" t="n">
        <v>0</v>
      </c>
      <c r="AC359" s="6" t="n">
        <v>0</v>
      </c>
      <c r="AD359" s="6" t="n">
        <v>0</v>
      </c>
      <c r="AE359" s="6" t="n">
        <v>0</v>
      </c>
      <c r="AF359" s="6" t="n">
        <v>0</v>
      </c>
      <c r="AG359" s="6" t="n">
        <v>0</v>
      </c>
      <c r="AH359" s="6" t="n">
        <v>1</v>
      </c>
      <c r="AI359" s="6" t="s">
        <v>84</v>
      </c>
    </row>
    <row r="360" customFormat="false" ht="15" hidden="false" customHeight="false" outlineLevel="0" collapsed="false">
      <c r="A360" s="6" t="n">
        <v>359</v>
      </c>
      <c r="B360" s="6" t="s">
        <v>7771</v>
      </c>
      <c r="C360" s="6" t="n">
        <v>8</v>
      </c>
      <c r="D360" s="6" t="s">
        <v>127</v>
      </c>
      <c r="E360" s="6" t="s">
        <v>55</v>
      </c>
      <c r="F360" s="6" t="n">
        <v>1</v>
      </c>
      <c r="G360" s="6" t="n">
        <v>2</v>
      </c>
      <c r="H360" s="6" t="s">
        <v>959</v>
      </c>
      <c r="I360" s="22" t="n">
        <v>8200</v>
      </c>
      <c r="J360" s="22" t="n">
        <v>6000</v>
      </c>
      <c r="K360" s="22" t="n">
        <v>1065</v>
      </c>
      <c r="L360" s="22" t="n">
        <v>15265</v>
      </c>
      <c r="M360" s="6" t="s">
        <v>57</v>
      </c>
      <c r="N360" s="6" t="s">
        <v>58</v>
      </c>
      <c r="O360" s="6"/>
      <c r="P360" s="6" t="s">
        <v>69</v>
      </c>
      <c r="Q360" s="6" t="str">
        <f aca="false">IF(P360="pass","No","Yes")</f>
        <v>No</v>
      </c>
      <c r="R360" s="6" t="s">
        <v>60</v>
      </c>
      <c r="S360" s="6"/>
      <c r="T360" s="6"/>
      <c r="U360" s="23" t="n">
        <v>2.482</v>
      </c>
      <c r="V360" s="6" t="s">
        <v>7772</v>
      </c>
      <c r="W360" s="6" t="s">
        <v>7773</v>
      </c>
      <c r="X360" s="6" t="s">
        <v>7774</v>
      </c>
      <c r="Y360" s="6" t="s">
        <v>60</v>
      </c>
      <c r="Z360" s="6" t="n">
        <v>0</v>
      </c>
      <c r="AA360" s="6" t="n">
        <v>0</v>
      </c>
      <c r="AB360" s="6" t="n">
        <v>0</v>
      </c>
      <c r="AC360" s="6" t="n">
        <v>0</v>
      </c>
      <c r="AD360" s="6" t="n">
        <v>0</v>
      </c>
      <c r="AE360" s="6" t="n">
        <v>0</v>
      </c>
      <c r="AF360" s="6" t="n">
        <v>0</v>
      </c>
      <c r="AG360" s="6" t="n">
        <v>0</v>
      </c>
      <c r="AH360" s="6" t="n">
        <v>0</v>
      </c>
      <c r="AI360" s="6" t="s">
        <v>84</v>
      </c>
    </row>
    <row r="361" customFormat="false" ht="15" hidden="false" customHeight="false" outlineLevel="0" collapsed="false">
      <c r="A361" s="6" t="n">
        <v>360</v>
      </c>
      <c r="B361" s="6" t="s">
        <v>7775</v>
      </c>
      <c r="C361" s="6" t="n">
        <v>8</v>
      </c>
      <c r="D361" s="6" t="s">
        <v>137</v>
      </c>
      <c r="E361" s="6" t="s">
        <v>55</v>
      </c>
      <c r="F361" s="6" t="n">
        <v>3</v>
      </c>
      <c r="G361" s="6" t="n">
        <v>143</v>
      </c>
      <c r="H361" s="6" t="s">
        <v>7776</v>
      </c>
      <c r="I361" s="22" t="n">
        <v>1366100</v>
      </c>
      <c r="J361" s="22" t="n">
        <v>6000</v>
      </c>
      <c r="K361" s="22" t="n">
        <v>102907.5</v>
      </c>
      <c r="L361" s="22" t="n">
        <v>1475007.5</v>
      </c>
      <c r="M361" s="6" t="s">
        <v>960</v>
      </c>
      <c r="N361" s="6" t="s">
        <v>84</v>
      </c>
      <c r="O361" s="6" t="s">
        <v>961</v>
      </c>
      <c r="P361" s="6" t="s">
        <v>85</v>
      </c>
      <c r="Q361" s="6" t="str">
        <f aca="false">IF(P361="pass","No","Yes")</f>
        <v>Yes</v>
      </c>
      <c r="R361" s="6" t="s">
        <v>86</v>
      </c>
      <c r="S361" s="6" t="s">
        <v>961</v>
      </c>
      <c r="T361" s="6" t="s">
        <v>962</v>
      </c>
      <c r="U361" s="23" t="n">
        <v>2.426</v>
      </c>
      <c r="V361" s="6" t="s">
        <v>7777</v>
      </c>
      <c r="W361" s="6" t="s">
        <v>7778</v>
      </c>
      <c r="X361" s="6" t="s">
        <v>7779</v>
      </c>
      <c r="Y361" s="6" t="s">
        <v>86</v>
      </c>
      <c r="Z361" s="6" t="n">
        <v>0</v>
      </c>
      <c r="AA361" s="6" t="n">
        <v>0</v>
      </c>
      <c r="AB361" s="6" t="n">
        <v>0</v>
      </c>
      <c r="AC361" s="6" t="n">
        <v>0</v>
      </c>
      <c r="AD361" s="6" t="n">
        <v>1</v>
      </c>
      <c r="AE361" s="6" t="n">
        <v>0</v>
      </c>
      <c r="AF361" s="6" t="n">
        <v>0</v>
      </c>
      <c r="AG361" s="6" t="n">
        <v>0</v>
      </c>
      <c r="AH361" s="6" t="n">
        <v>0</v>
      </c>
      <c r="AI361" s="6" t="s">
        <v>84</v>
      </c>
    </row>
    <row r="362" customFormat="false" ht="15" hidden="false" customHeight="false" outlineLevel="0" collapsed="false">
      <c r="A362" s="6" t="n">
        <v>361</v>
      </c>
      <c r="B362" s="6" t="s">
        <v>7780</v>
      </c>
      <c r="C362" s="6" t="n">
        <v>8</v>
      </c>
      <c r="D362" s="6" t="s">
        <v>137</v>
      </c>
      <c r="E362" s="6" t="s">
        <v>55</v>
      </c>
      <c r="F362" s="6" t="n">
        <v>1</v>
      </c>
      <c r="G362" s="6" t="n">
        <v>2</v>
      </c>
      <c r="H362" s="6" t="s">
        <v>2017</v>
      </c>
      <c r="I362" s="22" t="n">
        <v>76000</v>
      </c>
      <c r="J362" s="22" t="n">
        <v>6000</v>
      </c>
      <c r="K362" s="22" t="n">
        <v>6150</v>
      </c>
      <c r="L362" s="22" t="n">
        <v>88150</v>
      </c>
      <c r="M362" s="6" t="s">
        <v>1042</v>
      </c>
      <c r="N362" s="6" t="s">
        <v>58</v>
      </c>
      <c r="O362" s="6"/>
      <c r="P362" s="6" t="s">
        <v>69</v>
      </c>
      <c r="Q362" s="6" t="str">
        <f aca="false">IF(P362="pass","No","Yes")</f>
        <v>No</v>
      </c>
      <c r="R362" s="6" t="s">
        <v>60</v>
      </c>
      <c r="S362" s="6"/>
      <c r="T362" s="6"/>
      <c r="U362" s="23" t="n">
        <v>2.543</v>
      </c>
      <c r="V362" s="6" t="s">
        <v>7781</v>
      </c>
      <c r="W362" s="6" t="s">
        <v>7782</v>
      </c>
      <c r="X362" s="6" t="s">
        <v>7783</v>
      </c>
      <c r="Y362" s="6" t="s">
        <v>60</v>
      </c>
      <c r="Z362" s="6" t="n">
        <v>0</v>
      </c>
      <c r="AA362" s="6" t="n">
        <v>0</v>
      </c>
      <c r="AB362" s="6" t="n">
        <v>0</v>
      </c>
      <c r="AC362" s="6" t="n">
        <v>0</v>
      </c>
      <c r="AD362" s="6" t="n">
        <v>0</v>
      </c>
      <c r="AE362" s="6" t="n">
        <v>0</v>
      </c>
      <c r="AF362" s="6" t="n">
        <v>0</v>
      </c>
      <c r="AG362" s="6" t="n">
        <v>0</v>
      </c>
      <c r="AH362" s="6" t="n">
        <v>0</v>
      </c>
      <c r="AI362" s="6" t="s">
        <v>84</v>
      </c>
    </row>
    <row r="363" customFormat="false" ht="15" hidden="false" customHeight="false" outlineLevel="0" collapsed="false">
      <c r="A363" s="6" t="n">
        <v>362</v>
      </c>
      <c r="B363" s="6" t="s">
        <v>7784</v>
      </c>
      <c r="C363" s="6" t="n">
        <v>8</v>
      </c>
      <c r="D363" s="6" t="s">
        <v>198</v>
      </c>
      <c r="E363" s="6" t="s">
        <v>81</v>
      </c>
      <c r="F363" s="6" t="n">
        <v>4</v>
      </c>
      <c r="G363" s="6" t="n">
        <v>162</v>
      </c>
      <c r="H363" s="6" t="s">
        <v>7785</v>
      </c>
      <c r="I363" s="22" t="n">
        <v>1550500</v>
      </c>
      <c r="J363" s="22" t="n">
        <v>4000</v>
      </c>
      <c r="K363" s="22" t="n">
        <v>116587.5</v>
      </c>
      <c r="L363" s="22" t="n">
        <v>1671087.5</v>
      </c>
      <c r="M363" s="6" t="s">
        <v>1009</v>
      </c>
      <c r="N363" s="6" t="s">
        <v>58</v>
      </c>
      <c r="O363" s="6"/>
      <c r="P363" s="6" t="s">
        <v>69</v>
      </c>
      <c r="Q363" s="6" t="str">
        <f aca="false">IF(P363="pass","No","Yes")</f>
        <v>No</v>
      </c>
      <c r="R363" s="6" t="s">
        <v>60</v>
      </c>
      <c r="S363" s="6"/>
      <c r="T363" s="6"/>
      <c r="U363" s="23" t="n">
        <v>3.016</v>
      </c>
      <c r="V363" s="6" t="s">
        <v>7786</v>
      </c>
      <c r="W363" s="6" t="s">
        <v>7787</v>
      </c>
      <c r="X363" s="6" t="s">
        <v>7788</v>
      </c>
      <c r="Y363" s="6" t="s">
        <v>60</v>
      </c>
      <c r="Z363" s="6" t="n">
        <v>0</v>
      </c>
      <c r="AA363" s="6" t="n">
        <v>0</v>
      </c>
      <c r="AB363" s="6" t="n">
        <v>0</v>
      </c>
      <c r="AC363" s="6" t="n">
        <v>0</v>
      </c>
      <c r="AD363" s="6" t="n">
        <v>0</v>
      </c>
      <c r="AE363" s="6" t="n">
        <v>0</v>
      </c>
      <c r="AF363" s="6" t="n">
        <v>0</v>
      </c>
      <c r="AG363" s="6" t="n">
        <v>0</v>
      </c>
      <c r="AH363" s="6" t="n">
        <v>0</v>
      </c>
      <c r="AI363" s="6" t="s">
        <v>84</v>
      </c>
    </row>
    <row r="364" customFormat="false" ht="15" hidden="false" customHeight="false" outlineLevel="0" collapsed="false">
      <c r="A364" s="6" t="n">
        <v>363</v>
      </c>
      <c r="B364" s="6" t="s">
        <v>7789</v>
      </c>
      <c r="C364" s="6" t="n">
        <v>8</v>
      </c>
      <c r="D364" s="6" t="s">
        <v>112</v>
      </c>
      <c r="E364" s="6" t="s">
        <v>116</v>
      </c>
      <c r="F364" s="6" t="n">
        <v>1</v>
      </c>
      <c r="G364" s="6" t="n">
        <v>4</v>
      </c>
      <c r="H364" s="6" t="s">
        <v>4044</v>
      </c>
      <c r="I364" s="22" t="n">
        <v>152000</v>
      </c>
      <c r="J364" s="22" t="n">
        <v>15000</v>
      </c>
      <c r="K364" s="22" t="n">
        <v>12525</v>
      </c>
      <c r="L364" s="22" t="n">
        <v>179525</v>
      </c>
      <c r="M364" s="6" t="s">
        <v>57</v>
      </c>
      <c r="N364" s="6" t="s">
        <v>58</v>
      </c>
      <c r="O364" s="6"/>
      <c r="P364" s="6" t="s">
        <v>69</v>
      </c>
      <c r="Q364" s="6" t="str">
        <f aca="false">IF(P364="pass","No","Yes")</f>
        <v>No</v>
      </c>
      <c r="R364" s="6" t="s">
        <v>60</v>
      </c>
      <c r="S364" s="6"/>
      <c r="T364" s="6"/>
      <c r="U364" s="23" t="n">
        <v>2.62</v>
      </c>
      <c r="V364" s="6" t="s">
        <v>7790</v>
      </c>
      <c r="W364" s="6" t="s">
        <v>7791</v>
      </c>
      <c r="X364" s="6" t="s">
        <v>7792</v>
      </c>
      <c r="Y364" s="6" t="s">
        <v>60</v>
      </c>
      <c r="Z364" s="6" t="n">
        <v>0</v>
      </c>
      <c r="AA364" s="6" t="n">
        <v>0</v>
      </c>
      <c r="AB364" s="6" t="n">
        <v>0</v>
      </c>
      <c r="AC364" s="6" t="n">
        <v>0</v>
      </c>
      <c r="AD364" s="6" t="n">
        <v>0</v>
      </c>
      <c r="AE364" s="6" t="n">
        <v>0</v>
      </c>
      <c r="AF364" s="6" t="n">
        <v>0</v>
      </c>
      <c r="AG364" s="6" t="n">
        <v>0</v>
      </c>
      <c r="AH364" s="6" t="n">
        <v>0</v>
      </c>
      <c r="AI364" s="6" t="s">
        <v>84</v>
      </c>
    </row>
    <row r="365" customFormat="false" ht="15" hidden="false" customHeight="false" outlineLevel="0" collapsed="false">
      <c r="A365" s="6" t="n">
        <v>364</v>
      </c>
      <c r="B365" s="6" t="s">
        <v>7793</v>
      </c>
      <c r="C365" s="6" t="n">
        <v>8</v>
      </c>
      <c r="D365" s="6" t="s">
        <v>77</v>
      </c>
      <c r="E365" s="6" t="s">
        <v>81</v>
      </c>
      <c r="F365" s="6" t="n">
        <v>2</v>
      </c>
      <c r="G365" s="6" t="n">
        <v>39</v>
      </c>
      <c r="H365" s="6" t="s">
        <v>7794</v>
      </c>
      <c r="I365" s="22" t="n">
        <v>800800</v>
      </c>
      <c r="J365" s="22" t="n">
        <v>4000</v>
      </c>
      <c r="K365" s="22" t="n">
        <v>60360</v>
      </c>
      <c r="L365" s="22" t="n">
        <v>865160</v>
      </c>
      <c r="M365" s="6" t="s">
        <v>57</v>
      </c>
      <c r="N365" s="6" t="s">
        <v>58</v>
      </c>
      <c r="O365" s="6"/>
      <c r="P365" s="6" t="s">
        <v>69</v>
      </c>
      <c r="Q365" s="6" t="str">
        <f aca="false">IF(P365="pass","No","Yes")</f>
        <v>No</v>
      </c>
      <c r="R365" s="6" t="s">
        <v>60</v>
      </c>
      <c r="S365" s="6"/>
      <c r="T365" s="6"/>
      <c r="U365" s="23" t="n">
        <v>2.548</v>
      </c>
      <c r="V365" s="6" t="s">
        <v>7795</v>
      </c>
      <c r="W365" s="6" t="s">
        <v>7796</v>
      </c>
      <c r="X365" s="6" t="s">
        <v>7797</v>
      </c>
      <c r="Y365" s="6" t="s">
        <v>60</v>
      </c>
      <c r="Z365" s="6" t="n">
        <v>0</v>
      </c>
      <c r="AA365" s="6" t="n">
        <v>0</v>
      </c>
      <c r="AB365" s="6" t="n">
        <v>0</v>
      </c>
      <c r="AC365" s="6" t="n">
        <v>0</v>
      </c>
      <c r="AD365" s="6" t="n">
        <v>0</v>
      </c>
      <c r="AE365" s="6" t="n">
        <v>0</v>
      </c>
      <c r="AF365" s="6" t="n">
        <v>0</v>
      </c>
      <c r="AG365" s="6" t="n">
        <v>0</v>
      </c>
      <c r="AH365" s="6" t="n">
        <v>0</v>
      </c>
      <c r="AI365" s="6" t="s">
        <v>84</v>
      </c>
    </row>
    <row r="366" customFormat="false" ht="15" hidden="false" customHeight="false" outlineLevel="0" collapsed="false">
      <c r="A366" s="6" t="n">
        <v>365</v>
      </c>
      <c r="B366" s="6" t="s">
        <v>7798</v>
      </c>
      <c r="C366" s="6" t="n">
        <v>8</v>
      </c>
      <c r="D366" s="6" t="s">
        <v>89</v>
      </c>
      <c r="E366" s="6" t="s">
        <v>146</v>
      </c>
      <c r="F366" s="6" t="n">
        <v>1</v>
      </c>
      <c r="G366" s="6" t="n">
        <v>2</v>
      </c>
      <c r="H366" s="6" t="s">
        <v>2836</v>
      </c>
      <c r="I366" s="22" t="n">
        <v>62000</v>
      </c>
      <c r="J366" s="22" t="n">
        <v>0</v>
      </c>
      <c r="K366" s="22" t="n">
        <v>4650</v>
      </c>
      <c r="L366" s="22" t="n">
        <v>66650</v>
      </c>
      <c r="M366" s="6" t="s">
        <v>148</v>
      </c>
      <c r="N366" s="6" t="s">
        <v>84</v>
      </c>
      <c r="O366" s="6" t="s">
        <v>866</v>
      </c>
      <c r="P366" s="6" t="s">
        <v>85</v>
      </c>
      <c r="Q366" s="6" t="str">
        <f aca="false">IF(P366="pass","No","Yes")</f>
        <v>Yes</v>
      </c>
      <c r="R366" s="6" t="s">
        <v>86</v>
      </c>
      <c r="S366" s="6" t="s">
        <v>866</v>
      </c>
      <c r="T366" s="6" t="s">
        <v>150</v>
      </c>
      <c r="U366" s="23" t="n">
        <v>1.973</v>
      </c>
      <c r="V366" s="6" t="s">
        <v>7799</v>
      </c>
      <c r="W366" s="6" t="s">
        <v>7800</v>
      </c>
      <c r="X366" s="6" t="s">
        <v>7801</v>
      </c>
      <c r="Y366" s="6" t="s">
        <v>86</v>
      </c>
      <c r="Z366" s="6" t="n">
        <v>1</v>
      </c>
      <c r="AA366" s="6" t="n">
        <v>0</v>
      </c>
      <c r="AB366" s="6" t="n">
        <v>0</v>
      </c>
      <c r="AC366" s="6" t="n">
        <v>0</v>
      </c>
      <c r="AD366" s="6" t="n">
        <v>0</v>
      </c>
      <c r="AE366" s="6" t="n">
        <v>0</v>
      </c>
      <c r="AF366" s="6" t="n">
        <v>0</v>
      </c>
      <c r="AG366" s="6" t="n">
        <v>0</v>
      </c>
      <c r="AH366" s="6" t="n">
        <v>0</v>
      </c>
      <c r="AI366" s="6" t="s">
        <v>84</v>
      </c>
    </row>
    <row r="367" customFormat="false" ht="15" hidden="false" customHeight="false" outlineLevel="0" collapsed="false">
      <c r="A367" s="6" t="n">
        <v>366</v>
      </c>
      <c r="B367" s="6" t="s">
        <v>7802</v>
      </c>
      <c r="C367" s="6" t="n">
        <v>8</v>
      </c>
      <c r="D367" s="6" t="s">
        <v>191</v>
      </c>
      <c r="E367" s="6" t="s">
        <v>116</v>
      </c>
      <c r="F367" s="6" t="n">
        <v>2</v>
      </c>
      <c r="G367" s="6" t="n">
        <v>19</v>
      </c>
      <c r="H367" s="6" t="s">
        <v>7803</v>
      </c>
      <c r="I367" s="22" t="n">
        <v>218000</v>
      </c>
      <c r="J367" s="22" t="n">
        <v>15000</v>
      </c>
      <c r="K367" s="22" t="n">
        <v>17475</v>
      </c>
      <c r="L367" s="22" t="n">
        <v>250475</v>
      </c>
      <c r="M367" s="6" t="s">
        <v>57</v>
      </c>
      <c r="N367" s="6" t="s">
        <v>58</v>
      </c>
      <c r="O367" s="6"/>
      <c r="P367" s="6" t="s">
        <v>69</v>
      </c>
      <c r="Q367" s="6" t="str">
        <f aca="false">IF(P367="pass","No","Yes")</f>
        <v>No</v>
      </c>
      <c r="R367" s="6" t="s">
        <v>60</v>
      </c>
      <c r="S367" s="6"/>
      <c r="T367" s="6"/>
      <c r="U367" s="23" t="n">
        <v>2.664</v>
      </c>
      <c r="V367" s="6" t="s">
        <v>7804</v>
      </c>
      <c r="W367" s="6" t="s">
        <v>7805</v>
      </c>
      <c r="X367" s="6" t="s">
        <v>7806</v>
      </c>
      <c r="Y367" s="6" t="s">
        <v>60</v>
      </c>
      <c r="Z367" s="6" t="n">
        <v>0</v>
      </c>
      <c r="AA367" s="6" t="n">
        <v>0</v>
      </c>
      <c r="AB367" s="6" t="n">
        <v>0</v>
      </c>
      <c r="AC367" s="6" t="n">
        <v>0</v>
      </c>
      <c r="AD367" s="6" t="n">
        <v>0</v>
      </c>
      <c r="AE367" s="6" t="n">
        <v>0</v>
      </c>
      <c r="AF367" s="6" t="n">
        <v>0</v>
      </c>
      <c r="AG367" s="6" t="n">
        <v>0</v>
      </c>
      <c r="AH367" s="6" t="n">
        <v>0</v>
      </c>
      <c r="AI367" s="6" t="s">
        <v>84</v>
      </c>
    </row>
    <row r="368" customFormat="false" ht="15" hidden="false" customHeight="false" outlineLevel="0" collapsed="false">
      <c r="A368" s="6" t="n">
        <v>367</v>
      </c>
      <c r="B368" s="6" t="s">
        <v>7807</v>
      </c>
      <c r="C368" s="6" t="n">
        <v>8</v>
      </c>
      <c r="D368" s="6" t="s">
        <v>198</v>
      </c>
      <c r="E368" s="6" t="s">
        <v>81</v>
      </c>
      <c r="F368" s="6" t="n">
        <v>2</v>
      </c>
      <c r="G368" s="6" t="n">
        <v>26</v>
      </c>
      <c r="H368" s="6" t="s">
        <v>7808</v>
      </c>
      <c r="I368" s="22" t="n">
        <v>356200</v>
      </c>
      <c r="J368" s="22" t="n">
        <v>4000</v>
      </c>
      <c r="K368" s="22" t="n">
        <v>27015</v>
      </c>
      <c r="L368" s="22" t="n">
        <v>387215</v>
      </c>
      <c r="M368" s="6" t="s">
        <v>57</v>
      </c>
      <c r="N368" s="6" t="s">
        <v>58</v>
      </c>
      <c r="O368" s="6"/>
      <c r="P368" s="6" t="s">
        <v>69</v>
      </c>
      <c r="Q368" s="6" t="str">
        <f aca="false">IF(P368="pass","No","Yes")</f>
        <v>No</v>
      </c>
      <c r="R368" s="6" t="s">
        <v>60</v>
      </c>
      <c r="S368" s="6"/>
      <c r="T368" s="6"/>
      <c r="U368" s="23" t="n">
        <v>2.83</v>
      </c>
      <c r="V368" s="6" t="s">
        <v>7809</v>
      </c>
      <c r="W368" s="6" t="s">
        <v>7810</v>
      </c>
      <c r="X368" s="6" t="s">
        <v>7811</v>
      </c>
      <c r="Y368" s="6" t="s">
        <v>60</v>
      </c>
      <c r="Z368" s="6" t="n">
        <v>0</v>
      </c>
      <c r="AA368" s="6" t="n">
        <v>0</v>
      </c>
      <c r="AB368" s="6" t="n">
        <v>0</v>
      </c>
      <c r="AC368" s="6" t="n">
        <v>0</v>
      </c>
      <c r="AD368" s="6" t="n">
        <v>0</v>
      </c>
      <c r="AE368" s="6" t="n">
        <v>0</v>
      </c>
      <c r="AF368" s="6" t="n">
        <v>0</v>
      </c>
      <c r="AG368" s="6" t="n">
        <v>0</v>
      </c>
      <c r="AH368" s="6" t="n">
        <v>0</v>
      </c>
      <c r="AI368" s="6" t="s">
        <v>84</v>
      </c>
    </row>
    <row r="369" customFormat="false" ht="15" hidden="false" customHeight="false" outlineLevel="0" collapsed="false">
      <c r="A369" s="6" t="n">
        <v>368</v>
      </c>
      <c r="B369" s="6" t="s">
        <v>7812</v>
      </c>
      <c r="C369" s="6" t="n">
        <v>8</v>
      </c>
      <c r="D369" s="6" t="s">
        <v>237</v>
      </c>
      <c r="E369" s="6" t="s">
        <v>116</v>
      </c>
      <c r="F369" s="6" t="n">
        <v>2</v>
      </c>
      <c r="G369" s="6" t="n">
        <v>10</v>
      </c>
      <c r="H369" s="6" t="s">
        <v>7813</v>
      </c>
      <c r="I369" s="22" t="n">
        <v>380000</v>
      </c>
      <c r="J369" s="22" t="n">
        <v>15000</v>
      </c>
      <c r="K369" s="22" t="n">
        <v>29625</v>
      </c>
      <c r="L369" s="22" t="n">
        <v>424625</v>
      </c>
      <c r="M369" s="6" t="s">
        <v>272</v>
      </c>
      <c r="N369" s="6" t="s">
        <v>84</v>
      </c>
      <c r="O369" s="6" t="s">
        <v>879</v>
      </c>
      <c r="P369" s="6" t="s">
        <v>85</v>
      </c>
      <c r="Q369" s="6" t="str">
        <f aca="false">IF(P369="pass","No","Yes")</f>
        <v>Yes</v>
      </c>
      <c r="R369" s="6" t="s">
        <v>86</v>
      </c>
      <c r="S369" s="6" t="s">
        <v>879</v>
      </c>
      <c r="T369" s="6" t="s">
        <v>7814</v>
      </c>
      <c r="U369" s="23" t="n">
        <v>2.348</v>
      </c>
      <c r="V369" s="6" t="s">
        <v>7815</v>
      </c>
      <c r="W369" s="6" t="s">
        <v>7816</v>
      </c>
      <c r="X369" s="6" t="s">
        <v>7817</v>
      </c>
      <c r="Y369" s="6" t="s">
        <v>86</v>
      </c>
      <c r="Z369" s="6" t="n">
        <v>0</v>
      </c>
      <c r="AA369" s="6" t="n">
        <v>1</v>
      </c>
      <c r="AB369" s="6" t="n">
        <v>0</v>
      </c>
      <c r="AC369" s="6" t="n">
        <v>0</v>
      </c>
      <c r="AD369" s="6" t="n">
        <v>0</v>
      </c>
      <c r="AE369" s="6" t="n">
        <v>0</v>
      </c>
      <c r="AF369" s="6" t="n">
        <v>0</v>
      </c>
      <c r="AG369" s="6" t="n">
        <v>0</v>
      </c>
      <c r="AH369" s="6" t="n">
        <v>0</v>
      </c>
      <c r="AI369" s="6" t="s">
        <v>84</v>
      </c>
    </row>
    <row r="370" customFormat="false" ht="15" hidden="false" customHeight="false" outlineLevel="0" collapsed="false">
      <c r="A370" s="6" t="n">
        <v>369</v>
      </c>
      <c r="B370" s="6" t="s">
        <v>7818</v>
      </c>
      <c r="C370" s="6" t="n">
        <v>8</v>
      </c>
      <c r="D370" s="6" t="s">
        <v>154</v>
      </c>
      <c r="E370" s="6" t="s">
        <v>123</v>
      </c>
      <c r="F370" s="6" t="n">
        <v>2</v>
      </c>
      <c r="G370" s="6" t="n">
        <v>23</v>
      </c>
      <c r="H370" s="6" t="s">
        <v>7819</v>
      </c>
      <c r="I370" s="22" t="n">
        <v>270700</v>
      </c>
      <c r="J370" s="22" t="n">
        <v>5000</v>
      </c>
      <c r="K370" s="22" t="n">
        <v>20677.5</v>
      </c>
      <c r="L370" s="22" t="n">
        <v>296377.5</v>
      </c>
      <c r="M370" s="6" t="s">
        <v>984</v>
      </c>
      <c r="N370" s="6" t="s">
        <v>84</v>
      </c>
      <c r="O370" s="6" t="s">
        <v>985</v>
      </c>
      <c r="P370" s="6" t="s">
        <v>85</v>
      </c>
      <c r="Q370" s="6" t="str">
        <f aca="false">IF(P370="pass","No","Yes")</f>
        <v>Yes</v>
      </c>
      <c r="R370" s="6" t="s">
        <v>86</v>
      </c>
      <c r="S370" s="6" t="s">
        <v>985</v>
      </c>
      <c r="T370" s="6" t="s">
        <v>3244</v>
      </c>
      <c r="U370" s="23" t="n">
        <v>2.223</v>
      </c>
      <c r="V370" s="6" t="s">
        <v>7820</v>
      </c>
      <c r="W370" s="6" t="s">
        <v>7821</v>
      </c>
      <c r="X370" s="6" t="s">
        <v>7822</v>
      </c>
      <c r="Y370" s="6" t="s">
        <v>86</v>
      </c>
      <c r="Z370" s="6" t="n">
        <v>0</v>
      </c>
      <c r="AA370" s="6" t="n">
        <v>0</v>
      </c>
      <c r="AB370" s="6" t="n">
        <v>0</v>
      </c>
      <c r="AC370" s="6" t="n">
        <v>0</v>
      </c>
      <c r="AD370" s="6" t="n">
        <v>0</v>
      </c>
      <c r="AE370" s="6" t="n">
        <v>1</v>
      </c>
      <c r="AF370" s="6" t="n">
        <v>0</v>
      </c>
      <c r="AG370" s="6" t="n">
        <v>0</v>
      </c>
      <c r="AH370" s="6" t="n">
        <v>0</v>
      </c>
      <c r="AI370" s="6" t="s">
        <v>84</v>
      </c>
    </row>
    <row r="371" customFormat="false" ht="15" hidden="false" customHeight="false" outlineLevel="0" collapsed="false">
      <c r="A371" s="6" t="n">
        <v>370</v>
      </c>
      <c r="B371" s="6" t="s">
        <v>7823</v>
      </c>
      <c r="C371" s="6" t="n">
        <v>8</v>
      </c>
      <c r="D371" s="6" t="s">
        <v>137</v>
      </c>
      <c r="E371" s="6" t="s">
        <v>55</v>
      </c>
      <c r="F371" s="6" t="n">
        <v>3</v>
      </c>
      <c r="G371" s="6" t="n">
        <v>45</v>
      </c>
      <c r="H371" s="6" t="s">
        <v>7824</v>
      </c>
      <c r="I371" s="22" t="n">
        <v>945000</v>
      </c>
      <c r="J371" s="22" t="n">
        <v>6000</v>
      </c>
      <c r="K371" s="22" t="n">
        <v>71325</v>
      </c>
      <c r="L371" s="22" t="n">
        <v>1022325</v>
      </c>
      <c r="M371" s="6" t="s">
        <v>960</v>
      </c>
      <c r="N371" s="6" t="s">
        <v>84</v>
      </c>
      <c r="O371" s="6" t="s">
        <v>961</v>
      </c>
      <c r="P371" s="6" t="s">
        <v>85</v>
      </c>
      <c r="Q371" s="6" t="str">
        <f aca="false">IF(P371="pass","No","Yes")</f>
        <v>Yes</v>
      </c>
      <c r="R371" s="6" t="s">
        <v>86</v>
      </c>
      <c r="S371" s="6" t="s">
        <v>961</v>
      </c>
      <c r="T371" s="6" t="s">
        <v>962</v>
      </c>
      <c r="U371" s="23" t="n">
        <v>2.386</v>
      </c>
      <c r="V371" s="6" t="s">
        <v>7825</v>
      </c>
      <c r="W371" s="6" t="s">
        <v>7826</v>
      </c>
      <c r="X371" s="6" t="s">
        <v>7827</v>
      </c>
      <c r="Y371" s="6" t="s">
        <v>86</v>
      </c>
      <c r="Z371" s="6" t="n">
        <v>0</v>
      </c>
      <c r="AA371" s="6" t="n">
        <v>0</v>
      </c>
      <c r="AB371" s="6" t="n">
        <v>0</v>
      </c>
      <c r="AC371" s="6" t="n">
        <v>0</v>
      </c>
      <c r="AD371" s="6" t="n">
        <v>1</v>
      </c>
      <c r="AE371" s="6" t="n">
        <v>0</v>
      </c>
      <c r="AF371" s="6" t="n">
        <v>0</v>
      </c>
      <c r="AG371" s="6" t="n">
        <v>0</v>
      </c>
      <c r="AH371" s="6" t="n">
        <v>0</v>
      </c>
      <c r="AI371" s="6" t="s">
        <v>84</v>
      </c>
    </row>
    <row r="372" customFormat="false" ht="15" hidden="false" customHeight="false" outlineLevel="0" collapsed="false">
      <c r="A372" s="6" t="n">
        <v>371</v>
      </c>
      <c r="B372" s="6" t="s">
        <v>7828</v>
      </c>
      <c r="C372" s="6" t="n">
        <v>8</v>
      </c>
      <c r="D372" s="6" t="s">
        <v>51</v>
      </c>
      <c r="E372" s="6" t="s">
        <v>55</v>
      </c>
      <c r="F372" s="6" t="n">
        <v>4</v>
      </c>
      <c r="G372" s="6" t="n">
        <v>51</v>
      </c>
      <c r="H372" s="6" t="s">
        <v>7829</v>
      </c>
      <c r="I372" s="22" t="n">
        <v>1067500</v>
      </c>
      <c r="J372" s="22" t="n">
        <v>6000</v>
      </c>
      <c r="K372" s="22" t="n">
        <v>80512.5</v>
      </c>
      <c r="L372" s="22" t="n">
        <v>1154012.5</v>
      </c>
      <c r="M372" s="6" t="s">
        <v>132</v>
      </c>
      <c r="N372" s="6" t="s">
        <v>84</v>
      </c>
      <c r="O372" s="6" t="s">
        <v>879</v>
      </c>
      <c r="P372" s="6" t="s">
        <v>85</v>
      </c>
      <c r="Q372" s="6" t="str">
        <f aca="false">IF(P372="pass","No","Yes")</f>
        <v>Yes</v>
      </c>
      <c r="R372" s="6" t="s">
        <v>86</v>
      </c>
      <c r="S372" s="6" t="s">
        <v>880</v>
      </c>
      <c r="T372" s="6" t="s">
        <v>134</v>
      </c>
      <c r="U372" s="23" t="n">
        <v>2.327</v>
      </c>
      <c r="V372" s="6" t="s">
        <v>7830</v>
      </c>
      <c r="W372" s="6" t="s">
        <v>7831</v>
      </c>
      <c r="X372" s="6" t="s">
        <v>7832</v>
      </c>
      <c r="Y372" s="6" t="s">
        <v>86</v>
      </c>
      <c r="Z372" s="6" t="n">
        <v>0</v>
      </c>
      <c r="AA372" s="6" t="n">
        <v>1</v>
      </c>
      <c r="AB372" s="6" t="n">
        <v>0</v>
      </c>
      <c r="AC372" s="6" t="n">
        <v>1</v>
      </c>
      <c r="AD372" s="6" t="n">
        <v>0</v>
      </c>
      <c r="AE372" s="6" t="n">
        <v>0</v>
      </c>
      <c r="AF372" s="6" t="n">
        <v>0</v>
      </c>
      <c r="AG372" s="6" t="n">
        <v>0</v>
      </c>
      <c r="AH372" s="6" t="n">
        <v>0</v>
      </c>
      <c r="AI372" s="6" t="s">
        <v>84</v>
      </c>
    </row>
    <row r="373" customFormat="false" ht="15" hidden="false" customHeight="false" outlineLevel="0" collapsed="false">
      <c r="A373" s="6" t="n">
        <v>372</v>
      </c>
      <c r="B373" s="6" t="s">
        <v>7833</v>
      </c>
      <c r="C373" s="6" t="n">
        <v>8</v>
      </c>
      <c r="D373" s="6" t="s">
        <v>77</v>
      </c>
      <c r="E373" s="6" t="s">
        <v>81</v>
      </c>
      <c r="F373" s="6" t="n">
        <v>3</v>
      </c>
      <c r="G373" s="6" t="n">
        <v>69</v>
      </c>
      <c r="H373" s="6" t="s">
        <v>7834</v>
      </c>
      <c r="I373" s="22" t="n">
        <v>1521500</v>
      </c>
      <c r="J373" s="22" t="n">
        <v>4000</v>
      </c>
      <c r="K373" s="22" t="n">
        <v>114412.5</v>
      </c>
      <c r="L373" s="22" t="n">
        <v>1639912.5</v>
      </c>
      <c r="M373" s="6" t="s">
        <v>57</v>
      </c>
      <c r="N373" s="6" t="s">
        <v>58</v>
      </c>
      <c r="O373" s="6"/>
      <c r="P373" s="6" t="s">
        <v>69</v>
      </c>
      <c r="Q373" s="6" t="str">
        <f aca="false">IF(P373="pass","No","Yes")</f>
        <v>No</v>
      </c>
      <c r="R373" s="6" t="s">
        <v>60</v>
      </c>
      <c r="S373" s="6"/>
      <c r="T373" s="6"/>
      <c r="U373" s="23" t="n">
        <v>2.62</v>
      </c>
      <c r="V373" s="6" t="s">
        <v>7835</v>
      </c>
      <c r="W373" s="6" t="s">
        <v>7836</v>
      </c>
      <c r="X373" s="6" t="s">
        <v>7837</v>
      </c>
      <c r="Y373" s="6" t="s">
        <v>60</v>
      </c>
      <c r="Z373" s="6" t="n">
        <v>0</v>
      </c>
      <c r="AA373" s="6" t="n">
        <v>0</v>
      </c>
      <c r="AB373" s="6" t="n">
        <v>0</v>
      </c>
      <c r="AC373" s="6" t="n">
        <v>0</v>
      </c>
      <c r="AD373" s="6" t="n">
        <v>0</v>
      </c>
      <c r="AE373" s="6" t="n">
        <v>0</v>
      </c>
      <c r="AF373" s="6" t="n">
        <v>0</v>
      </c>
      <c r="AG373" s="6" t="n">
        <v>0</v>
      </c>
      <c r="AH373" s="6" t="n">
        <v>0</v>
      </c>
      <c r="AI373" s="6" t="s">
        <v>84</v>
      </c>
    </row>
    <row r="374" customFormat="false" ht="15" hidden="false" customHeight="false" outlineLevel="0" collapsed="false">
      <c r="A374" s="6" t="n">
        <v>373</v>
      </c>
      <c r="B374" s="6" t="s">
        <v>7838</v>
      </c>
      <c r="C374" s="6" t="n">
        <v>8</v>
      </c>
      <c r="D374" s="6" t="s">
        <v>77</v>
      </c>
      <c r="E374" s="6" t="s">
        <v>81</v>
      </c>
      <c r="F374" s="6" t="n">
        <v>3</v>
      </c>
      <c r="G374" s="6" t="n">
        <v>64</v>
      </c>
      <c r="H374" s="6" t="s">
        <v>7839</v>
      </c>
      <c r="I374" s="22" t="n">
        <v>640900</v>
      </c>
      <c r="J374" s="22" t="n">
        <v>4000</v>
      </c>
      <c r="K374" s="22" t="n">
        <v>48367.5</v>
      </c>
      <c r="L374" s="22" t="n">
        <v>693267.5</v>
      </c>
      <c r="M374" s="6" t="s">
        <v>57</v>
      </c>
      <c r="N374" s="6" t="s">
        <v>58</v>
      </c>
      <c r="O374" s="6"/>
      <c r="P374" s="6" t="s">
        <v>69</v>
      </c>
      <c r="Q374" s="6" t="str">
        <f aca="false">IF(P374="pass","No","Yes")</f>
        <v>No</v>
      </c>
      <c r="R374" s="6" t="s">
        <v>60</v>
      </c>
      <c r="S374" s="6"/>
      <c r="T374" s="6"/>
      <c r="U374" s="23" t="n">
        <v>2.628</v>
      </c>
      <c r="V374" s="6" t="s">
        <v>7840</v>
      </c>
      <c r="W374" s="6" t="s">
        <v>7841</v>
      </c>
      <c r="X374" s="6" t="s">
        <v>7842</v>
      </c>
      <c r="Y374" s="6" t="s">
        <v>60</v>
      </c>
      <c r="Z374" s="6" t="n">
        <v>0</v>
      </c>
      <c r="AA374" s="6" t="n">
        <v>0</v>
      </c>
      <c r="AB374" s="6" t="n">
        <v>0</v>
      </c>
      <c r="AC374" s="6" t="n">
        <v>0</v>
      </c>
      <c r="AD374" s="6" t="n">
        <v>0</v>
      </c>
      <c r="AE374" s="6" t="n">
        <v>0</v>
      </c>
      <c r="AF374" s="6" t="n">
        <v>0</v>
      </c>
      <c r="AG374" s="6" t="n">
        <v>0</v>
      </c>
      <c r="AH374" s="6" t="n">
        <v>0</v>
      </c>
      <c r="AI374" s="6" t="s">
        <v>84</v>
      </c>
    </row>
    <row r="375" customFormat="false" ht="15" hidden="false" customHeight="false" outlineLevel="0" collapsed="false">
      <c r="A375" s="6" t="n">
        <v>374</v>
      </c>
      <c r="B375" s="6" t="s">
        <v>7843</v>
      </c>
      <c r="C375" s="6" t="n">
        <v>8</v>
      </c>
      <c r="D375" s="6" t="s">
        <v>63</v>
      </c>
      <c r="E375" s="6" t="s">
        <v>67</v>
      </c>
      <c r="F375" s="6" t="n">
        <v>3</v>
      </c>
      <c r="G375" s="6" t="n">
        <v>1187</v>
      </c>
      <c r="H375" s="6" t="s">
        <v>7844</v>
      </c>
      <c r="I375" s="22" t="n">
        <v>14129800</v>
      </c>
      <c r="J375" s="22" t="n">
        <v>4500</v>
      </c>
      <c r="K375" s="22" t="n">
        <v>1060072.5</v>
      </c>
      <c r="L375" s="22" t="n">
        <v>15194372.5</v>
      </c>
      <c r="M375" s="6" t="s">
        <v>159</v>
      </c>
      <c r="N375" s="6" t="s">
        <v>84</v>
      </c>
      <c r="O375" s="6" t="s">
        <v>886</v>
      </c>
      <c r="P375" s="6" t="s">
        <v>85</v>
      </c>
      <c r="Q375" s="6" t="str">
        <f aca="false">IF(P375="pass","No","Yes")</f>
        <v>Yes</v>
      </c>
      <c r="R375" s="6" t="s">
        <v>86</v>
      </c>
      <c r="S375" s="6" t="s">
        <v>992</v>
      </c>
      <c r="T375" s="6" t="s">
        <v>7845</v>
      </c>
      <c r="U375" s="23" t="n">
        <v>2.486</v>
      </c>
      <c r="V375" s="6" t="s">
        <v>7846</v>
      </c>
      <c r="W375" s="6" t="s">
        <v>7847</v>
      </c>
      <c r="X375" s="6" t="s">
        <v>7848</v>
      </c>
      <c r="Y375" s="6" t="s">
        <v>86</v>
      </c>
      <c r="Z375" s="6" t="n">
        <v>0</v>
      </c>
      <c r="AA375" s="6" t="n">
        <v>0</v>
      </c>
      <c r="AB375" s="6" t="n">
        <v>1</v>
      </c>
      <c r="AC375" s="6" t="n">
        <v>1</v>
      </c>
      <c r="AD375" s="6" t="n">
        <v>0</v>
      </c>
      <c r="AE375" s="6" t="n">
        <v>0</v>
      </c>
      <c r="AF375" s="6" t="n">
        <v>0</v>
      </c>
      <c r="AG375" s="6" t="n">
        <v>0</v>
      </c>
      <c r="AH375" s="6" t="n">
        <v>1</v>
      </c>
      <c r="AI375" s="6" t="s">
        <v>84</v>
      </c>
    </row>
    <row r="376" customFormat="false" ht="15" hidden="false" customHeight="false" outlineLevel="0" collapsed="false">
      <c r="A376" s="6" t="n">
        <v>375</v>
      </c>
      <c r="B376" s="6" t="s">
        <v>7849</v>
      </c>
      <c r="C376" s="6" t="n">
        <v>8</v>
      </c>
      <c r="D376" s="6" t="s">
        <v>100</v>
      </c>
      <c r="E376" s="6" t="s">
        <v>67</v>
      </c>
      <c r="F376" s="6" t="n">
        <v>2</v>
      </c>
      <c r="G376" s="6" t="n">
        <v>191</v>
      </c>
      <c r="H376" s="6" t="s">
        <v>7850</v>
      </c>
      <c r="I376" s="22" t="n">
        <v>2156500</v>
      </c>
      <c r="J376" s="22" t="n">
        <v>4500</v>
      </c>
      <c r="K376" s="22" t="n">
        <v>162075</v>
      </c>
      <c r="L376" s="22" t="n">
        <v>2323075</v>
      </c>
      <c r="M376" s="6" t="s">
        <v>57</v>
      </c>
      <c r="N376" s="6" t="s">
        <v>58</v>
      </c>
      <c r="O376" s="6"/>
      <c r="P376" s="6" t="s">
        <v>69</v>
      </c>
      <c r="Q376" s="6" t="str">
        <f aca="false">IF(P376="pass","No","Yes")</f>
        <v>No</v>
      </c>
      <c r="R376" s="6" t="s">
        <v>60</v>
      </c>
      <c r="S376" s="6"/>
      <c r="T376" s="6"/>
      <c r="U376" s="23" t="n">
        <v>2.651</v>
      </c>
      <c r="V376" s="6" t="s">
        <v>7851</v>
      </c>
      <c r="W376" s="6" t="s">
        <v>7852</v>
      </c>
      <c r="X376" s="6" t="s">
        <v>7853</v>
      </c>
      <c r="Y376" s="6" t="s">
        <v>60</v>
      </c>
      <c r="Z376" s="6" t="n">
        <v>0</v>
      </c>
      <c r="AA376" s="6" t="n">
        <v>0</v>
      </c>
      <c r="AB376" s="6" t="n">
        <v>0</v>
      </c>
      <c r="AC376" s="6" t="n">
        <v>0</v>
      </c>
      <c r="AD376" s="6" t="n">
        <v>0</v>
      </c>
      <c r="AE376" s="6" t="n">
        <v>0</v>
      </c>
      <c r="AF376" s="6" t="n">
        <v>0</v>
      </c>
      <c r="AG376" s="6" t="n">
        <v>0</v>
      </c>
      <c r="AH376" s="6" t="n">
        <v>0</v>
      </c>
      <c r="AI376" s="6" t="s">
        <v>84</v>
      </c>
    </row>
    <row r="377" customFormat="false" ht="15" hidden="false" customHeight="false" outlineLevel="0" collapsed="false">
      <c r="A377" s="6" t="n">
        <v>376</v>
      </c>
      <c r="B377" s="6" t="s">
        <v>7854</v>
      </c>
      <c r="C377" s="6" t="n">
        <v>8</v>
      </c>
      <c r="D377" s="6" t="s">
        <v>89</v>
      </c>
      <c r="E377" s="6" t="s">
        <v>67</v>
      </c>
      <c r="F377" s="6" t="n">
        <v>3</v>
      </c>
      <c r="G377" s="6" t="n">
        <v>145</v>
      </c>
      <c r="H377" s="6" t="s">
        <v>7855</v>
      </c>
      <c r="I377" s="22" t="n">
        <v>1268000</v>
      </c>
      <c r="J377" s="22" t="n">
        <v>4500</v>
      </c>
      <c r="K377" s="22" t="n">
        <v>95437.5</v>
      </c>
      <c r="L377" s="22" t="n">
        <v>1367937.5</v>
      </c>
      <c r="M377" s="6" t="s">
        <v>152</v>
      </c>
      <c r="N377" s="6" t="s">
        <v>84</v>
      </c>
      <c r="O377" s="6" t="s">
        <v>886</v>
      </c>
      <c r="P377" s="6" t="s">
        <v>85</v>
      </c>
      <c r="Q377" s="6" t="str">
        <f aca="false">IF(P377="pass","No","Yes")</f>
        <v>Yes</v>
      </c>
      <c r="R377" s="6" t="s">
        <v>86</v>
      </c>
      <c r="S377" s="6" t="s">
        <v>1479</v>
      </c>
      <c r="T377" s="6" t="s">
        <v>7856</v>
      </c>
      <c r="U377" s="23" t="n">
        <v>2.305</v>
      </c>
      <c r="V377" s="6" t="s">
        <v>7857</v>
      </c>
      <c r="W377" s="6" t="s">
        <v>7858</v>
      </c>
      <c r="X377" s="6" t="s">
        <v>7859</v>
      </c>
      <c r="Y377" s="6" t="s">
        <v>86</v>
      </c>
      <c r="Z377" s="6" t="n">
        <v>0</v>
      </c>
      <c r="AA377" s="6" t="n">
        <v>0</v>
      </c>
      <c r="AB377" s="6" t="n">
        <v>1</v>
      </c>
      <c r="AC377" s="6" t="n">
        <v>0</v>
      </c>
      <c r="AD377" s="6" t="n">
        <v>0</v>
      </c>
      <c r="AE377" s="6" t="n">
        <v>0</v>
      </c>
      <c r="AF377" s="6" t="n">
        <v>0</v>
      </c>
      <c r="AG377" s="6" t="n">
        <v>0</v>
      </c>
      <c r="AH377" s="6" t="n">
        <v>1</v>
      </c>
      <c r="AI377" s="6" t="s">
        <v>84</v>
      </c>
    </row>
    <row r="378" customFormat="false" ht="15" hidden="false" customHeight="false" outlineLevel="0" collapsed="false">
      <c r="A378" s="6" t="n">
        <v>377</v>
      </c>
      <c r="B378" s="6" t="s">
        <v>7860</v>
      </c>
      <c r="C378" s="6" t="n">
        <v>8</v>
      </c>
      <c r="D378" s="6" t="s">
        <v>166</v>
      </c>
      <c r="E378" s="6" t="s">
        <v>74</v>
      </c>
      <c r="F378" s="6" t="n">
        <v>2</v>
      </c>
      <c r="G378" s="6" t="n">
        <v>14</v>
      </c>
      <c r="H378" s="6" t="s">
        <v>7861</v>
      </c>
      <c r="I378" s="22" t="n">
        <v>315000</v>
      </c>
      <c r="J378" s="22" t="n">
        <v>9000</v>
      </c>
      <c r="K378" s="22" t="n">
        <v>24300</v>
      </c>
      <c r="L378" s="22" t="n">
        <v>348300</v>
      </c>
      <c r="M378" s="6" t="s">
        <v>1042</v>
      </c>
      <c r="N378" s="6" t="s">
        <v>58</v>
      </c>
      <c r="O378" s="6"/>
      <c r="P378" s="6" t="s">
        <v>69</v>
      </c>
      <c r="Q378" s="6" t="str">
        <f aca="false">IF(P378="pass","No","Yes")</f>
        <v>No</v>
      </c>
      <c r="R378" s="6" t="s">
        <v>60</v>
      </c>
      <c r="S378" s="6"/>
      <c r="T378" s="6"/>
      <c r="U378" s="23" t="n">
        <v>2.786</v>
      </c>
      <c r="V378" s="6" t="s">
        <v>7862</v>
      </c>
      <c r="W378" s="6" t="s">
        <v>7863</v>
      </c>
      <c r="X378" s="6" t="s">
        <v>7864</v>
      </c>
      <c r="Y378" s="6" t="s">
        <v>60</v>
      </c>
      <c r="Z378" s="6" t="n">
        <v>0</v>
      </c>
      <c r="AA378" s="6" t="n">
        <v>0</v>
      </c>
      <c r="AB378" s="6" t="n">
        <v>0</v>
      </c>
      <c r="AC378" s="6" t="n">
        <v>0</v>
      </c>
      <c r="AD378" s="6" t="n">
        <v>0</v>
      </c>
      <c r="AE378" s="6" t="n">
        <v>0</v>
      </c>
      <c r="AF378" s="6" t="n">
        <v>0</v>
      </c>
      <c r="AG378" s="6" t="n">
        <v>0</v>
      </c>
      <c r="AH378" s="6" t="n">
        <v>0</v>
      </c>
      <c r="AI378" s="6" t="s">
        <v>84</v>
      </c>
    </row>
    <row r="379" customFormat="false" ht="15" hidden="false" customHeight="false" outlineLevel="0" collapsed="false">
      <c r="A379" s="6" t="n">
        <v>378</v>
      </c>
      <c r="B379" s="6" t="s">
        <v>7865</v>
      </c>
      <c r="C379" s="6" t="n">
        <v>8</v>
      </c>
      <c r="D379" s="6" t="s">
        <v>127</v>
      </c>
      <c r="E379" s="6" t="s">
        <v>55</v>
      </c>
      <c r="F379" s="6" t="n">
        <v>1</v>
      </c>
      <c r="G379" s="6" t="n">
        <v>16</v>
      </c>
      <c r="H379" s="6" t="s">
        <v>7866</v>
      </c>
      <c r="I379" s="22" t="n">
        <v>832000</v>
      </c>
      <c r="J379" s="22" t="n">
        <v>6000</v>
      </c>
      <c r="K379" s="22" t="n">
        <v>62850</v>
      </c>
      <c r="L379" s="22" t="n">
        <v>900850</v>
      </c>
      <c r="M379" s="6" t="s">
        <v>984</v>
      </c>
      <c r="N379" s="6" t="s">
        <v>84</v>
      </c>
      <c r="O379" s="6" t="s">
        <v>985</v>
      </c>
      <c r="P379" s="6" t="s">
        <v>85</v>
      </c>
      <c r="Q379" s="6" t="str">
        <f aca="false">IF(P379="pass","No","Yes")</f>
        <v>Yes</v>
      </c>
      <c r="R379" s="6" t="s">
        <v>86</v>
      </c>
      <c r="S379" s="6" t="s">
        <v>985</v>
      </c>
      <c r="T379" s="6" t="s">
        <v>1743</v>
      </c>
      <c r="U379" s="23" t="n">
        <v>2.13</v>
      </c>
      <c r="V379" s="6" t="s">
        <v>7867</v>
      </c>
      <c r="W379" s="6" t="s">
        <v>7868</v>
      </c>
      <c r="X379" s="6" t="s">
        <v>7869</v>
      </c>
      <c r="Y379" s="6" t="s">
        <v>86</v>
      </c>
      <c r="Z379" s="6" t="n">
        <v>0</v>
      </c>
      <c r="AA379" s="6" t="n">
        <v>0</v>
      </c>
      <c r="AB379" s="6" t="n">
        <v>0</v>
      </c>
      <c r="AC379" s="6" t="n">
        <v>0</v>
      </c>
      <c r="AD379" s="6" t="n">
        <v>0</v>
      </c>
      <c r="AE379" s="6" t="n">
        <v>1</v>
      </c>
      <c r="AF379" s="6" t="n">
        <v>0</v>
      </c>
      <c r="AG379" s="6" t="n">
        <v>0</v>
      </c>
      <c r="AH379" s="6" t="n">
        <v>0</v>
      </c>
      <c r="AI379" s="6" t="s">
        <v>84</v>
      </c>
    </row>
    <row r="380" customFormat="false" ht="15" hidden="false" customHeight="false" outlineLevel="0" collapsed="false">
      <c r="A380" s="6" t="n">
        <v>379</v>
      </c>
      <c r="B380" s="6" t="s">
        <v>7870</v>
      </c>
      <c r="C380" s="6" t="n">
        <v>8</v>
      </c>
      <c r="D380" s="6" t="s">
        <v>142</v>
      </c>
      <c r="E380" s="6" t="s">
        <v>74</v>
      </c>
      <c r="F380" s="6" t="n">
        <v>2</v>
      </c>
      <c r="G380" s="6" t="n">
        <v>185</v>
      </c>
      <c r="H380" s="6" t="s">
        <v>7871</v>
      </c>
      <c r="I380" s="22" t="n">
        <v>1368500</v>
      </c>
      <c r="J380" s="22" t="n">
        <v>9000</v>
      </c>
      <c r="K380" s="22" t="n">
        <v>103312.5</v>
      </c>
      <c r="L380" s="22" t="n">
        <v>1480812.5</v>
      </c>
      <c r="M380" s="6" t="s">
        <v>927</v>
      </c>
      <c r="N380" s="6" t="s">
        <v>58</v>
      </c>
      <c r="O380" s="6"/>
      <c r="P380" s="6" t="s">
        <v>59</v>
      </c>
      <c r="Q380" s="6" t="str">
        <f aca="false">IF(P380="pass","No","Yes")</f>
        <v>Yes</v>
      </c>
      <c r="R380" s="6" t="s">
        <v>60</v>
      </c>
      <c r="S380" s="6" t="s">
        <v>915</v>
      </c>
      <c r="T380" s="6" t="s">
        <v>7872</v>
      </c>
      <c r="U380" s="23" t="n">
        <v>2.553</v>
      </c>
      <c r="V380" s="6" t="s">
        <v>7873</v>
      </c>
      <c r="W380" s="6" t="s">
        <v>7874</v>
      </c>
      <c r="X380" s="6" t="s">
        <v>7875</v>
      </c>
      <c r="Y380" s="6" t="s">
        <v>60</v>
      </c>
      <c r="Z380" s="6" t="n">
        <v>0</v>
      </c>
      <c r="AA380" s="6" t="n">
        <v>0</v>
      </c>
      <c r="AB380" s="6" t="n">
        <v>0</v>
      </c>
      <c r="AC380" s="6" t="n">
        <v>0</v>
      </c>
      <c r="AD380" s="6" t="n">
        <v>0</v>
      </c>
      <c r="AE380" s="6" t="n">
        <v>0</v>
      </c>
      <c r="AF380" s="6" t="n">
        <v>0</v>
      </c>
      <c r="AG380" s="6" t="n">
        <v>0</v>
      </c>
      <c r="AH380" s="6" t="n">
        <v>1</v>
      </c>
      <c r="AI380" s="6" t="s">
        <v>84</v>
      </c>
    </row>
    <row r="381" customFormat="false" ht="15" hidden="false" customHeight="false" outlineLevel="0" collapsed="false">
      <c r="A381" s="6" t="n">
        <v>380</v>
      </c>
      <c r="B381" s="6" t="s">
        <v>7876</v>
      </c>
      <c r="C381" s="6" t="n">
        <v>8</v>
      </c>
      <c r="D381" s="6" t="s">
        <v>127</v>
      </c>
      <c r="E381" s="6" t="s">
        <v>55</v>
      </c>
      <c r="F381" s="6" t="n">
        <v>1</v>
      </c>
      <c r="G381" s="6" t="n">
        <v>30</v>
      </c>
      <c r="H381" s="6" t="s">
        <v>7877</v>
      </c>
      <c r="I381" s="22" t="n">
        <v>258000</v>
      </c>
      <c r="J381" s="22" t="n">
        <v>6000</v>
      </c>
      <c r="K381" s="22" t="n">
        <v>19800</v>
      </c>
      <c r="L381" s="22" t="n">
        <v>283800</v>
      </c>
      <c r="M381" s="6" t="s">
        <v>57</v>
      </c>
      <c r="N381" s="6" t="s">
        <v>58</v>
      </c>
      <c r="O381" s="6"/>
      <c r="P381" s="6" t="s">
        <v>69</v>
      </c>
      <c r="Q381" s="6" t="str">
        <f aca="false">IF(P381="pass","No","Yes")</f>
        <v>No</v>
      </c>
      <c r="R381" s="6" t="s">
        <v>60</v>
      </c>
      <c r="S381" s="6"/>
      <c r="T381" s="6"/>
      <c r="U381" s="23" t="n">
        <v>2.554</v>
      </c>
      <c r="V381" s="6" t="s">
        <v>7878</v>
      </c>
      <c r="W381" s="6" t="s">
        <v>7879</v>
      </c>
      <c r="X381" s="6" t="s">
        <v>7880</v>
      </c>
      <c r="Y381" s="6" t="s">
        <v>60</v>
      </c>
      <c r="Z381" s="6" t="n">
        <v>0</v>
      </c>
      <c r="AA381" s="6" t="n">
        <v>0</v>
      </c>
      <c r="AB381" s="6" t="n">
        <v>0</v>
      </c>
      <c r="AC381" s="6" t="n">
        <v>0</v>
      </c>
      <c r="AD381" s="6" t="n">
        <v>0</v>
      </c>
      <c r="AE381" s="6" t="n">
        <v>0</v>
      </c>
      <c r="AF381" s="6" t="n">
        <v>0</v>
      </c>
      <c r="AG381" s="6" t="n">
        <v>0</v>
      </c>
      <c r="AH381" s="6" t="n">
        <v>0</v>
      </c>
      <c r="AI381" s="6" t="s">
        <v>84</v>
      </c>
    </row>
    <row r="382" customFormat="false" ht="15" hidden="false" customHeight="false" outlineLevel="0" collapsed="false">
      <c r="A382" s="6" t="n">
        <v>381</v>
      </c>
      <c r="B382" s="6" t="s">
        <v>7881</v>
      </c>
      <c r="C382" s="6" t="n">
        <v>8</v>
      </c>
      <c r="D382" s="6" t="s">
        <v>142</v>
      </c>
      <c r="E382" s="6" t="s">
        <v>74</v>
      </c>
      <c r="F382" s="6" t="n">
        <v>1</v>
      </c>
      <c r="G382" s="6" t="n">
        <v>39</v>
      </c>
      <c r="H382" s="6" t="s">
        <v>7882</v>
      </c>
      <c r="I382" s="22" t="n">
        <v>370500</v>
      </c>
      <c r="J382" s="22" t="n">
        <v>9000</v>
      </c>
      <c r="K382" s="22" t="n">
        <v>28462.5</v>
      </c>
      <c r="L382" s="22" t="n">
        <v>407962.5</v>
      </c>
      <c r="M382" s="6" t="s">
        <v>57</v>
      </c>
      <c r="N382" s="6" t="s">
        <v>58</v>
      </c>
      <c r="O382" s="6"/>
      <c r="P382" s="6" t="s">
        <v>69</v>
      </c>
      <c r="Q382" s="6" t="str">
        <f aca="false">IF(P382="pass","No","Yes")</f>
        <v>No</v>
      </c>
      <c r="R382" s="6" t="s">
        <v>60</v>
      </c>
      <c r="S382" s="6"/>
      <c r="T382" s="6"/>
      <c r="U382" s="23" t="n">
        <v>2.526</v>
      </c>
      <c r="V382" s="6" t="s">
        <v>7883</v>
      </c>
      <c r="W382" s="6" t="s">
        <v>7884</v>
      </c>
      <c r="X382" s="6" t="s">
        <v>7885</v>
      </c>
      <c r="Y382" s="6" t="s">
        <v>60</v>
      </c>
      <c r="Z382" s="6" t="n">
        <v>0</v>
      </c>
      <c r="AA382" s="6" t="n">
        <v>0</v>
      </c>
      <c r="AB382" s="6" t="n">
        <v>0</v>
      </c>
      <c r="AC382" s="6" t="n">
        <v>0</v>
      </c>
      <c r="AD382" s="6" t="n">
        <v>0</v>
      </c>
      <c r="AE382" s="6" t="n">
        <v>0</v>
      </c>
      <c r="AF382" s="6" t="n">
        <v>0</v>
      </c>
      <c r="AG382" s="6" t="n">
        <v>0</v>
      </c>
      <c r="AH382" s="6" t="n">
        <v>0</v>
      </c>
      <c r="AI382" s="6" t="s">
        <v>84</v>
      </c>
    </row>
    <row r="383" customFormat="false" ht="15" hidden="false" customHeight="false" outlineLevel="0" collapsed="false">
      <c r="A383" s="6" t="n">
        <v>382</v>
      </c>
      <c r="B383" s="6" t="s">
        <v>7886</v>
      </c>
      <c r="C383" s="6" t="n">
        <v>8</v>
      </c>
      <c r="D383" s="6" t="s">
        <v>112</v>
      </c>
      <c r="E383" s="6" t="s">
        <v>116</v>
      </c>
      <c r="F383" s="6" t="n">
        <v>1</v>
      </c>
      <c r="G383" s="6" t="n">
        <v>2</v>
      </c>
      <c r="H383" s="6" t="s">
        <v>959</v>
      </c>
      <c r="I383" s="22" t="n">
        <v>8200</v>
      </c>
      <c r="J383" s="22" t="n">
        <v>15000</v>
      </c>
      <c r="K383" s="22" t="n">
        <v>1740</v>
      </c>
      <c r="L383" s="22" t="n">
        <v>24940</v>
      </c>
      <c r="M383" s="6" t="s">
        <v>57</v>
      </c>
      <c r="N383" s="6" t="s">
        <v>58</v>
      </c>
      <c r="O383" s="6"/>
      <c r="P383" s="6" t="s">
        <v>69</v>
      </c>
      <c r="Q383" s="6" t="str">
        <f aca="false">IF(P383="pass","No","Yes")</f>
        <v>No</v>
      </c>
      <c r="R383" s="6" t="s">
        <v>60</v>
      </c>
      <c r="S383" s="6"/>
      <c r="T383" s="6"/>
      <c r="U383" s="23" t="n">
        <v>2.53</v>
      </c>
      <c r="V383" s="6" t="s">
        <v>7887</v>
      </c>
      <c r="W383" s="6" t="s">
        <v>7888</v>
      </c>
      <c r="X383" s="6" t="s">
        <v>7889</v>
      </c>
      <c r="Y383" s="6" t="s">
        <v>60</v>
      </c>
      <c r="Z383" s="6" t="n">
        <v>0</v>
      </c>
      <c r="AA383" s="6" t="n">
        <v>0</v>
      </c>
      <c r="AB383" s="6" t="n">
        <v>0</v>
      </c>
      <c r="AC383" s="6" t="n">
        <v>0</v>
      </c>
      <c r="AD383" s="6" t="n">
        <v>0</v>
      </c>
      <c r="AE383" s="6" t="n">
        <v>0</v>
      </c>
      <c r="AF383" s="6" t="n">
        <v>0</v>
      </c>
      <c r="AG383" s="6" t="n">
        <v>0</v>
      </c>
      <c r="AH383" s="6" t="n">
        <v>0</v>
      </c>
      <c r="AI383" s="6" t="s">
        <v>84</v>
      </c>
    </row>
    <row r="384" customFormat="false" ht="15" hidden="false" customHeight="false" outlineLevel="0" collapsed="false">
      <c r="A384" s="6" t="n">
        <v>383</v>
      </c>
      <c r="B384" s="6" t="s">
        <v>7890</v>
      </c>
      <c r="C384" s="6" t="n">
        <v>8</v>
      </c>
      <c r="D384" s="6" t="s">
        <v>137</v>
      </c>
      <c r="E384" s="6" t="s">
        <v>55</v>
      </c>
      <c r="F384" s="6" t="n">
        <v>1</v>
      </c>
      <c r="G384" s="6" t="n">
        <v>28</v>
      </c>
      <c r="H384" s="6" t="s">
        <v>1979</v>
      </c>
      <c r="I384" s="22" t="n">
        <v>266000</v>
      </c>
      <c r="J384" s="22" t="n">
        <v>6000</v>
      </c>
      <c r="K384" s="22" t="n">
        <v>20400</v>
      </c>
      <c r="L384" s="22" t="n">
        <v>292400</v>
      </c>
      <c r="M384" s="6" t="s">
        <v>94</v>
      </c>
      <c r="N384" s="6" t="s">
        <v>84</v>
      </c>
      <c r="O384" s="6" t="s">
        <v>909</v>
      </c>
      <c r="P384" s="6" t="s">
        <v>85</v>
      </c>
      <c r="Q384" s="6" t="str">
        <f aca="false">IF(P384="pass","No","Yes")</f>
        <v>Yes</v>
      </c>
      <c r="R384" s="6" t="s">
        <v>86</v>
      </c>
      <c r="S384" s="6" t="s">
        <v>909</v>
      </c>
      <c r="T384" s="6" t="s">
        <v>254</v>
      </c>
      <c r="U384" s="23" t="n">
        <v>2.15</v>
      </c>
      <c r="V384" s="6" t="s">
        <v>7891</v>
      </c>
      <c r="W384" s="6" t="s">
        <v>7892</v>
      </c>
      <c r="X384" s="6" t="s">
        <v>7893</v>
      </c>
      <c r="Y384" s="6" t="s">
        <v>86</v>
      </c>
      <c r="Z384" s="6" t="n">
        <v>0</v>
      </c>
      <c r="AA384" s="6" t="n">
        <v>0</v>
      </c>
      <c r="AB384" s="6" t="n">
        <v>0</v>
      </c>
      <c r="AC384" s="6" t="n">
        <v>0</v>
      </c>
      <c r="AD384" s="6" t="n">
        <v>0</v>
      </c>
      <c r="AE384" s="6" t="n">
        <v>0</v>
      </c>
      <c r="AF384" s="6" t="n">
        <v>1</v>
      </c>
      <c r="AG384" s="6" t="n">
        <v>0</v>
      </c>
      <c r="AH384" s="6" t="n">
        <v>0</v>
      </c>
      <c r="AI384" s="6" t="s">
        <v>84</v>
      </c>
    </row>
    <row r="385" customFormat="false" ht="15" hidden="false" customHeight="false" outlineLevel="0" collapsed="false">
      <c r="A385" s="6" t="n">
        <v>384</v>
      </c>
      <c r="B385" s="6" t="s">
        <v>7894</v>
      </c>
      <c r="C385" s="6" t="n">
        <v>8</v>
      </c>
      <c r="D385" s="6" t="s">
        <v>100</v>
      </c>
      <c r="E385" s="6" t="s">
        <v>67</v>
      </c>
      <c r="F385" s="6" t="n">
        <v>4</v>
      </c>
      <c r="G385" s="6" t="n">
        <v>1142</v>
      </c>
      <c r="H385" s="6" t="s">
        <v>7895</v>
      </c>
      <c r="I385" s="22" t="n">
        <v>13140100</v>
      </c>
      <c r="J385" s="22" t="n">
        <v>4500</v>
      </c>
      <c r="K385" s="22" t="n">
        <v>985845</v>
      </c>
      <c r="L385" s="22" t="n">
        <v>14130445</v>
      </c>
      <c r="M385" s="6" t="s">
        <v>159</v>
      </c>
      <c r="N385" s="6" t="s">
        <v>84</v>
      </c>
      <c r="O385" s="6" t="s">
        <v>886</v>
      </c>
      <c r="P385" s="6" t="s">
        <v>85</v>
      </c>
      <c r="Q385" s="6" t="str">
        <f aca="false">IF(P385="pass","No","Yes")</f>
        <v>Yes</v>
      </c>
      <c r="R385" s="6" t="s">
        <v>86</v>
      </c>
      <c r="S385" s="6" t="s">
        <v>992</v>
      </c>
      <c r="T385" s="6" t="s">
        <v>7896</v>
      </c>
      <c r="U385" s="23" t="n">
        <v>2.714</v>
      </c>
      <c r="V385" s="6" t="s">
        <v>7897</v>
      </c>
      <c r="W385" s="6" t="s">
        <v>7898</v>
      </c>
      <c r="X385" s="6" t="s">
        <v>7899</v>
      </c>
      <c r="Y385" s="6" t="s">
        <v>86</v>
      </c>
      <c r="Z385" s="6" t="n">
        <v>0</v>
      </c>
      <c r="AA385" s="6" t="n">
        <v>0</v>
      </c>
      <c r="AB385" s="6" t="n">
        <v>1</v>
      </c>
      <c r="AC385" s="6" t="n">
        <v>1</v>
      </c>
      <c r="AD385" s="6" t="n">
        <v>0</v>
      </c>
      <c r="AE385" s="6" t="n">
        <v>0</v>
      </c>
      <c r="AF385" s="6" t="n">
        <v>0</v>
      </c>
      <c r="AG385" s="6" t="n">
        <v>0</v>
      </c>
      <c r="AH385" s="6" t="n">
        <v>1</v>
      </c>
      <c r="AI385" s="6" t="s">
        <v>84</v>
      </c>
    </row>
    <row r="386" customFormat="false" ht="15" hidden="false" customHeight="false" outlineLevel="0" collapsed="false">
      <c r="A386" s="6" t="n">
        <v>385</v>
      </c>
      <c r="B386" s="6" t="s">
        <v>7900</v>
      </c>
      <c r="C386" s="6" t="n">
        <v>8</v>
      </c>
      <c r="D386" s="6" t="s">
        <v>63</v>
      </c>
      <c r="E386" s="6" t="s">
        <v>67</v>
      </c>
      <c r="F386" s="6" t="n">
        <v>2</v>
      </c>
      <c r="G386" s="6" t="n">
        <v>316</v>
      </c>
      <c r="H386" s="6" t="s">
        <v>7901</v>
      </c>
      <c r="I386" s="22" t="n">
        <v>2960600</v>
      </c>
      <c r="J386" s="22" t="n">
        <v>4500</v>
      </c>
      <c r="K386" s="22" t="n">
        <v>222382.5</v>
      </c>
      <c r="L386" s="22" t="n">
        <v>3187482.5</v>
      </c>
      <c r="M386" s="6" t="s">
        <v>927</v>
      </c>
      <c r="N386" s="6" t="s">
        <v>58</v>
      </c>
      <c r="O386" s="6"/>
      <c r="P386" s="6" t="s">
        <v>59</v>
      </c>
      <c r="Q386" s="6" t="str">
        <f aca="false">IF(P386="pass","No","Yes")</f>
        <v>Yes</v>
      </c>
      <c r="R386" s="6" t="s">
        <v>60</v>
      </c>
      <c r="S386" s="6" t="s">
        <v>915</v>
      </c>
      <c r="T386" s="6" t="s">
        <v>7902</v>
      </c>
      <c r="U386" s="23" t="n">
        <v>2.62</v>
      </c>
      <c r="V386" s="6" t="s">
        <v>7903</v>
      </c>
      <c r="W386" s="6" t="s">
        <v>7904</v>
      </c>
      <c r="X386" s="6" t="s">
        <v>7905</v>
      </c>
      <c r="Y386" s="6" t="s">
        <v>60</v>
      </c>
      <c r="Z386" s="6" t="n">
        <v>0</v>
      </c>
      <c r="AA386" s="6" t="n">
        <v>0</v>
      </c>
      <c r="AB386" s="6" t="n">
        <v>0</v>
      </c>
      <c r="AC386" s="6" t="n">
        <v>0</v>
      </c>
      <c r="AD386" s="6" t="n">
        <v>0</v>
      </c>
      <c r="AE386" s="6" t="n">
        <v>0</v>
      </c>
      <c r="AF386" s="6" t="n">
        <v>0</v>
      </c>
      <c r="AG386" s="6" t="n">
        <v>0</v>
      </c>
      <c r="AH386" s="6" t="n">
        <v>1</v>
      </c>
      <c r="AI386" s="6" t="s">
        <v>84</v>
      </c>
    </row>
    <row r="387" customFormat="false" ht="15" hidden="false" customHeight="false" outlineLevel="0" collapsed="false">
      <c r="A387" s="6" t="n">
        <v>386</v>
      </c>
      <c r="B387" s="6" t="s">
        <v>7906</v>
      </c>
      <c r="C387" s="6" t="n">
        <v>8</v>
      </c>
      <c r="D387" s="6" t="s">
        <v>70</v>
      </c>
      <c r="E387" s="6" t="s">
        <v>74</v>
      </c>
      <c r="F387" s="6" t="n">
        <v>2</v>
      </c>
      <c r="G387" s="6" t="n">
        <v>3</v>
      </c>
      <c r="H387" s="6" t="s">
        <v>7907</v>
      </c>
      <c r="I387" s="22" t="n">
        <v>22700</v>
      </c>
      <c r="J387" s="22" t="n">
        <v>9000</v>
      </c>
      <c r="K387" s="22" t="n">
        <v>2377.5</v>
      </c>
      <c r="L387" s="22" t="n">
        <v>34077.5</v>
      </c>
      <c r="M387" s="6" t="s">
        <v>83</v>
      </c>
      <c r="N387" s="6" t="s">
        <v>84</v>
      </c>
      <c r="O387" s="6" t="s">
        <v>886</v>
      </c>
      <c r="P387" s="6" t="s">
        <v>85</v>
      </c>
      <c r="Q387" s="6" t="str">
        <f aca="false">IF(P387="pass","No","Yes")</f>
        <v>Yes</v>
      </c>
      <c r="R387" s="6" t="s">
        <v>86</v>
      </c>
      <c r="S387" s="6" t="s">
        <v>886</v>
      </c>
      <c r="T387" s="6" t="s">
        <v>517</v>
      </c>
      <c r="U387" s="23" t="n">
        <v>2.149</v>
      </c>
      <c r="V387" s="6" t="s">
        <v>7908</v>
      </c>
      <c r="W387" s="6" t="s">
        <v>7909</v>
      </c>
      <c r="X387" s="6" t="s">
        <v>7910</v>
      </c>
      <c r="Y387" s="6" t="s">
        <v>86</v>
      </c>
      <c r="Z387" s="6" t="n">
        <v>0</v>
      </c>
      <c r="AA387" s="6" t="n">
        <v>0</v>
      </c>
      <c r="AB387" s="6" t="n">
        <v>1</v>
      </c>
      <c r="AC387" s="6" t="n">
        <v>0</v>
      </c>
      <c r="AD387" s="6" t="n">
        <v>0</v>
      </c>
      <c r="AE387" s="6" t="n">
        <v>0</v>
      </c>
      <c r="AF387" s="6" t="n">
        <v>0</v>
      </c>
      <c r="AG387" s="6" t="n">
        <v>0</v>
      </c>
      <c r="AH387" s="6" t="n">
        <v>0</v>
      </c>
      <c r="AI387" s="6" t="s">
        <v>84</v>
      </c>
    </row>
    <row r="388" customFormat="false" ht="15" hidden="false" customHeight="false" outlineLevel="0" collapsed="false">
      <c r="A388" s="6" t="n">
        <v>387</v>
      </c>
      <c r="B388" s="6" t="s">
        <v>7911</v>
      </c>
      <c r="C388" s="6" t="n">
        <v>8</v>
      </c>
      <c r="D388" s="6" t="s">
        <v>177</v>
      </c>
      <c r="E388" s="6" t="s">
        <v>81</v>
      </c>
      <c r="F388" s="6" t="n">
        <v>2</v>
      </c>
      <c r="G388" s="6" t="n">
        <v>30</v>
      </c>
      <c r="H388" s="6" t="s">
        <v>7912</v>
      </c>
      <c r="I388" s="22" t="n">
        <v>1072200</v>
      </c>
      <c r="J388" s="22" t="n">
        <v>4000</v>
      </c>
      <c r="K388" s="22" t="n">
        <v>80715</v>
      </c>
      <c r="L388" s="22" t="n">
        <v>1156915</v>
      </c>
      <c r="M388" s="6" t="s">
        <v>57</v>
      </c>
      <c r="N388" s="6" t="s">
        <v>58</v>
      </c>
      <c r="O388" s="6"/>
      <c r="P388" s="6" t="s">
        <v>69</v>
      </c>
      <c r="Q388" s="6" t="str">
        <f aca="false">IF(P388="pass","No","Yes")</f>
        <v>No</v>
      </c>
      <c r="R388" s="6" t="s">
        <v>60</v>
      </c>
      <c r="S388" s="6"/>
      <c r="T388" s="6"/>
      <c r="U388" s="23" t="n">
        <v>2.748</v>
      </c>
      <c r="V388" s="6" t="s">
        <v>7913</v>
      </c>
      <c r="W388" s="6" t="s">
        <v>7914</v>
      </c>
      <c r="X388" s="6" t="s">
        <v>7915</v>
      </c>
      <c r="Y388" s="6" t="s">
        <v>60</v>
      </c>
      <c r="Z388" s="6" t="n">
        <v>0</v>
      </c>
      <c r="AA388" s="6" t="n">
        <v>0</v>
      </c>
      <c r="AB388" s="6" t="n">
        <v>0</v>
      </c>
      <c r="AC388" s="6" t="n">
        <v>0</v>
      </c>
      <c r="AD388" s="6" t="n">
        <v>0</v>
      </c>
      <c r="AE388" s="6" t="n">
        <v>0</v>
      </c>
      <c r="AF388" s="6" t="n">
        <v>0</v>
      </c>
      <c r="AG388" s="6" t="n">
        <v>0</v>
      </c>
      <c r="AH388" s="6" t="n">
        <v>0</v>
      </c>
      <c r="AI388" s="6" t="s">
        <v>84</v>
      </c>
    </row>
    <row r="389" customFormat="false" ht="15" hidden="false" customHeight="false" outlineLevel="0" collapsed="false">
      <c r="A389" s="6" t="n">
        <v>388</v>
      </c>
      <c r="B389" s="6" t="s">
        <v>7916</v>
      </c>
      <c r="C389" s="6" t="n">
        <v>8</v>
      </c>
      <c r="D389" s="6" t="s">
        <v>127</v>
      </c>
      <c r="E389" s="6" t="s">
        <v>55</v>
      </c>
      <c r="F389" s="6" t="n">
        <v>2</v>
      </c>
      <c r="G389" s="6" t="n">
        <v>195</v>
      </c>
      <c r="H389" s="6" t="s">
        <v>7917</v>
      </c>
      <c r="I389" s="22" t="n">
        <v>1947500</v>
      </c>
      <c r="J389" s="22" t="n">
        <v>6000</v>
      </c>
      <c r="K389" s="22" t="n">
        <v>146512.5</v>
      </c>
      <c r="L389" s="22" t="n">
        <v>2100012.5</v>
      </c>
      <c r="M389" s="6" t="s">
        <v>57</v>
      </c>
      <c r="N389" s="6" t="s">
        <v>58</v>
      </c>
      <c r="O389" s="6"/>
      <c r="P389" s="6" t="s">
        <v>59</v>
      </c>
      <c r="Q389" s="6" t="str">
        <f aca="false">IF(P389="pass","No","Yes")</f>
        <v>Yes</v>
      </c>
      <c r="R389" s="6" t="s">
        <v>60</v>
      </c>
      <c r="S389" s="6" t="s">
        <v>915</v>
      </c>
      <c r="T389" s="6" t="s">
        <v>7918</v>
      </c>
      <c r="U389" s="23" t="n">
        <v>2.729</v>
      </c>
      <c r="V389" s="6" t="s">
        <v>7919</v>
      </c>
      <c r="W389" s="6" t="s">
        <v>7920</v>
      </c>
      <c r="X389" s="6" t="s">
        <v>7921</v>
      </c>
      <c r="Y389" s="6" t="s">
        <v>60</v>
      </c>
      <c r="Z389" s="6" t="n">
        <v>0</v>
      </c>
      <c r="AA389" s="6" t="n">
        <v>0</v>
      </c>
      <c r="AB389" s="6" t="n">
        <v>0</v>
      </c>
      <c r="AC389" s="6" t="n">
        <v>0</v>
      </c>
      <c r="AD389" s="6" t="n">
        <v>0</v>
      </c>
      <c r="AE389" s="6" t="n">
        <v>0</v>
      </c>
      <c r="AF389" s="6" t="n">
        <v>0</v>
      </c>
      <c r="AG389" s="6" t="n">
        <v>0</v>
      </c>
      <c r="AH389" s="6" t="n">
        <v>1</v>
      </c>
      <c r="AI389" s="6" t="s">
        <v>84</v>
      </c>
    </row>
    <row r="390" customFormat="false" ht="15" hidden="false" customHeight="false" outlineLevel="0" collapsed="false">
      <c r="A390" s="6" t="n">
        <v>389</v>
      </c>
      <c r="B390" s="6" t="s">
        <v>7922</v>
      </c>
      <c r="C390" s="6" t="n">
        <v>8</v>
      </c>
      <c r="D390" s="6" t="s">
        <v>51</v>
      </c>
      <c r="E390" s="6" t="s">
        <v>55</v>
      </c>
      <c r="F390" s="6" t="n">
        <v>2</v>
      </c>
      <c r="G390" s="6" t="n">
        <v>113</v>
      </c>
      <c r="H390" s="6" t="s">
        <v>7923</v>
      </c>
      <c r="I390" s="22" t="n">
        <v>1264300</v>
      </c>
      <c r="J390" s="22" t="n">
        <v>6000</v>
      </c>
      <c r="K390" s="22" t="n">
        <v>95272.5</v>
      </c>
      <c r="L390" s="22" t="n">
        <v>1365572.5</v>
      </c>
      <c r="M390" s="6" t="s">
        <v>57</v>
      </c>
      <c r="N390" s="6" t="s">
        <v>58</v>
      </c>
      <c r="O390" s="6"/>
      <c r="P390" s="6" t="s">
        <v>69</v>
      </c>
      <c r="Q390" s="6" t="str">
        <f aca="false">IF(P390="pass","No","Yes")</f>
        <v>No</v>
      </c>
      <c r="R390" s="6" t="s">
        <v>60</v>
      </c>
      <c r="S390" s="6"/>
      <c r="T390" s="6"/>
      <c r="U390" s="23" t="n">
        <v>2.552</v>
      </c>
      <c r="V390" s="6" t="s">
        <v>7924</v>
      </c>
      <c r="W390" s="6" t="s">
        <v>7925</v>
      </c>
      <c r="X390" s="6" t="s">
        <v>7926</v>
      </c>
      <c r="Y390" s="6" t="s">
        <v>60</v>
      </c>
      <c r="Z390" s="6" t="n">
        <v>0</v>
      </c>
      <c r="AA390" s="6" t="n">
        <v>0</v>
      </c>
      <c r="AB390" s="6" t="n">
        <v>0</v>
      </c>
      <c r="AC390" s="6" t="n">
        <v>0</v>
      </c>
      <c r="AD390" s="6" t="n">
        <v>0</v>
      </c>
      <c r="AE390" s="6" t="n">
        <v>0</v>
      </c>
      <c r="AF390" s="6" t="n">
        <v>0</v>
      </c>
      <c r="AG390" s="6" t="n">
        <v>0</v>
      </c>
      <c r="AH390" s="6" t="n">
        <v>0</v>
      </c>
      <c r="AI390" s="6" t="s">
        <v>84</v>
      </c>
    </row>
    <row r="391" customFormat="false" ht="15" hidden="false" customHeight="false" outlineLevel="0" collapsed="false">
      <c r="A391" s="6" t="n">
        <v>390</v>
      </c>
      <c r="B391" s="6" t="s">
        <v>7927</v>
      </c>
      <c r="C391" s="6" t="n">
        <v>8</v>
      </c>
      <c r="D391" s="6" t="s">
        <v>186</v>
      </c>
      <c r="E391" s="6" t="s">
        <v>123</v>
      </c>
      <c r="F391" s="6" t="n">
        <v>1</v>
      </c>
      <c r="G391" s="6" t="n">
        <v>54</v>
      </c>
      <c r="H391" s="6" t="s">
        <v>7928</v>
      </c>
      <c r="I391" s="22" t="n">
        <v>464400</v>
      </c>
      <c r="J391" s="22" t="n">
        <v>5000</v>
      </c>
      <c r="K391" s="22" t="n">
        <v>35205</v>
      </c>
      <c r="L391" s="22" t="n">
        <v>504605</v>
      </c>
      <c r="M391" s="6" t="s">
        <v>960</v>
      </c>
      <c r="N391" s="6" t="s">
        <v>84</v>
      </c>
      <c r="O391" s="6" t="s">
        <v>961</v>
      </c>
      <c r="P391" s="6" t="s">
        <v>85</v>
      </c>
      <c r="Q391" s="6" t="str">
        <f aca="false">IF(P391="pass","No","Yes")</f>
        <v>Yes</v>
      </c>
      <c r="R391" s="6" t="s">
        <v>86</v>
      </c>
      <c r="S391" s="6" t="s">
        <v>961</v>
      </c>
      <c r="T391" s="6" t="s">
        <v>962</v>
      </c>
      <c r="U391" s="23" t="n">
        <v>2.232</v>
      </c>
      <c r="V391" s="6" t="s">
        <v>7929</v>
      </c>
      <c r="W391" s="6" t="s">
        <v>7930</v>
      </c>
      <c r="X391" s="6" t="s">
        <v>7931</v>
      </c>
      <c r="Y391" s="6" t="s">
        <v>86</v>
      </c>
      <c r="Z391" s="6" t="n">
        <v>0</v>
      </c>
      <c r="AA391" s="6" t="n">
        <v>0</v>
      </c>
      <c r="AB391" s="6" t="n">
        <v>0</v>
      </c>
      <c r="AC391" s="6" t="n">
        <v>0</v>
      </c>
      <c r="AD391" s="6" t="n">
        <v>1</v>
      </c>
      <c r="AE391" s="6" t="n">
        <v>0</v>
      </c>
      <c r="AF391" s="6" t="n">
        <v>0</v>
      </c>
      <c r="AG391" s="6" t="n">
        <v>0</v>
      </c>
      <c r="AH391" s="6" t="n">
        <v>0</v>
      </c>
      <c r="AI391" s="6" t="s">
        <v>84</v>
      </c>
    </row>
    <row r="392" customFormat="false" ht="15" hidden="false" customHeight="false" outlineLevel="0" collapsed="false">
      <c r="A392" s="6" t="n">
        <v>391</v>
      </c>
      <c r="B392" s="6" t="s">
        <v>7932</v>
      </c>
      <c r="C392" s="6" t="n">
        <v>8</v>
      </c>
      <c r="D392" s="6" t="s">
        <v>142</v>
      </c>
      <c r="E392" s="6" t="s">
        <v>74</v>
      </c>
      <c r="F392" s="6" t="n">
        <v>3</v>
      </c>
      <c r="G392" s="6" t="n">
        <v>226</v>
      </c>
      <c r="H392" s="6" t="s">
        <v>7933</v>
      </c>
      <c r="I392" s="22" t="n">
        <v>2525500</v>
      </c>
      <c r="J392" s="22" t="n">
        <v>9000</v>
      </c>
      <c r="K392" s="22" t="n">
        <v>190087.5</v>
      </c>
      <c r="L392" s="22" t="n">
        <v>2724587.5</v>
      </c>
      <c r="M392" s="6" t="s">
        <v>927</v>
      </c>
      <c r="N392" s="6" t="s">
        <v>58</v>
      </c>
      <c r="O392" s="6"/>
      <c r="P392" s="6" t="s">
        <v>59</v>
      </c>
      <c r="Q392" s="6" t="str">
        <f aca="false">IF(P392="pass","No","Yes")</f>
        <v>Yes</v>
      </c>
      <c r="R392" s="6" t="s">
        <v>60</v>
      </c>
      <c r="S392" s="6" t="s">
        <v>915</v>
      </c>
      <c r="T392" s="6" t="s">
        <v>7934</v>
      </c>
      <c r="U392" s="23" t="n">
        <v>2.697</v>
      </c>
      <c r="V392" s="6" t="s">
        <v>7935</v>
      </c>
      <c r="W392" s="6" t="s">
        <v>7936</v>
      </c>
      <c r="X392" s="6" t="s">
        <v>7937</v>
      </c>
      <c r="Y392" s="6" t="s">
        <v>60</v>
      </c>
      <c r="Z392" s="6" t="n">
        <v>0</v>
      </c>
      <c r="AA392" s="6" t="n">
        <v>0</v>
      </c>
      <c r="AB392" s="6" t="n">
        <v>0</v>
      </c>
      <c r="AC392" s="6" t="n">
        <v>0</v>
      </c>
      <c r="AD392" s="6" t="n">
        <v>0</v>
      </c>
      <c r="AE392" s="6" t="n">
        <v>0</v>
      </c>
      <c r="AF392" s="6" t="n">
        <v>0</v>
      </c>
      <c r="AG392" s="6" t="n">
        <v>0</v>
      </c>
      <c r="AH392" s="6" t="n">
        <v>1</v>
      </c>
      <c r="AI392" s="6" t="s">
        <v>84</v>
      </c>
    </row>
    <row r="393" customFormat="false" ht="15" hidden="false" customHeight="false" outlineLevel="0" collapsed="false">
      <c r="A393" s="6" t="n">
        <v>392</v>
      </c>
      <c r="B393" s="6" t="s">
        <v>7938</v>
      </c>
      <c r="C393" s="6" t="n">
        <v>8</v>
      </c>
      <c r="D393" s="6" t="s">
        <v>63</v>
      </c>
      <c r="E393" s="6" t="s">
        <v>67</v>
      </c>
      <c r="F393" s="6" t="n">
        <v>3</v>
      </c>
      <c r="G393" s="6" t="n">
        <v>189</v>
      </c>
      <c r="H393" s="6" t="s">
        <v>7939</v>
      </c>
      <c r="I393" s="22" t="n">
        <v>1636800</v>
      </c>
      <c r="J393" s="22" t="n">
        <v>4500</v>
      </c>
      <c r="K393" s="22" t="n">
        <v>123097.5</v>
      </c>
      <c r="L393" s="22" t="n">
        <v>1764397.5</v>
      </c>
      <c r="M393" s="6" t="s">
        <v>1042</v>
      </c>
      <c r="N393" s="6" t="s">
        <v>58</v>
      </c>
      <c r="O393" s="6"/>
      <c r="P393" s="6" t="s">
        <v>59</v>
      </c>
      <c r="Q393" s="6" t="str">
        <f aca="false">IF(P393="pass","No","Yes")</f>
        <v>Yes</v>
      </c>
      <c r="R393" s="6" t="s">
        <v>60</v>
      </c>
      <c r="S393" s="6" t="s">
        <v>915</v>
      </c>
      <c r="T393" s="6" t="s">
        <v>560</v>
      </c>
      <c r="U393" s="23" t="n">
        <v>2.704</v>
      </c>
      <c r="V393" s="6" t="s">
        <v>7940</v>
      </c>
      <c r="W393" s="6" t="s">
        <v>7941</v>
      </c>
      <c r="X393" s="6" t="s">
        <v>7942</v>
      </c>
      <c r="Y393" s="6" t="s">
        <v>60</v>
      </c>
      <c r="Z393" s="6" t="n">
        <v>0</v>
      </c>
      <c r="AA393" s="6" t="n">
        <v>0</v>
      </c>
      <c r="AB393" s="6" t="n">
        <v>0</v>
      </c>
      <c r="AC393" s="6" t="n">
        <v>0</v>
      </c>
      <c r="AD393" s="6" t="n">
        <v>0</v>
      </c>
      <c r="AE393" s="6" t="n">
        <v>0</v>
      </c>
      <c r="AF393" s="6" t="n">
        <v>0</v>
      </c>
      <c r="AG393" s="6" t="n">
        <v>0</v>
      </c>
      <c r="AH393" s="6" t="n">
        <v>1</v>
      </c>
      <c r="AI393" s="6" t="s">
        <v>84</v>
      </c>
    </row>
    <row r="394" customFormat="false" ht="15" hidden="false" customHeight="false" outlineLevel="0" collapsed="false">
      <c r="A394" s="6" t="n">
        <v>393</v>
      </c>
      <c r="B394" s="6" t="s">
        <v>7943</v>
      </c>
      <c r="C394" s="6" t="n">
        <v>8</v>
      </c>
      <c r="D394" s="6" t="s">
        <v>137</v>
      </c>
      <c r="E394" s="6" t="s">
        <v>55</v>
      </c>
      <c r="F394" s="6" t="n">
        <v>2</v>
      </c>
      <c r="G394" s="6" t="n">
        <v>26</v>
      </c>
      <c r="H394" s="6" t="s">
        <v>7944</v>
      </c>
      <c r="I394" s="22" t="n">
        <v>400500</v>
      </c>
      <c r="J394" s="22" t="n">
        <v>6000</v>
      </c>
      <c r="K394" s="22" t="n">
        <v>30487.5</v>
      </c>
      <c r="L394" s="22" t="n">
        <v>436987.5</v>
      </c>
      <c r="M394" s="6" t="s">
        <v>57</v>
      </c>
      <c r="N394" s="6" t="s">
        <v>58</v>
      </c>
      <c r="O394" s="6"/>
      <c r="P394" s="6" t="s">
        <v>69</v>
      </c>
      <c r="Q394" s="6" t="str">
        <f aca="false">IF(P394="pass","No","Yes")</f>
        <v>No</v>
      </c>
      <c r="R394" s="6" t="s">
        <v>60</v>
      </c>
      <c r="S394" s="6"/>
      <c r="T394" s="6"/>
      <c r="U394" s="23" t="n">
        <v>2.859</v>
      </c>
      <c r="V394" s="6" t="s">
        <v>7945</v>
      </c>
      <c r="W394" s="6" t="s">
        <v>7946</v>
      </c>
      <c r="X394" s="6" t="s">
        <v>7947</v>
      </c>
      <c r="Y394" s="6" t="s">
        <v>60</v>
      </c>
      <c r="Z394" s="6" t="n">
        <v>0</v>
      </c>
      <c r="AA394" s="6" t="n">
        <v>0</v>
      </c>
      <c r="AB394" s="6" t="n">
        <v>0</v>
      </c>
      <c r="AC394" s="6" t="n">
        <v>0</v>
      </c>
      <c r="AD394" s="6" t="n">
        <v>0</v>
      </c>
      <c r="AE394" s="6" t="n">
        <v>0</v>
      </c>
      <c r="AF394" s="6" t="n">
        <v>0</v>
      </c>
      <c r="AG394" s="6" t="n">
        <v>0</v>
      </c>
      <c r="AH394" s="6" t="n">
        <v>0</v>
      </c>
      <c r="AI394" s="6" t="s">
        <v>84</v>
      </c>
    </row>
    <row r="395" customFormat="false" ht="15" hidden="false" customHeight="false" outlineLevel="0" collapsed="false">
      <c r="A395" s="6" t="n">
        <v>394</v>
      </c>
      <c r="B395" s="6" t="s">
        <v>7948</v>
      </c>
      <c r="C395" s="6" t="n">
        <v>8</v>
      </c>
      <c r="D395" s="6" t="s">
        <v>51</v>
      </c>
      <c r="E395" s="6" t="s">
        <v>55</v>
      </c>
      <c r="F395" s="6" t="n">
        <v>3</v>
      </c>
      <c r="G395" s="6" t="n">
        <v>69</v>
      </c>
      <c r="H395" s="6" t="s">
        <v>7949</v>
      </c>
      <c r="I395" s="22" t="n">
        <v>704700</v>
      </c>
      <c r="J395" s="22" t="n">
        <v>6000</v>
      </c>
      <c r="K395" s="22" t="n">
        <v>53302.5</v>
      </c>
      <c r="L395" s="22" t="n">
        <v>764002.5</v>
      </c>
      <c r="M395" s="6" t="s">
        <v>57</v>
      </c>
      <c r="N395" s="6" t="s">
        <v>58</v>
      </c>
      <c r="O395" s="6"/>
      <c r="P395" s="6" t="s">
        <v>69</v>
      </c>
      <c r="Q395" s="6" t="str">
        <f aca="false">IF(P395="pass","No","Yes")</f>
        <v>No</v>
      </c>
      <c r="R395" s="6" t="s">
        <v>60</v>
      </c>
      <c r="S395" s="6"/>
      <c r="T395" s="6"/>
      <c r="U395" s="23" t="n">
        <v>2.601</v>
      </c>
      <c r="V395" s="6" t="s">
        <v>7950</v>
      </c>
      <c r="W395" s="6" t="s">
        <v>7951</v>
      </c>
      <c r="X395" s="6" t="s">
        <v>7952</v>
      </c>
      <c r="Y395" s="6" t="s">
        <v>60</v>
      </c>
      <c r="Z395" s="6" t="n">
        <v>0</v>
      </c>
      <c r="AA395" s="6" t="n">
        <v>0</v>
      </c>
      <c r="AB395" s="6" t="n">
        <v>0</v>
      </c>
      <c r="AC395" s="6" t="n">
        <v>0</v>
      </c>
      <c r="AD395" s="6" t="n">
        <v>0</v>
      </c>
      <c r="AE395" s="6" t="n">
        <v>0</v>
      </c>
      <c r="AF395" s="6" t="n">
        <v>0</v>
      </c>
      <c r="AG395" s="6" t="n">
        <v>0</v>
      </c>
      <c r="AH395" s="6" t="n">
        <v>0</v>
      </c>
      <c r="AI395" s="6" t="s">
        <v>84</v>
      </c>
    </row>
    <row r="396" customFormat="false" ht="15" hidden="false" customHeight="false" outlineLevel="0" collapsed="false">
      <c r="A396" s="6" t="n">
        <v>395</v>
      </c>
      <c r="B396" s="6" t="s">
        <v>7953</v>
      </c>
      <c r="C396" s="6" t="n">
        <v>8</v>
      </c>
      <c r="D396" s="6" t="s">
        <v>186</v>
      </c>
      <c r="E396" s="6" t="s">
        <v>123</v>
      </c>
      <c r="F396" s="6" t="n">
        <v>4</v>
      </c>
      <c r="G396" s="6" t="n">
        <v>456</v>
      </c>
      <c r="H396" s="6" t="s">
        <v>7954</v>
      </c>
      <c r="I396" s="22" t="n">
        <v>5401500</v>
      </c>
      <c r="J396" s="22" t="n">
        <v>5000</v>
      </c>
      <c r="K396" s="22" t="n">
        <v>405487.5</v>
      </c>
      <c r="L396" s="22" t="n">
        <v>5811987.5</v>
      </c>
      <c r="M396" s="6" t="s">
        <v>171</v>
      </c>
      <c r="N396" s="6" t="s">
        <v>84</v>
      </c>
      <c r="O396" s="6" t="s">
        <v>892</v>
      </c>
      <c r="P396" s="6" t="s">
        <v>85</v>
      </c>
      <c r="Q396" s="6" t="str">
        <f aca="false">IF(P396="pass","No","Yes")</f>
        <v>Yes</v>
      </c>
      <c r="R396" s="6" t="s">
        <v>86</v>
      </c>
      <c r="S396" s="6" t="s">
        <v>893</v>
      </c>
      <c r="T396" s="6" t="s">
        <v>7955</v>
      </c>
      <c r="U396" s="23" t="n">
        <v>2.537</v>
      </c>
      <c r="V396" s="6" t="s">
        <v>7956</v>
      </c>
      <c r="W396" s="6" t="s">
        <v>7957</v>
      </c>
      <c r="X396" s="6" t="s">
        <v>7958</v>
      </c>
      <c r="Y396" s="6" t="s">
        <v>86</v>
      </c>
      <c r="Z396" s="6" t="n">
        <v>0</v>
      </c>
      <c r="AA396" s="6" t="n">
        <v>0</v>
      </c>
      <c r="AB396" s="6" t="n">
        <v>0</v>
      </c>
      <c r="AC396" s="6" t="n">
        <v>1</v>
      </c>
      <c r="AD396" s="6" t="n">
        <v>0</v>
      </c>
      <c r="AE396" s="6" t="n">
        <v>0</v>
      </c>
      <c r="AF396" s="6" t="n">
        <v>0</v>
      </c>
      <c r="AG396" s="6" t="n">
        <v>0</v>
      </c>
      <c r="AH396" s="6" t="n">
        <v>1</v>
      </c>
      <c r="AI396" s="6" t="s">
        <v>84</v>
      </c>
    </row>
    <row r="397" customFormat="false" ht="15" hidden="false" customHeight="false" outlineLevel="0" collapsed="false">
      <c r="A397" s="6" t="n">
        <v>396</v>
      </c>
      <c r="B397" s="6" t="s">
        <v>7959</v>
      </c>
      <c r="C397" s="6" t="n">
        <v>8</v>
      </c>
      <c r="D397" s="6" t="s">
        <v>51</v>
      </c>
      <c r="E397" s="6" t="s">
        <v>55</v>
      </c>
      <c r="F397" s="6" t="n">
        <v>3</v>
      </c>
      <c r="G397" s="6" t="n">
        <v>69</v>
      </c>
      <c r="H397" s="6" t="s">
        <v>7949</v>
      </c>
      <c r="I397" s="22" t="n">
        <v>704700</v>
      </c>
      <c r="J397" s="22" t="n">
        <v>6000</v>
      </c>
      <c r="K397" s="22" t="n">
        <v>53302.5</v>
      </c>
      <c r="L397" s="22" t="n">
        <v>764002.5</v>
      </c>
      <c r="M397" s="6" t="s">
        <v>97</v>
      </c>
      <c r="N397" s="6" t="s">
        <v>84</v>
      </c>
      <c r="O397" s="6" t="s">
        <v>1185</v>
      </c>
      <c r="P397" s="6" t="s">
        <v>59</v>
      </c>
      <c r="Q397" s="6" t="str">
        <f aca="false">IF(P397="pass","No","Yes")</f>
        <v>Yes</v>
      </c>
      <c r="R397" s="6" t="s">
        <v>98</v>
      </c>
      <c r="S397" s="6" t="s">
        <v>1185</v>
      </c>
      <c r="T397" s="6" t="s">
        <v>7960</v>
      </c>
      <c r="U397" s="23" t="n">
        <v>1.51</v>
      </c>
      <c r="V397" s="6" t="s">
        <v>7961</v>
      </c>
      <c r="W397" s="6"/>
      <c r="X397" s="6" t="s">
        <v>7961</v>
      </c>
      <c r="Y397" s="6" t="s">
        <v>98</v>
      </c>
      <c r="Z397" s="6" t="n">
        <v>0</v>
      </c>
      <c r="AA397" s="6" t="n">
        <v>0</v>
      </c>
      <c r="AB397" s="6" t="n">
        <v>0</v>
      </c>
      <c r="AC397" s="6" t="n">
        <v>0</v>
      </c>
      <c r="AD397" s="6" t="n">
        <v>0</v>
      </c>
      <c r="AE397" s="6" t="n">
        <v>0</v>
      </c>
      <c r="AF397" s="6" t="n">
        <v>0</v>
      </c>
      <c r="AG397" s="6" t="n">
        <v>1</v>
      </c>
      <c r="AH397" s="6" t="n">
        <v>0</v>
      </c>
      <c r="AI397" s="6" t="s">
        <v>84</v>
      </c>
    </row>
    <row r="398" customFormat="false" ht="15" hidden="false" customHeight="false" outlineLevel="0" collapsed="false">
      <c r="A398" s="6" t="n">
        <v>397</v>
      </c>
      <c r="B398" s="6" t="s">
        <v>7962</v>
      </c>
      <c r="C398" s="6" t="n">
        <v>8</v>
      </c>
      <c r="D398" s="6" t="s">
        <v>112</v>
      </c>
      <c r="E398" s="6" t="s">
        <v>116</v>
      </c>
      <c r="F398" s="6" t="n">
        <v>1</v>
      </c>
      <c r="G398" s="6" t="n">
        <v>2</v>
      </c>
      <c r="H398" s="6" t="s">
        <v>7963</v>
      </c>
      <c r="I398" s="22" t="n">
        <v>104000</v>
      </c>
      <c r="J398" s="22" t="n">
        <v>15000</v>
      </c>
      <c r="K398" s="22" t="n">
        <v>8925</v>
      </c>
      <c r="L398" s="22" t="n">
        <v>127925</v>
      </c>
      <c r="M398" s="6" t="s">
        <v>984</v>
      </c>
      <c r="N398" s="6" t="s">
        <v>84</v>
      </c>
      <c r="O398" s="6" t="s">
        <v>985</v>
      </c>
      <c r="P398" s="6" t="s">
        <v>85</v>
      </c>
      <c r="Q398" s="6" t="str">
        <f aca="false">IF(P398="pass","No","Yes")</f>
        <v>Yes</v>
      </c>
      <c r="R398" s="6" t="s">
        <v>86</v>
      </c>
      <c r="S398" s="6" t="s">
        <v>985</v>
      </c>
      <c r="T398" s="6" t="s">
        <v>1743</v>
      </c>
      <c r="U398" s="23" t="n">
        <v>2.317</v>
      </c>
      <c r="V398" s="6" t="s">
        <v>7964</v>
      </c>
      <c r="W398" s="6" t="s">
        <v>7965</v>
      </c>
      <c r="X398" s="6" t="s">
        <v>7966</v>
      </c>
      <c r="Y398" s="6" t="s">
        <v>86</v>
      </c>
      <c r="Z398" s="6" t="n">
        <v>0</v>
      </c>
      <c r="AA398" s="6" t="n">
        <v>0</v>
      </c>
      <c r="AB398" s="6" t="n">
        <v>0</v>
      </c>
      <c r="AC398" s="6" t="n">
        <v>0</v>
      </c>
      <c r="AD398" s="6" t="n">
        <v>0</v>
      </c>
      <c r="AE398" s="6" t="n">
        <v>1</v>
      </c>
      <c r="AF398" s="6" t="n">
        <v>0</v>
      </c>
      <c r="AG398" s="6" t="n">
        <v>0</v>
      </c>
      <c r="AH398" s="6" t="n">
        <v>0</v>
      </c>
      <c r="AI398" s="6" t="s">
        <v>84</v>
      </c>
    </row>
    <row r="399" customFormat="false" ht="15" hidden="false" customHeight="false" outlineLevel="0" collapsed="false">
      <c r="A399" s="6" t="n">
        <v>398</v>
      </c>
      <c r="B399" s="6" t="s">
        <v>7967</v>
      </c>
      <c r="C399" s="6" t="n">
        <v>8</v>
      </c>
      <c r="D399" s="6" t="s">
        <v>198</v>
      </c>
      <c r="E399" s="6" t="s">
        <v>81</v>
      </c>
      <c r="F399" s="6" t="n">
        <v>3</v>
      </c>
      <c r="G399" s="6" t="n">
        <v>38</v>
      </c>
      <c r="H399" s="6" t="s">
        <v>7968</v>
      </c>
      <c r="I399" s="22" t="n">
        <v>551800</v>
      </c>
      <c r="J399" s="22" t="n">
        <v>4000</v>
      </c>
      <c r="K399" s="22" t="n">
        <v>41685</v>
      </c>
      <c r="L399" s="22" t="n">
        <v>597485</v>
      </c>
      <c r="M399" s="6" t="s">
        <v>57</v>
      </c>
      <c r="N399" s="6" t="s">
        <v>58</v>
      </c>
      <c r="O399" s="6"/>
      <c r="P399" s="6" t="s">
        <v>69</v>
      </c>
      <c r="Q399" s="6" t="str">
        <f aca="false">IF(P399="pass","No","Yes")</f>
        <v>No</v>
      </c>
      <c r="R399" s="6" t="s">
        <v>60</v>
      </c>
      <c r="S399" s="6"/>
      <c r="T399" s="6"/>
      <c r="U399" s="23" t="n">
        <v>2.928</v>
      </c>
      <c r="V399" s="6" t="s">
        <v>7969</v>
      </c>
      <c r="W399" s="6" t="s">
        <v>7970</v>
      </c>
      <c r="X399" s="6" t="s">
        <v>7971</v>
      </c>
      <c r="Y399" s="6" t="s">
        <v>60</v>
      </c>
      <c r="Z399" s="6" t="n">
        <v>0</v>
      </c>
      <c r="AA399" s="6" t="n">
        <v>0</v>
      </c>
      <c r="AB399" s="6" t="n">
        <v>0</v>
      </c>
      <c r="AC399" s="6" t="n">
        <v>0</v>
      </c>
      <c r="AD399" s="6" t="n">
        <v>0</v>
      </c>
      <c r="AE399" s="6" t="n">
        <v>0</v>
      </c>
      <c r="AF399" s="6" t="n">
        <v>0</v>
      </c>
      <c r="AG399" s="6" t="n">
        <v>0</v>
      </c>
      <c r="AH399" s="6" t="n">
        <v>0</v>
      </c>
      <c r="AI399" s="6" t="s">
        <v>84</v>
      </c>
    </row>
    <row r="400" customFormat="false" ht="15" hidden="false" customHeight="false" outlineLevel="0" collapsed="false">
      <c r="A400" s="6" t="n">
        <v>399</v>
      </c>
      <c r="B400" s="6" t="s">
        <v>7972</v>
      </c>
      <c r="C400" s="6" t="n">
        <v>8</v>
      </c>
      <c r="D400" s="6" t="s">
        <v>112</v>
      </c>
      <c r="E400" s="6" t="s">
        <v>116</v>
      </c>
      <c r="F400" s="6" t="n">
        <v>2</v>
      </c>
      <c r="G400" s="6" t="n">
        <v>126</v>
      </c>
      <c r="H400" s="6" t="s">
        <v>7973</v>
      </c>
      <c r="I400" s="22" t="n">
        <v>992000</v>
      </c>
      <c r="J400" s="22" t="n">
        <v>15000</v>
      </c>
      <c r="K400" s="22" t="n">
        <v>75525</v>
      </c>
      <c r="L400" s="22" t="n">
        <v>1082525</v>
      </c>
      <c r="M400" s="6" t="s">
        <v>927</v>
      </c>
      <c r="N400" s="6" t="s">
        <v>58</v>
      </c>
      <c r="O400" s="6"/>
      <c r="P400" s="6" t="s">
        <v>69</v>
      </c>
      <c r="Q400" s="6" t="str">
        <f aca="false">IF(P400="pass","No","Yes")</f>
        <v>No</v>
      </c>
      <c r="R400" s="6" t="s">
        <v>60</v>
      </c>
      <c r="S400" s="6"/>
      <c r="T400" s="6"/>
      <c r="U400" s="23" t="n">
        <v>2.739</v>
      </c>
      <c r="V400" s="6" t="s">
        <v>7974</v>
      </c>
      <c r="W400" s="6" t="s">
        <v>7975</v>
      </c>
      <c r="X400" s="6" t="s">
        <v>7976</v>
      </c>
      <c r="Y400" s="6" t="s">
        <v>60</v>
      </c>
      <c r="Z400" s="6" t="n">
        <v>0</v>
      </c>
      <c r="AA400" s="6" t="n">
        <v>0</v>
      </c>
      <c r="AB400" s="6" t="n">
        <v>0</v>
      </c>
      <c r="AC400" s="6" t="n">
        <v>0</v>
      </c>
      <c r="AD400" s="6" t="n">
        <v>0</v>
      </c>
      <c r="AE400" s="6" t="n">
        <v>0</v>
      </c>
      <c r="AF400" s="6" t="n">
        <v>0</v>
      </c>
      <c r="AG400" s="6" t="n">
        <v>0</v>
      </c>
      <c r="AH400" s="6" t="n">
        <v>0</v>
      </c>
      <c r="AI400" s="6" t="s">
        <v>84</v>
      </c>
    </row>
    <row r="401" customFormat="false" ht="15" hidden="false" customHeight="false" outlineLevel="0" collapsed="false">
      <c r="A401" s="6" t="n">
        <v>400</v>
      </c>
      <c r="B401" s="6" t="s">
        <v>7977</v>
      </c>
      <c r="C401" s="6" t="n">
        <v>8</v>
      </c>
      <c r="D401" s="6" t="s">
        <v>186</v>
      </c>
      <c r="E401" s="6" t="s">
        <v>123</v>
      </c>
      <c r="F401" s="6" t="n">
        <v>2</v>
      </c>
      <c r="G401" s="6" t="n">
        <v>81</v>
      </c>
      <c r="H401" s="6" t="s">
        <v>7978</v>
      </c>
      <c r="I401" s="22" t="n">
        <v>768000</v>
      </c>
      <c r="J401" s="22" t="n">
        <v>5000</v>
      </c>
      <c r="K401" s="22" t="n">
        <v>57975</v>
      </c>
      <c r="L401" s="22" t="n">
        <v>830975</v>
      </c>
      <c r="M401" s="6" t="s">
        <v>57</v>
      </c>
      <c r="N401" s="6" t="s">
        <v>58</v>
      </c>
      <c r="O401" s="6"/>
      <c r="P401" s="6" t="s">
        <v>69</v>
      </c>
      <c r="Q401" s="6" t="str">
        <f aca="false">IF(P401="pass","No","Yes")</f>
        <v>No</v>
      </c>
      <c r="R401" s="6" t="s">
        <v>60</v>
      </c>
      <c r="S401" s="6"/>
      <c r="T401" s="6"/>
      <c r="U401" s="23" t="n">
        <v>2.614</v>
      </c>
      <c r="V401" s="6" t="s">
        <v>7979</v>
      </c>
      <c r="W401" s="6" t="s">
        <v>7980</v>
      </c>
      <c r="X401" s="6" t="s">
        <v>7981</v>
      </c>
      <c r="Y401" s="6" t="s">
        <v>60</v>
      </c>
      <c r="Z401" s="6" t="n">
        <v>0</v>
      </c>
      <c r="AA401" s="6" t="n">
        <v>0</v>
      </c>
      <c r="AB401" s="6" t="n">
        <v>0</v>
      </c>
      <c r="AC401" s="6" t="n">
        <v>0</v>
      </c>
      <c r="AD401" s="6" t="n">
        <v>0</v>
      </c>
      <c r="AE401" s="6" t="n">
        <v>0</v>
      </c>
      <c r="AF401" s="6" t="n">
        <v>0</v>
      </c>
      <c r="AG401" s="6" t="n">
        <v>0</v>
      </c>
      <c r="AH401" s="6" t="n">
        <v>0</v>
      </c>
      <c r="AI401" s="6" t="s">
        <v>84</v>
      </c>
    </row>
    <row r="402" customFormat="false" ht="15" hidden="false" customHeight="false" outlineLevel="0" collapsed="false">
      <c r="A402" s="6" t="n">
        <v>401</v>
      </c>
      <c r="B402" s="6" t="s">
        <v>7982</v>
      </c>
      <c r="C402" s="6" t="n">
        <v>9</v>
      </c>
      <c r="D402" s="6" t="s">
        <v>154</v>
      </c>
      <c r="E402" s="6" t="s">
        <v>123</v>
      </c>
      <c r="F402" s="6" t="n">
        <v>3</v>
      </c>
      <c r="G402" s="6" t="n">
        <v>42</v>
      </c>
      <c r="H402" s="6" t="s">
        <v>7983</v>
      </c>
      <c r="I402" s="22" t="n">
        <v>622500</v>
      </c>
      <c r="J402" s="22" t="n">
        <v>5000</v>
      </c>
      <c r="K402" s="22" t="n">
        <v>47062.5</v>
      </c>
      <c r="L402" s="22" t="n">
        <v>674562.5</v>
      </c>
      <c r="M402" s="6" t="s">
        <v>57</v>
      </c>
      <c r="N402" s="6" t="s">
        <v>58</v>
      </c>
      <c r="O402" s="6"/>
      <c r="P402" s="6" t="s">
        <v>69</v>
      </c>
      <c r="Q402" s="6" t="str">
        <f aca="false">IF(P402="pass","No","Yes")</f>
        <v>No</v>
      </c>
      <c r="R402" s="6" t="s">
        <v>60</v>
      </c>
      <c r="S402" s="6"/>
      <c r="T402" s="6"/>
      <c r="U402" s="23" t="n">
        <v>2.75</v>
      </c>
      <c r="V402" s="6" t="s">
        <v>7984</v>
      </c>
      <c r="W402" s="6" t="s">
        <v>7985</v>
      </c>
      <c r="X402" s="6" t="s">
        <v>7986</v>
      </c>
      <c r="Y402" s="6" t="s">
        <v>60</v>
      </c>
      <c r="Z402" s="6" t="n">
        <v>0</v>
      </c>
      <c r="AA402" s="6" t="n">
        <v>0</v>
      </c>
      <c r="AB402" s="6" t="n">
        <v>0</v>
      </c>
      <c r="AC402" s="6" t="n">
        <v>0</v>
      </c>
      <c r="AD402" s="6" t="n">
        <v>0</v>
      </c>
      <c r="AE402" s="6" t="n">
        <v>0</v>
      </c>
      <c r="AF402" s="6" t="n">
        <v>0</v>
      </c>
      <c r="AG402" s="6" t="n">
        <v>0</v>
      </c>
      <c r="AH402" s="6" t="n">
        <v>0</v>
      </c>
      <c r="AI402" s="6" t="s">
        <v>84</v>
      </c>
    </row>
    <row r="403" customFormat="false" ht="15" hidden="false" customHeight="false" outlineLevel="0" collapsed="false">
      <c r="A403" s="6" t="n">
        <v>402</v>
      </c>
      <c r="B403" s="6" t="s">
        <v>7987</v>
      </c>
      <c r="C403" s="6" t="n">
        <v>9</v>
      </c>
      <c r="D403" s="6" t="s">
        <v>137</v>
      </c>
      <c r="E403" s="6" t="s">
        <v>55</v>
      </c>
      <c r="F403" s="6" t="n">
        <v>4</v>
      </c>
      <c r="G403" s="6" t="n">
        <v>140</v>
      </c>
      <c r="H403" s="6" t="s">
        <v>7988</v>
      </c>
      <c r="I403" s="22" t="n">
        <v>1304700</v>
      </c>
      <c r="J403" s="22" t="n">
        <v>6000</v>
      </c>
      <c r="K403" s="22" t="n">
        <v>98302.5</v>
      </c>
      <c r="L403" s="22" t="n">
        <v>1409002.5</v>
      </c>
      <c r="M403" s="6" t="s">
        <v>272</v>
      </c>
      <c r="N403" s="6" t="s">
        <v>84</v>
      </c>
      <c r="O403" s="6" t="s">
        <v>879</v>
      </c>
      <c r="P403" s="6" t="s">
        <v>85</v>
      </c>
      <c r="Q403" s="6" t="str">
        <f aca="false">IF(P403="pass","No","Yes")</f>
        <v>Yes</v>
      </c>
      <c r="R403" s="6" t="s">
        <v>86</v>
      </c>
      <c r="S403" s="6" t="s">
        <v>1233</v>
      </c>
      <c r="T403" s="6" t="s">
        <v>7989</v>
      </c>
      <c r="U403" s="23" t="n">
        <v>2.413</v>
      </c>
      <c r="V403" s="6" t="s">
        <v>7990</v>
      </c>
      <c r="W403" s="6" t="s">
        <v>7991</v>
      </c>
      <c r="X403" s="6" t="s">
        <v>7992</v>
      </c>
      <c r="Y403" s="6" t="s">
        <v>86</v>
      </c>
      <c r="Z403" s="6" t="n">
        <v>0</v>
      </c>
      <c r="AA403" s="6" t="n">
        <v>1</v>
      </c>
      <c r="AB403" s="6" t="n">
        <v>0</v>
      </c>
      <c r="AC403" s="6" t="n">
        <v>0</v>
      </c>
      <c r="AD403" s="6" t="n">
        <v>0</v>
      </c>
      <c r="AE403" s="6" t="n">
        <v>0</v>
      </c>
      <c r="AF403" s="6" t="n">
        <v>0</v>
      </c>
      <c r="AG403" s="6" t="n">
        <v>0</v>
      </c>
      <c r="AH403" s="6" t="n">
        <v>1</v>
      </c>
      <c r="AI403" s="6" t="s">
        <v>84</v>
      </c>
    </row>
    <row r="404" customFormat="false" ht="15" hidden="false" customHeight="false" outlineLevel="0" collapsed="false">
      <c r="A404" s="6" t="n">
        <v>403</v>
      </c>
      <c r="B404" s="6" t="s">
        <v>7993</v>
      </c>
      <c r="C404" s="6" t="n">
        <v>9</v>
      </c>
      <c r="D404" s="6" t="s">
        <v>191</v>
      </c>
      <c r="E404" s="6" t="s">
        <v>116</v>
      </c>
      <c r="F404" s="6" t="n">
        <v>3</v>
      </c>
      <c r="G404" s="6" t="n">
        <v>89</v>
      </c>
      <c r="H404" s="6" t="s">
        <v>7994</v>
      </c>
      <c r="I404" s="22" t="n">
        <v>761300</v>
      </c>
      <c r="J404" s="22" t="n">
        <v>15000</v>
      </c>
      <c r="K404" s="22" t="n">
        <v>58222.5</v>
      </c>
      <c r="L404" s="22" t="n">
        <v>834522.5</v>
      </c>
      <c r="M404" s="6" t="s">
        <v>57</v>
      </c>
      <c r="N404" s="6" t="s">
        <v>58</v>
      </c>
      <c r="O404" s="6"/>
      <c r="P404" s="6" t="s">
        <v>69</v>
      </c>
      <c r="Q404" s="6" t="str">
        <f aca="false">IF(P404="pass","No","Yes")</f>
        <v>No</v>
      </c>
      <c r="R404" s="6" t="s">
        <v>60</v>
      </c>
      <c r="S404" s="6"/>
      <c r="T404" s="6"/>
      <c r="U404" s="23" t="n">
        <v>2.968</v>
      </c>
      <c r="V404" s="6" t="s">
        <v>7995</v>
      </c>
      <c r="W404" s="6" t="s">
        <v>7996</v>
      </c>
      <c r="X404" s="6" t="s">
        <v>7997</v>
      </c>
      <c r="Y404" s="6" t="s">
        <v>60</v>
      </c>
      <c r="Z404" s="6" t="n">
        <v>0</v>
      </c>
      <c r="AA404" s="6" t="n">
        <v>0</v>
      </c>
      <c r="AB404" s="6" t="n">
        <v>0</v>
      </c>
      <c r="AC404" s="6" t="n">
        <v>0</v>
      </c>
      <c r="AD404" s="6" t="n">
        <v>0</v>
      </c>
      <c r="AE404" s="6" t="n">
        <v>0</v>
      </c>
      <c r="AF404" s="6" t="n">
        <v>0</v>
      </c>
      <c r="AG404" s="6" t="n">
        <v>0</v>
      </c>
      <c r="AH404" s="6" t="n">
        <v>0</v>
      </c>
      <c r="AI404" s="6" t="s">
        <v>84</v>
      </c>
    </row>
    <row r="405" customFormat="false" ht="15" hidden="false" customHeight="false" outlineLevel="0" collapsed="false">
      <c r="A405" s="6" t="n">
        <v>404</v>
      </c>
      <c r="B405" s="6" t="s">
        <v>7998</v>
      </c>
      <c r="C405" s="6" t="n">
        <v>9</v>
      </c>
      <c r="D405" s="6" t="s">
        <v>213</v>
      </c>
      <c r="E405" s="6" t="s">
        <v>67</v>
      </c>
      <c r="F405" s="6" t="n">
        <v>1</v>
      </c>
      <c r="G405" s="6" t="n">
        <v>15</v>
      </c>
      <c r="H405" s="6" t="s">
        <v>1458</v>
      </c>
      <c r="I405" s="22" t="n">
        <v>780000</v>
      </c>
      <c r="J405" s="22" t="n">
        <v>4500</v>
      </c>
      <c r="K405" s="22" t="n">
        <v>58837.5</v>
      </c>
      <c r="L405" s="22" t="n">
        <v>843337.5</v>
      </c>
      <c r="M405" s="6" t="s">
        <v>57</v>
      </c>
      <c r="N405" s="6" t="s">
        <v>58</v>
      </c>
      <c r="O405" s="6"/>
      <c r="P405" s="6" t="s">
        <v>69</v>
      </c>
      <c r="Q405" s="6" t="str">
        <f aca="false">IF(P405="pass","No","Yes")</f>
        <v>No</v>
      </c>
      <c r="R405" s="6" t="s">
        <v>60</v>
      </c>
      <c r="S405" s="6"/>
      <c r="T405" s="6"/>
      <c r="U405" s="23" t="n">
        <v>2.584</v>
      </c>
      <c r="V405" s="6" t="s">
        <v>7999</v>
      </c>
      <c r="W405" s="6" t="s">
        <v>8000</v>
      </c>
      <c r="X405" s="6" t="s">
        <v>8001</v>
      </c>
      <c r="Y405" s="6" t="s">
        <v>60</v>
      </c>
      <c r="Z405" s="6" t="n">
        <v>0</v>
      </c>
      <c r="AA405" s="6" t="n">
        <v>0</v>
      </c>
      <c r="AB405" s="6" t="n">
        <v>0</v>
      </c>
      <c r="AC405" s="6" t="n">
        <v>0</v>
      </c>
      <c r="AD405" s="6" t="n">
        <v>0</v>
      </c>
      <c r="AE405" s="6" t="n">
        <v>0</v>
      </c>
      <c r="AF405" s="6" t="n">
        <v>0</v>
      </c>
      <c r="AG405" s="6" t="n">
        <v>0</v>
      </c>
      <c r="AH405" s="6" t="n">
        <v>0</v>
      </c>
      <c r="AI405" s="6" t="s">
        <v>84</v>
      </c>
    </row>
    <row r="406" customFormat="false" ht="15" hidden="false" customHeight="false" outlineLevel="0" collapsed="false">
      <c r="A406" s="6" t="n">
        <v>405</v>
      </c>
      <c r="B406" s="6" t="s">
        <v>8002</v>
      </c>
      <c r="C406" s="6" t="n">
        <v>9</v>
      </c>
      <c r="D406" s="6" t="s">
        <v>70</v>
      </c>
      <c r="E406" s="6" t="s">
        <v>74</v>
      </c>
      <c r="F406" s="6" t="n">
        <v>2</v>
      </c>
      <c r="G406" s="6" t="n">
        <v>53</v>
      </c>
      <c r="H406" s="6" t="s">
        <v>8003</v>
      </c>
      <c r="I406" s="22" t="n">
        <v>750800</v>
      </c>
      <c r="J406" s="22" t="n">
        <v>9000</v>
      </c>
      <c r="K406" s="22" t="n">
        <v>56985</v>
      </c>
      <c r="L406" s="22" t="n">
        <v>816785</v>
      </c>
      <c r="M406" s="6" t="s">
        <v>1009</v>
      </c>
      <c r="N406" s="6" t="s">
        <v>58</v>
      </c>
      <c r="O406" s="6"/>
      <c r="P406" s="6" t="s">
        <v>69</v>
      </c>
      <c r="Q406" s="6" t="str">
        <f aca="false">IF(P406="pass","No","Yes")</f>
        <v>No</v>
      </c>
      <c r="R406" s="6" t="s">
        <v>60</v>
      </c>
      <c r="S406" s="6"/>
      <c r="T406" s="6"/>
      <c r="U406" s="23" t="n">
        <v>2.525</v>
      </c>
      <c r="V406" s="6" t="s">
        <v>8004</v>
      </c>
      <c r="W406" s="6" t="s">
        <v>8005</v>
      </c>
      <c r="X406" s="6" t="s">
        <v>8006</v>
      </c>
      <c r="Y406" s="6" t="s">
        <v>60</v>
      </c>
      <c r="Z406" s="6" t="n">
        <v>0</v>
      </c>
      <c r="AA406" s="6" t="n">
        <v>0</v>
      </c>
      <c r="AB406" s="6" t="n">
        <v>0</v>
      </c>
      <c r="AC406" s="6" t="n">
        <v>0</v>
      </c>
      <c r="AD406" s="6" t="n">
        <v>0</v>
      </c>
      <c r="AE406" s="6" t="n">
        <v>0</v>
      </c>
      <c r="AF406" s="6" t="n">
        <v>0</v>
      </c>
      <c r="AG406" s="6" t="n">
        <v>0</v>
      </c>
      <c r="AH406" s="6" t="n">
        <v>0</v>
      </c>
      <c r="AI406" s="6" t="s">
        <v>84</v>
      </c>
    </row>
    <row r="407" customFormat="false" ht="15" hidden="false" customHeight="false" outlineLevel="0" collapsed="false">
      <c r="A407" s="6" t="n">
        <v>406</v>
      </c>
      <c r="B407" s="6" t="s">
        <v>8007</v>
      </c>
      <c r="C407" s="6" t="n">
        <v>9</v>
      </c>
      <c r="D407" s="6" t="s">
        <v>198</v>
      </c>
      <c r="E407" s="6" t="s">
        <v>81</v>
      </c>
      <c r="F407" s="6" t="n">
        <v>4</v>
      </c>
      <c r="G407" s="6" t="n">
        <v>45</v>
      </c>
      <c r="H407" s="6" t="s">
        <v>8008</v>
      </c>
      <c r="I407" s="22" t="n">
        <v>622200</v>
      </c>
      <c r="J407" s="22" t="n">
        <v>4000</v>
      </c>
      <c r="K407" s="22" t="n">
        <v>46965</v>
      </c>
      <c r="L407" s="22" t="n">
        <v>673165</v>
      </c>
      <c r="M407" s="6" t="s">
        <v>152</v>
      </c>
      <c r="N407" s="6" t="s">
        <v>84</v>
      </c>
      <c r="O407" s="6" t="s">
        <v>886</v>
      </c>
      <c r="P407" s="6" t="s">
        <v>85</v>
      </c>
      <c r="Q407" s="6" t="str">
        <f aca="false">IF(P407="pass","No","Yes")</f>
        <v>Yes</v>
      </c>
      <c r="R407" s="6" t="s">
        <v>86</v>
      </c>
      <c r="S407" s="6" t="s">
        <v>886</v>
      </c>
      <c r="T407" s="6" t="s">
        <v>475</v>
      </c>
      <c r="U407" s="23" t="n">
        <v>2.474</v>
      </c>
      <c r="V407" s="6" t="s">
        <v>8009</v>
      </c>
      <c r="W407" s="6" t="s">
        <v>8010</v>
      </c>
      <c r="X407" s="6" t="s">
        <v>8011</v>
      </c>
      <c r="Y407" s="6" t="s">
        <v>86</v>
      </c>
      <c r="Z407" s="6" t="n">
        <v>0</v>
      </c>
      <c r="AA407" s="6" t="n">
        <v>0</v>
      </c>
      <c r="AB407" s="6" t="n">
        <v>1</v>
      </c>
      <c r="AC407" s="6" t="n">
        <v>0</v>
      </c>
      <c r="AD407" s="6" t="n">
        <v>0</v>
      </c>
      <c r="AE407" s="6" t="n">
        <v>0</v>
      </c>
      <c r="AF407" s="6" t="n">
        <v>0</v>
      </c>
      <c r="AG407" s="6" t="n">
        <v>0</v>
      </c>
      <c r="AH407" s="6" t="n">
        <v>0</v>
      </c>
      <c r="AI407" s="6" t="s">
        <v>84</v>
      </c>
    </row>
    <row r="408" customFormat="false" ht="15" hidden="false" customHeight="false" outlineLevel="0" collapsed="false">
      <c r="A408" s="6" t="n">
        <v>407</v>
      </c>
      <c r="B408" s="6" t="s">
        <v>8012</v>
      </c>
      <c r="C408" s="6" t="n">
        <v>9</v>
      </c>
      <c r="D408" s="6" t="s">
        <v>186</v>
      </c>
      <c r="E408" s="6" t="s">
        <v>123</v>
      </c>
      <c r="F408" s="6" t="n">
        <v>3</v>
      </c>
      <c r="G408" s="6" t="n">
        <v>35</v>
      </c>
      <c r="H408" s="6" t="s">
        <v>8013</v>
      </c>
      <c r="I408" s="22" t="n">
        <v>1136000</v>
      </c>
      <c r="J408" s="22" t="n">
        <v>5000</v>
      </c>
      <c r="K408" s="22" t="n">
        <v>85575</v>
      </c>
      <c r="L408" s="22" t="n">
        <v>1226575</v>
      </c>
      <c r="M408" s="6" t="s">
        <v>57</v>
      </c>
      <c r="N408" s="6" t="s">
        <v>58</v>
      </c>
      <c r="O408" s="6"/>
      <c r="P408" s="6" t="s">
        <v>69</v>
      </c>
      <c r="Q408" s="6" t="str">
        <f aca="false">IF(P408="pass","No","Yes")</f>
        <v>No</v>
      </c>
      <c r="R408" s="6" t="s">
        <v>60</v>
      </c>
      <c r="S408" s="6"/>
      <c r="T408" s="6"/>
      <c r="U408" s="23" t="n">
        <v>2.731</v>
      </c>
      <c r="V408" s="6" t="s">
        <v>8014</v>
      </c>
      <c r="W408" s="6" t="s">
        <v>8015</v>
      </c>
      <c r="X408" s="6" t="s">
        <v>8016</v>
      </c>
      <c r="Y408" s="6" t="s">
        <v>60</v>
      </c>
      <c r="Z408" s="6" t="n">
        <v>0</v>
      </c>
      <c r="AA408" s="6" t="n">
        <v>0</v>
      </c>
      <c r="AB408" s="6" t="n">
        <v>0</v>
      </c>
      <c r="AC408" s="6" t="n">
        <v>0</v>
      </c>
      <c r="AD408" s="6" t="n">
        <v>0</v>
      </c>
      <c r="AE408" s="6" t="n">
        <v>0</v>
      </c>
      <c r="AF408" s="6" t="n">
        <v>0</v>
      </c>
      <c r="AG408" s="6" t="n">
        <v>0</v>
      </c>
      <c r="AH408" s="6" t="n">
        <v>0</v>
      </c>
      <c r="AI408" s="6" t="s">
        <v>84</v>
      </c>
    </row>
    <row r="409" customFormat="false" ht="15" hidden="false" customHeight="false" outlineLevel="0" collapsed="false">
      <c r="A409" s="6" t="n">
        <v>408</v>
      </c>
      <c r="B409" s="6" t="s">
        <v>8017</v>
      </c>
      <c r="C409" s="6" t="n">
        <v>9</v>
      </c>
      <c r="D409" s="6" t="s">
        <v>177</v>
      </c>
      <c r="E409" s="6" t="s">
        <v>81</v>
      </c>
      <c r="F409" s="6" t="n">
        <v>1</v>
      </c>
      <c r="G409" s="6" t="n">
        <v>3</v>
      </c>
      <c r="H409" s="6" t="s">
        <v>8018</v>
      </c>
      <c r="I409" s="22" t="n">
        <v>93000</v>
      </c>
      <c r="J409" s="22" t="n">
        <v>4000</v>
      </c>
      <c r="K409" s="22" t="n">
        <v>7275</v>
      </c>
      <c r="L409" s="22" t="n">
        <v>104275</v>
      </c>
      <c r="M409" s="6" t="s">
        <v>57</v>
      </c>
      <c r="N409" s="6" t="s">
        <v>58</v>
      </c>
      <c r="O409" s="6"/>
      <c r="P409" s="6" t="s">
        <v>69</v>
      </c>
      <c r="Q409" s="6" t="str">
        <f aca="false">IF(P409="pass","No","Yes")</f>
        <v>No</v>
      </c>
      <c r="R409" s="6" t="s">
        <v>60</v>
      </c>
      <c r="S409" s="6"/>
      <c r="T409" s="6"/>
      <c r="U409" s="23" t="n">
        <v>2.761</v>
      </c>
      <c r="V409" s="6" t="s">
        <v>8019</v>
      </c>
      <c r="W409" s="6" t="s">
        <v>8020</v>
      </c>
      <c r="X409" s="6" t="s">
        <v>8021</v>
      </c>
      <c r="Y409" s="6" t="s">
        <v>60</v>
      </c>
      <c r="Z409" s="6" t="n">
        <v>0</v>
      </c>
      <c r="AA409" s="6" t="n">
        <v>0</v>
      </c>
      <c r="AB409" s="6" t="n">
        <v>0</v>
      </c>
      <c r="AC409" s="6" t="n">
        <v>0</v>
      </c>
      <c r="AD409" s="6" t="n">
        <v>0</v>
      </c>
      <c r="AE409" s="6" t="n">
        <v>0</v>
      </c>
      <c r="AF409" s="6" t="n">
        <v>0</v>
      </c>
      <c r="AG409" s="6" t="n">
        <v>0</v>
      </c>
      <c r="AH409" s="6" t="n">
        <v>0</v>
      </c>
      <c r="AI409" s="6" t="s">
        <v>84</v>
      </c>
    </row>
    <row r="410" customFormat="false" ht="15" hidden="false" customHeight="false" outlineLevel="0" collapsed="false">
      <c r="A410" s="6" t="n">
        <v>409</v>
      </c>
      <c r="B410" s="6" t="s">
        <v>8022</v>
      </c>
      <c r="C410" s="6" t="n">
        <v>9</v>
      </c>
      <c r="D410" s="6" t="s">
        <v>237</v>
      </c>
      <c r="E410" s="6" t="s">
        <v>116</v>
      </c>
      <c r="F410" s="6" t="n">
        <v>3</v>
      </c>
      <c r="G410" s="6" t="n">
        <v>256</v>
      </c>
      <c r="H410" s="6" t="s">
        <v>8023</v>
      </c>
      <c r="I410" s="22" t="n">
        <v>2399600</v>
      </c>
      <c r="J410" s="22" t="n">
        <v>15000</v>
      </c>
      <c r="K410" s="22" t="n">
        <v>181095</v>
      </c>
      <c r="L410" s="22" t="n">
        <v>2595695</v>
      </c>
      <c r="M410" s="6" t="s">
        <v>927</v>
      </c>
      <c r="N410" s="6" t="s">
        <v>58</v>
      </c>
      <c r="O410" s="6"/>
      <c r="P410" s="6" t="s">
        <v>59</v>
      </c>
      <c r="Q410" s="6" t="str">
        <f aca="false">IF(P410="pass","No","Yes")</f>
        <v>Yes</v>
      </c>
      <c r="R410" s="6" t="s">
        <v>60</v>
      </c>
      <c r="S410" s="6" t="s">
        <v>915</v>
      </c>
      <c r="T410" s="6" t="s">
        <v>8024</v>
      </c>
      <c r="U410" s="23" t="n">
        <v>2.987</v>
      </c>
      <c r="V410" s="6" t="s">
        <v>8025</v>
      </c>
      <c r="W410" s="6" t="s">
        <v>8026</v>
      </c>
      <c r="X410" s="6" t="s">
        <v>8027</v>
      </c>
      <c r="Y410" s="6" t="s">
        <v>60</v>
      </c>
      <c r="Z410" s="6" t="n">
        <v>0</v>
      </c>
      <c r="AA410" s="6" t="n">
        <v>0</v>
      </c>
      <c r="AB410" s="6" t="n">
        <v>0</v>
      </c>
      <c r="AC410" s="6" t="n">
        <v>0</v>
      </c>
      <c r="AD410" s="6" t="n">
        <v>0</v>
      </c>
      <c r="AE410" s="6" t="n">
        <v>0</v>
      </c>
      <c r="AF410" s="6" t="n">
        <v>0</v>
      </c>
      <c r="AG410" s="6" t="n">
        <v>0</v>
      </c>
      <c r="AH410" s="6" t="n">
        <v>1</v>
      </c>
      <c r="AI410" s="6" t="s">
        <v>84</v>
      </c>
    </row>
    <row r="411" customFormat="false" ht="15" hidden="false" customHeight="false" outlineLevel="0" collapsed="false">
      <c r="A411" s="6" t="n">
        <v>410</v>
      </c>
      <c r="B411" s="6" t="s">
        <v>8028</v>
      </c>
      <c r="C411" s="6" t="n">
        <v>9</v>
      </c>
      <c r="D411" s="6" t="s">
        <v>112</v>
      </c>
      <c r="E411" s="6" t="s">
        <v>116</v>
      </c>
      <c r="F411" s="6" t="n">
        <v>1</v>
      </c>
      <c r="G411" s="6" t="n">
        <v>50</v>
      </c>
      <c r="H411" s="6" t="s">
        <v>6999</v>
      </c>
      <c r="I411" s="22" t="n">
        <v>590000</v>
      </c>
      <c r="J411" s="22" t="n">
        <v>15000</v>
      </c>
      <c r="K411" s="22" t="n">
        <v>45375</v>
      </c>
      <c r="L411" s="22" t="n">
        <v>650375</v>
      </c>
      <c r="M411" s="6" t="s">
        <v>94</v>
      </c>
      <c r="N411" s="6" t="s">
        <v>84</v>
      </c>
      <c r="O411" s="6" t="s">
        <v>909</v>
      </c>
      <c r="P411" s="6" t="s">
        <v>85</v>
      </c>
      <c r="Q411" s="6" t="str">
        <f aca="false">IF(P411="pass","No","Yes")</f>
        <v>Yes</v>
      </c>
      <c r="R411" s="6" t="s">
        <v>86</v>
      </c>
      <c r="S411" s="6" t="s">
        <v>909</v>
      </c>
      <c r="T411" s="6" t="s">
        <v>254</v>
      </c>
      <c r="U411" s="23" t="n">
        <v>2.318</v>
      </c>
      <c r="V411" s="6" t="s">
        <v>8029</v>
      </c>
      <c r="W411" s="6" t="s">
        <v>8030</v>
      </c>
      <c r="X411" s="6" t="s">
        <v>8031</v>
      </c>
      <c r="Y411" s="6" t="s">
        <v>86</v>
      </c>
      <c r="Z411" s="6" t="n">
        <v>0</v>
      </c>
      <c r="AA411" s="6" t="n">
        <v>0</v>
      </c>
      <c r="AB411" s="6" t="n">
        <v>0</v>
      </c>
      <c r="AC411" s="6" t="n">
        <v>0</v>
      </c>
      <c r="AD411" s="6" t="n">
        <v>0</v>
      </c>
      <c r="AE411" s="6" t="n">
        <v>0</v>
      </c>
      <c r="AF411" s="6" t="n">
        <v>1</v>
      </c>
      <c r="AG411" s="6" t="n">
        <v>0</v>
      </c>
      <c r="AH411" s="6" t="n">
        <v>0</v>
      </c>
      <c r="AI411" s="6" t="s">
        <v>84</v>
      </c>
    </row>
    <row r="412" customFormat="false" ht="15" hidden="false" customHeight="false" outlineLevel="0" collapsed="false">
      <c r="A412" s="6" t="n">
        <v>411</v>
      </c>
      <c r="B412" s="6" t="s">
        <v>8032</v>
      </c>
      <c r="C412" s="6" t="n">
        <v>9</v>
      </c>
      <c r="D412" s="6" t="s">
        <v>237</v>
      </c>
      <c r="E412" s="6" t="s">
        <v>116</v>
      </c>
      <c r="F412" s="6" t="n">
        <v>4</v>
      </c>
      <c r="G412" s="6" t="n">
        <v>116</v>
      </c>
      <c r="H412" s="6" t="s">
        <v>8033</v>
      </c>
      <c r="I412" s="22" t="n">
        <v>1210400</v>
      </c>
      <c r="J412" s="22" t="n">
        <v>15000</v>
      </c>
      <c r="K412" s="22" t="n">
        <v>91905</v>
      </c>
      <c r="L412" s="22" t="n">
        <v>1317305</v>
      </c>
      <c r="M412" s="6" t="s">
        <v>83</v>
      </c>
      <c r="N412" s="6" t="s">
        <v>84</v>
      </c>
      <c r="O412" s="6" t="s">
        <v>886</v>
      </c>
      <c r="P412" s="6" t="s">
        <v>85</v>
      </c>
      <c r="Q412" s="6" t="str">
        <f aca="false">IF(P412="pass","No","Yes")</f>
        <v>Yes</v>
      </c>
      <c r="R412" s="6" t="s">
        <v>86</v>
      </c>
      <c r="S412" s="6" t="s">
        <v>886</v>
      </c>
      <c r="T412" s="6" t="s">
        <v>488</v>
      </c>
      <c r="U412" s="23" t="n">
        <v>2.599</v>
      </c>
      <c r="V412" s="6" t="s">
        <v>8034</v>
      </c>
      <c r="W412" s="6" t="s">
        <v>8035</v>
      </c>
      <c r="X412" s="6" t="s">
        <v>8036</v>
      </c>
      <c r="Y412" s="6" t="s">
        <v>86</v>
      </c>
      <c r="Z412" s="6" t="n">
        <v>0</v>
      </c>
      <c r="AA412" s="6" t="n">
        <v>0</v>
      </c>
      <c r="AB412" s="6" t="n">
        <v>1</v>
      </c>
      <c r="AC412" s="6" t="n">
        <v>0</v>
      </c>
      <c r="AD412" s="6" t="n">
        <v>0</v>
      </c>
      <c r="AE412" s="6" t="n">
        <v>0</v>
      </c>
      <c r="AF412" s="6" t="n">
        <v>0</v>
      </c>
      <c r="AG412" s="6" t="n">
        <v>0</v>
      </c>
      <c r="AH412" s="6" t="n">
        <v>0</v>
      </c>
      <c r="AI412" s="6" t="s">
        <v>84</v>
      </c>
    </row>
    <row r="413" customFormat="false" ht="15" hidden="false" customHeight="false" outlineLevel="0" collapsed="false">
      <c r="A413" s="6" t="n">
        <v>412</v>
      </c>
      <c r="B413" s="6" t="s">
        <v>8037</v>
      </c>
      <c r="C413" s="6" t="n">
        <v>9</v>
      </c>
      <c r="D413" s="6" t="s">
        <v>77</v>
      </c>
      <c r="E413" s="6" t="s">
        <v>81</v>
      </c>
      <c r="F413" s="6" t="n">
        <v>1</v>
      </c>
      <c r="G413" s="6" t="n">
        <v>80</v>
      </c>
      <c r="H413" s="6" t="s">
        <v>8038</v>
      </c>
      <c r="I413" s="22" t="n">
        <v>760000</v>
      </c>
      <c r="J413" s="22" t="n">
        <v>4000</v>
      </c>
      <c r="K413" s="22" t="n">
        <v>57300</v>
      </c>
      <c r="L413" s="22" t="n">
        <v>821300</v>
      </c>
      <c r="M413" s="6" t="s">
        <v>57</v>
      </c>
      <c r="N413" s="6" t="s">
        <v>58</v>
      </c>
      <c r="O413" s="6"/>
      <c r="P413" s="6" t="s">
        <v>69</v>
      </c>
      <c r="Q413" s="6" t="str">
        <f aca="false">IF(P413="pass","No","Yes")</f>
        <v>No</v>
      </c>
      <c r="R413" s="6" t="s">
        <v>60</v>
      </c>
      <c r="S413" s="6"/>
      <c r="T413" s="6"/>
      <c r="U413" s="23" t="n">
        <v>2.861</v>
      </c>
      <c r="V413" s="6" t="s">
        <v>8039</v>
      </c>
      <c r="W413" s="6" t="s">
        <v>8040</v>
      </c>
      <c r="X413" s="6" t="s">
        <v>8041</v>
      </c>
      <c r="Y413" s="6" t="s">
        <v>60</v>
      </c>
      <c r="Z413" s="6" t="n">
        <v>0</v>
      </c>
      <c r="AA413" s="6" t="n">
        <v>0</v>
      </c>
      <c r="AB413" s="6" t="n">
        <v>0</v>
      </c>
      <c r="AC413" s="6" t="n">
        <v>0</v>
      </c>
      <c r="AD413" s="6" t="n">
        <v>0</v>
      </c>
      <c r="AE413" s="6" t="n">
        <v>0</v>
      </c>
      <c r="AF413" s="6" t="n">
        <v>0</v>
      </c>
      <c r="AG413" s="6" t="n">
        <v>0</v>
      </c>
      <c r="AH413" s="6" t="n">
        <v>0</v>
      </c>
      <c r="AI413" s="6" t="s">
        <v>84</v>
      </c>
    </row>
    <row r="414" customFormat="false" ht="15" hidden="false" customHeight="false" outlineLevel="0" collapsed="false">
      <c r="A414" s="6" t="n">
        <v>413</v>
      </c>
      <c r="B414" s="6" t="s">
        <v>8042</v>
      </c>
      <c r="C414" s="6" t="n">
        <v>9</v>
      </c>
      <c r="D414" s="6" t="s">
        <v>154</v>
      </c>
      <c r="E414" s="6" t="s">
        <v>123</v>
      </c>
      <c r="F414" s="6" t="n">
        <v>2</v>
      </c>
      <c r="G414" s="6" t="n">
        <v>205</v>
      </c>
      <c r="H414" s="6" t="s">
        <v>8043</v>
      </c>
      <c r="I414" s="22" t="n">
        <v>2087800</v>
      </c>
      <c r="J414" s="22" t="n">
        <v>5000</v>
      </c>
      <c r="K414" s="22" t="n">
        <v>156960</v>
      </c>
      <c r="L414" s="22" t="n">
        <v>2249760</v>
      </c>
      <c r="M414" s="6" t="s">
        <v>960</v>
      </c>
      <c r="N414" s="6" t="s">
        <v>84</v>
      </c>
      <c r="O414" s="6" t="s">
        <v>961</v>
      </c>
      <c r="P414" s="6" t="s">
        <v>85</v>
      </c>
      <c r="Q414" s="6" t="str">
        <f aca="false">IF(P414="pass","No","Yes")</f>
        <v>Yes</v>
      </c>
      <c r="R414" s="6" t="s">
        <v>86</v>
      </c>
      <c r="S414" s="6" t="s">
        <v>961</v>
      </c>
      <c r="T414" s="6" t="s">
        <v>962</v>
      </c>
      <c r="U414" s="23" t="n">
        <v>2.321</v>
      </c>
      <c r="V414" s="6" t="s">
        <v>8044</v>
      </c>
      <c r="W414" s="6" t="s">
        <v>8045</v>
      </c>
      <c r="X414" s="6" t="s">
        <v>8046</v>
      </c>
      <c r="Y414" s="6" t="s">
        <v>86</v>
      </c>
      <c r="Z414" s="6" t="n">
        <v>0</v>
      </c>
      <c r="AA414" s="6" t="n">
        <v>0</v>
      </c>
      <c r="AB414" s="6" t="n">
        <v>0</v>
      </c>
      <c r="AC414" s="6" t="n">
        <v>0</v>
      </c>
      <c r="AD414" s="6" t="n">
        <v>1</v>
      </c>
      <c r="AE414" s="6" t="n">
        <v>0</v>
      </c>
      <c r="AF414" s="6" t="n">
        <v>0</v>
      </c>
      <c r="AG414" s="6" t="n">
        <v>0</v>
      </c>
      <c r="AH414" s="6" t="n">
        <v>0</v>
      </c>
      <c r="AI414" s="6" t="s">
        <v>84</v>
      </c>
    </row>
    <row r="415" customFormat="false" ht="15" hidden="false" customHeight="false" outlineLevel="0" collapsed="false">
      <c r="A415" s="6" t="n">
        <v>414</v>
      </c>
      <c r="B415" s="6" t="s">
        <v>8047</v>
      </c>
      <c r="C415" s="6" t="n">
        <v>9</v>
      </c>
      <c r="D415" s="6" t="s">
        <v>70</v>
      </c>
      <c r="E415" s="6" t="s">
        <v>74</v>
      </c>
      <c r="F415" s="6" t="n">
        <v>2</v>
      </c>
      <c r="G415" s="6" t="n">
        <v>116</v>
      </c>
      <c r="H415" s="6" t="s">
        <v>8048</v>
      </c>
      <c r="I415" s="22" t="n">
        <v>1193600</v>
      </c>
      <c r="J415" s="22" t="n">
        <v>9000</v>
      </c>
      <c r="K415" s="22" t="n">
        <v>90195</v>
      </c>
      <c r="L415" s="22" t="n">
        <v>1292795</v>
      </c>
      <c r="M415" s="6" t="s">
        <v>960</v>
      </c>
      <c r="N415" s="6" t="s">
        <v>84</v>
      </c>
      <c r="O415" s="6" t="s">
        <v>961</v>
      </c>
      <c r="P415" s="6" t="s">
        <v>85</v>
      </c>
      <c r="Q415" s="6" t="str">
        <f aca="false">IF(P415="pass","No","Yes")</f>
        <v>Yes</v>
      </c>
      <c r="R415" s="6" t="s">
        <v>86</v>
      </c>
      <c r="S415" s="6" t="s">
        <v>1306</v>
      </c>
      <c r="T415" s="6" t="s">
        <v>8049</v>
      </c>
      <c r="U415" s="23" t="n">
        <v>2.395</v>
      </c>
      <c r="V415" s="6" t="s">
        <v>8050</v>
      </c>
      <c r="W415" s="6" t="s">
        <v>8051</v>
      </c>
      <c r="X415" s="6" t="s">
        <v>8052</v>
      </c>
      <c r="Y415" s="6" t="s">
        <v>86</v>
      </c>
      <c r="Z415" s="6" t="n">
        <v>0</v>
      </c>
      <c r="AA415" s="6" t="n">
        <v>0</v>
      </c>
      <c r="AB415" s="6" t="n">
        <v>0</v>
      </c>
      <c r="AC415" s="6" t="n">
        <v>0</v>
      </c>
      <c r="AD415" s="6" t="n">
        <v>1</v>
      </c>
      <c r="AE415" s="6" t="n">
        <v>0</v>
      </c>
      <c r="AF415" s="6" t="n">
        <v>0</v>
      </c>
      <c r="AG415" s="6" t="n">
        <v>0</v>
      </c>
      <c r="AH415" s="6" t="n">
        <v>1</v>
      </c>
      <c r="AI415" s="6" t="s">
        <v>84</v>
      </c>
    </row>
    <row r="416" customFormat="false" ht="15" hidden="false" customHeight="false" outlineLevel="0" collapsed="false">
      <c r="A416" s="6" t="n">
        <v>415</v>
      </c>
      <c r="B416" s="6" t="s">
        <v>8053</v>
      </c>
      <c r="C416" s="6" t="n">
        <v>9</v>
      </c>
      <c r="D416" s="6" t="s">
        <v>137</v>
      </c>
      <c r="E416" s="6" t="s">
        <v>55</v>
      </c>
      <c r="F416" s="6" t="n">
        <v>3</v>
      </c>
      <c r="G416" s="6" t="n">
        <v>138</v>
      </c>
      <c r="H416" s="6" t="s">
        <v>8054</v>
      </c>
      <c r="I416" s="22" t="n">
        <v>1435500</v>
      </c>
      <c r="J416" s="22" t="n">
        <v>6000</v>
      </c>
      <c r="K416" s="22" t="n">
        <v>108112.5</v>
      </c>
      <c r="L416" s="22" t="n">
        <v>1549612.5</v>
      </c>
      <c r="M416" s="6" t="s">
        <v>57</v>
      </c>
      <c r="N416" s="6" t="s">
        <v>58</v>
      </c>
      <c r="O416" s="6"/>
      <c r="P416" s="6" t="s">
        <v>69</v>
      </c>
      <c r="Q416" s="6" t="str">
        <f aca="false">IF(P416="pass","No","Yes")</f>
        <v>No</v>
      </c>
      <c r="R416" s="6" t="s">
        <v>60</v>
      </c>
      <c r="S416" s="6"/>
      <c r="T416" s="6"/>
      <c r="U416" s="23" t="n">
        <v>3.041</v>
      </c>
      <c r="V416" s="6" t="s">
        <v>8055</v>
      </c>
      <c r="W416" s="6" t="s">
        <v>8056</v>
      </c>
      <c r="X416" s="6" t="s">
        <v>8057</v>
      </c>
      <c r="Y416" s="6" t="s">
        <v>60</v>
      </c>
      <c r="Z416" s="6" t="n">
        <v>0</v>
      </c>
      <c r="AA416" s="6" t="n">
        <v>0</v>
      </c>
      <c r="AB416" s="6" t="n">
        <v>0</v>
      </c>
      <c r="AC416" s="6" t="n">
        <v>0</v>
      </c>
      <c r="AD416" s="6" t="n">
        <v>0</v>
      </c>
      <c r="AE416" s="6" t="n">
        <v>0</v>
      </c>
      <c r="AF416" s="6" t="n">
        <v>0</v>
      </c>
      <c r="AG416" s="6" t="n">
        <v>0</v>
      </c>
      <c r="AH416" s="6" t="n">
        <v>0</v>
      </c>
      <c r="AI416" s="6" t="s">
        <v>84</v>
      </c>
    </row>
    <row r="417" customFormat="false" ht="15" hidden="false" customHeight="false" outlineLevel="0" collapsed="false">
      <c r="A417" s="6" t="n">
        <v>416</v>
      </c>
      <c r="B417" s="6" t="s">
        <v>8058</v>
      </c>
      <c r="C417" s="6" t="n">
        <v>9</v>
      </c>
      <c r="D417" s="6" t="s">
        <v>51</v>
      </c>
      <c r="E417" s="6" t="s">
        <v>55</v>
      </c>
      <c r="F417" s="6" t="n">
        <v>3</v>
      </c>
      <c r="G417" s="6" t="n">
        <v>41</v>
      </c>
      <c r="H417" s="6" t="s">
        <v>8059</v>
      </c>
      <c r="I417" s="22" t="n">
        <v>339700</v>
      </c>
      <c r="J417" s="22" t="n">
        <v>6000</v>
      </c>
      <c r="K417" s="22" t="n">
        <v>25927.5</v>
      </c>
      <c r="L417" s="22" t="n">
        <v>371627.5</v>
      </c>
      <c r="M417" s="6" t="s">
        <v>83</v>
      </c>
      <c r="N417" s="6" t="s">
        <v>84</v>
      </c>
      <c r="O417" s="6" t="s">
        <v>886</v>
      </c>
      <c r="P417" s="6" t="s">
        <v>85</v>
      </c>
      <c r="Q417" s="6" t="str">
        <f aca="false">IF(P417="pass","No","Yes")</f>
        <v>Yes</v>
      </c>
      <c r="R417" s="6" t="s">
        <v>86</v>
      </c>
      <c r="S417" s="6" t="s">
        <v>886</v>
      </c>
      <c r="T417" s="6" t="s">
        <v>88</v>
      </c>
      <c r="U417" s="23" t="n">
        <v>2.349</v>
      </c>
      <c r="V417" s="6" t="s">
        <v>8060</v>
      </c>
      <c r="W417" s="6" t="s">
        <v>8061</v>
      </c>
      <c r="X417" s="6" t="s">
        <v>8062</v>
      </c>
      <c r="Y417" s="6" t="s">
        <v>86</v>
      </c>
      <c r="Z417" s="6" t="n">
        <v>0</v>
      </c>
      <c r="AA417" s="6" t="n">
        <v>0</v>
      </c>
      <c r="AB417" s="6" t="n">
        <v>1</v>
      </c>
      <c r="AC417" s="6" t="n">
        <v>0</v>
      </c>
      <c r="AD417" s="6" t="n">
        <v>0</v>
      </c>
      <c r="AE417" s="6" t="n">
        <v>0</v>
      </c>
      <c r="AF417" s="6" t="n">
        <v>0</v>
      </c>
      <c r="AG417" s="6" t="n">
        <v>0</v>
      </c>
      <c r="AH417" s="6" t="n">
        <v>0</v>
      </c>
      <c r="AI417" s="6" t="s">
        <v>84</v>
      </c>
    </row>
    <row r="418" customFormat="false" ht="15" hidden="false" customHeight="false" outlineLevel="0" collapsed="false">
      <c r="A418" s="6" t="n">
        <v>417</v>
      </c>
      <c r="B418" s="6" t="s">
        <v>8063</v>
      </c>
      <c r="C418" s="6" t="n">
        <v>9</v>
      </c>
      <c r="D418" s="6" t="s">
        <v>177</v>
      </c>
      <c r="E418" s="6" t="s">
        <v>81</v>
      </c>
      <c r="F418" s="6" t="n">
        <v>2</v>
      </c>
      <c r="G418" s="6" t="n">
        <v>72</v>
      </c>
      <c r="H418" s="6" t="s">
        <v>8064</v>
      </c>
      <c r="I418" s="22" t="n">
        <v>772800</v>
      </c>
      <c r="J418" s="22" t="n">
        <v>4000</v>
      </c>
      <c r="K418" s="22" t="n">
        <v>58260</v>
      </c>
      <c r="L418" s="22" t="n">
        <v>835060</v>
      </c>
      <c r="M418" s="6" t="s">
        <v>1042</v>
      </c>
      <c r="N418" s="6" t="s">
        <v>58</v>
      </c>
      <c r="O418" s="6"/>
      <c r="P418" s="6" t="s">
        <v>69</v>
      </c>
      <c r="Q418" s="6" t="str">
        <f aca="false">IF(P418="pass","No","Yes")</f>
        <v>No</v>
      </c>
      <c r="R418" s="6" t="s">
        <v>60</v>
      </c>
      <c r="S418" s="6"/>
      <c r="T418" s="6"/>
      <c r="U418" s="23" t="n">
        <v>3.265</v>
      </c>
      <c r="V418" s="6" t="s">
        <v>8065</v>
      </c>
      <c r="W418" s="6" t="s">
        <v>8066</v>
      </c>
      <c r="X418" s="6" t="s">
        <v>8067</v>
      </c>
      <c r="Y418" s="6" t="s">
        <v>60</v>
      </c>
      <c r="Z418" s="6" t="n">
        <v>0</v>
      </c>
      <c r="AA418" s="6" t="n">
        <v>0</v>
      </c>
      <c r="AB418" s="6" t="n">
        <v>0</v>
      </c>
      <c r="AC418" s="6" t="n">
        <v>0</v>
      </c>
      <c r="AD418" s="6" t="n">
        <v>0</v>
      </c>
      <c r="AE418" s="6" t="n">
        <v>0</v>
      </c>
      <c r="AF418" s="6" t="n">
        <v>0</v>
      </c>
      <c r="AG418" s="6" t="n">
        <v>0</v>
      </c>
      <c r="AH418" s="6" t="n">
        <v>0</v>
      </c>
      <c r="AI418" s="6" t="s">
        <v>84</v>
      </c>
    </row>
    <row r="419" customFormat="false" ht="15" hidden="false" customHeight="false" outlineLevel="0" collapsed="false">
      <c r="A419" s="6" t="n">
        <v>418</v>
      </c>
      <c r="B419" s="6" t="s">
        <v>8068</v>
      </c>
      <c r="C419" s="6" t="n">
        <v>9</v>
      </c>
      <c r="D419" s="6" t="s">
        <v>142</v>
      </c>
      <c r="E419" s="6" t="s">
        <v>74</v>
      </c>
      <c r="F419" s="6" t="n">
        <v>3</v>
      </c>
      <c r="G419" s="6" t="n">
        <v>20</v>
      </c>
      <c r="H419" s="6" t="s">
        <v>8069</v>
      </c>
      <c r="I419" s="22" t="n">
        <v>299200</v>
      </c>
      <c r="J419" s="22" t="n">
        <v>9000</v>
      </c>
      <c r="K419" s="22" t="n">
        <v>23115</v>
      </c>
      <c r="L419" s="22" t="n">
        <v>331315</v>
      </c>
      <c r="M419" s="6" t="s">
        <v>57</v>
      </c>
      <c r="N419" s="6" t="s">
        <v>58</v>
      </c>
      <c r="O419" s="6"/>
      <c r="P419" s="6" t="s">
        <v>69</v>
      </c>
      <c r="Q419" s="6" t="str">
        <f aca="false">IF(P419="pass","No","Yes")</f>
        <v>No</v>
      </c>
      <c r="R419" s="6" t="s">
        <v>60</v>
      </c>
      <c r="S419" s="6"/>
      <c r="T419" s="6"/>
      <c r="U419" s="23" t="n">
        <v>2.675</v>
      </c>
      <c r="V419" s="6" t="s">
        <v>8070</v>
      </c>
      <c r="W419" s="6" t="s">
        <v>8071</v>
      </c>
      <c r="X419" s="6" t="s">
        <v>8072</v>
      </c>
      <c r="Y419" s="6" t="s">
        <v>60</v>
      </c>
      <c r="Z419" s="6" t="n">
        <v>0</v>
      </c>
      <c r="AA419" s="6" t="n">
        <v>0</v>
      </c>
      <c r="AB419" s="6" t="n">
        <v>0</v>
      </c>
      <c r="AC419" s="6" t="n">
        <v>0</v>
      </c>
      <c r="AD419" s="6" t="n">
        <v>0</v>
      </c>
      <c r="AE419" s="6" t="n">
        <v>0</v>
      </c>
      <c r="AF419" s="6" t="n">
        <v>0</v>
      </c>
      <c r="AG419" s="6" t="n">
        <v>0</v>
      </c>
      <c r="AH419" s="6" t="n">
        <v>0</v>
      </c>
      <c r="AI419" s="6" t="s">
        <v>84</v>
      </c>
    </row>
    <row r="420" customFormat="false" ht="15" hidden="false" customHeight="false" outlineLevel="0" collapsed="false">
      <c r="A420" s="6" t="n">
        <v>419</v>
      </c>
      <c r="B420" s="6" t="s">
        <v>8073</v>
      </c>
      <c r="C420" s="6" t="n">
        <v>9</v>
      </c>
      <c r="D420" s="6" t="s">
        <v>127</v>
      </c>
      <c r="E420" s="6" t="s">
        <v>55</v>
      </c>
      <c r="F420" s="6" t="n">
        <v>1</v>
      </c>
      <c r="G420" s="6" t="n">
        <v>24</v>
      </c>
      <c r="H420" s="6" t="s">
        <v>8074</v>
      </c>
      <c r="I420" s="22" t="n">
        <v>348000</v>
      </c>
      <c r="J420" s="22" t="n">
        <v>6000</v>
      </c>
      <c r="K420" s="22" t="n">
        <v>26550</v>
      </c>
      <c r="L420" s="22" t="n">
        <v>380550</v>
      </c>
      <c r="M420" s="6" t="s">
        <v>984</v>
      </c>
      <c r="N420" s="6" t="s">
        <v>84</v>
      </c>
      <c r="O420" s="6" t="s">
        <v>985</v>
      </c>
      <c r="P420" s="6" t="s">
        <v>85</v>
      </c>
      <c r="Q420" s="6" t="str">
        <f aca="false">IF(P420="pass","No","Yes")</f>
        <v>Yes</v>
      </c>
      <c r="R420" s="6" t="s">
        <v>86</v>
      </c>
      <c r="S420" s="6" t="s">
        <v>985</v>
      </c>
      <c r="T420" s="6" t="s">
        <v>2033</v>
      </c>
      <c r="U420" s="23" t="n">
        <v>2.254</v>
      </c>
      <c r="V420" s="6" t="s">
        <v>8075</v>
      </c>
      <c r="W420" s="6" t="s">
        <v>8076</v>
      </c>
      <c r="X420" s="6" t="s">
        <v>8077</v>
      </c>
      <c r="Y420" s="6" t="s">
        <v>86</v>
      </c>
      <c r="Z420" s="6" t="n">
        <v>0</v>
      </c>
      <c r="AA420" s="6" t="n">
        <v>0</v>
      </c>
      <c r="AB420" s="6" t="n">
        <v>0</v>
      </c>
      <c r="AC420" s="6" t="n">
        <v>0</v>
      </c>
      <c r="AD420" s="6" t="n">
        <v>0</v>
      </c>
      <c r="AE420" s="6" t="n">
        <v>1</v>
      </c>
      <c r="AF420" s="6" t="n">
        <v>0</v>
      </c>
      <c r="AG420" s="6" t="n">
        <v>0</v>
      </c>
      <c r="AH420" s="6" t="n">
        <v>0</v>
      </c>
      <c r="AI420" s="6" t="s">
        <v>84</v>
      </c>
    </row>
    <row r="421" customFormat="false" ht="15" hidden="false" customHeight="false" outlineLevel="0" collapsed="false">
      <c r="A421" s="6" t="n">
        <v>420</v>
      </c>
      <c r="B421" s="6" t="s">
        <v>8078</v>
      </c>
      <c r="C421" s="6" t="n">
        <v>9</v>
      </c>
      <c r="D421" s="6" t="s">
        <v>137</v>
      </c>
      <c r="E421" s="6" t="s">
        <v>55</v>
      </c>
      <c r="F421" s="6" t="n">
        <v>2</v>
      </c>
      <c r="G421" s="6" t="n">
        <v>5</v>
      </c>
      <c r="H421" s="6" t="s">
        <v>8079</v>
      </c>
      <c r="I421" s="22" t="n">
        <v>190000</v>
      </c>
      <c r="J421" s="22" t="n">
        <v>6000</v>
      </c>
      <c r="K421" s="22" t="n">
        <v>14700</v>
      </c>
      <c r="L421" s="22" t="n">
        <v>210700</v>
      </c>
      <c r="M421" s="6" t="s">
        <v>152</v>
      </c>
      <c r="N421" s="6" t="s">
        <v>84</v>
      </c>
      <c r="O421" s="6" t="s">
        <v>886</v>
      </c>
      <c r="P421" s="6" t="s">
        <v>85</v>
      </c>
      <c r="Q421" s="6" t="str">
        <f aca="false">IF(P421="pass","No","Yes")</f>
        <v>Yes</v>
      </c>
      <c r="R421" s="6" t="s">
        <v>86</v>
      </c>
      <c r="S421" s="6" t="s">
        <v>886</v>
      </c>
      <c r="T421" s="6" t="s">
        <v>418</v>
      </c>
      <c r="U421" s="23" t="n">
        <v>2.246</v>
      </c>
      <c r="V421" s="6" t="s">
        <v>8080</v>
      </c>
      <c r="W421" s="6" t="s">
        <v>8081</v>
      </c>
      <c r="X421" s="6" t="s">
        <v>8082</v>
      </c>
      <c r="Y421" s="6" t="s">
        <v>86</v>
      </c>
      <c r="Z421" s="6" t="n">
        <v>0</v>
      </c>
      <c r="AA421" s="6" t="n">
        <v>0</v>
      </c>
      <c r="AB421" s="6" t="n">
        <v>1</v>
      </c>
      <c r="AC421" s="6" t="n">
        <v>0</v>
      </c>
      <c r="AD421" s="6" t="n">
        <v>0</v>
      </c>
      <c r="AE421" s="6" t="n">
        <v>0</v>
      </c>
      <c r="AF421" s="6" t="n">
        <v>0</v>
      </c>
      <c r="AG421" s="6" t="n">
        <v>0</v>
      </c>
      <c r="AH421" s="6" t="n">
        <v>0</v>
      </c>
      <c r="AI421" s="6" t="s">
        <v>84</v>
      </c>
    </row>
    <row r="422" customFormat="false" ht="15" hidden="false" customHeight="false" outlineLevel="0" collapsed="false">
      <c r="A422" s="6" t="n">
        <v>421</v>
      </c>
      <c r="B422" s="6" t="s">
        <v>8083</v>
      </c>
      <c r="C422" s="6" t="n">
        <v>9</v>
      </c>
      <c r="D422" s="6" t="s">
        <v>166</v>
      </c>
      <c r="E422" s="6" t="s">
        <v>74</v>
      </c>
      <c r="F422" s="6" t="n">
        <v>2</v>
      </c>
      <c r="G422" s="6" t="n">
        <v>7</v>
      </c>
      <c r="H422" s="6" t="s">
        <v>8084</v>
      </c>
      <c r="I422" s="22" t="n">
        <v>266000</v>
      </c>
      <c r="J422" s="22" t="n">
        <v>9000</v>
      </c>
      <c r="K422" s="22" t="n">
        <v>20625</v>
      </c>
      <c r="L422" s="22" t="n">
        <v>295625</v>
      </c>
      <c r="M422" s="6" t="s">
        <v>57</v>
      </c>
      <c r="N422" s="6" t="s">
        <v>58</v>
      </c>
      <c r="O422" s="6"/>
      <c r="P422" s="6" t="s">
        <v>69</v>
      </c>
      <c r="Q422" s="6" t="str">
        <f aca="false">IF(P422="pass","No","Yes")</f>
        <v>No</v>
      </c>
      <c r="R422" s="6" t="s">
        <v>60</v>
      </c>
      <c r="S422" s="6"/>
      <c r="T422" s="6"/>
      <c r="U422" s="23" t="n">
        <v>2.606</v>
      </c>
      <c r="V422" s="6" t="s">
        <v>8085</v>
      </c>
      <c r="W422" s="6" t="s">
        <v>8086</v>
      </c>
      <c r="X422" s="6" t="s">
        <v>8087</v>
      </c>
      <c r="Y422" s="6" t="s">
        <v>60</v>
      </c>
      <c r="Z422" s="6" t="n">
        <v>0</v>
      </c>
      <c r="AA422" s="6" t="n">
        <v>0</v>
      </c>
      <c r="AB422" s="6" t="n">
        <v>0</v>
      </c>
      <c r="AC422" s="6" t="n">
        <v>0</v>
      </c>
      <c r="AD422" s="6" t="n">
        <v>0</v>
      </c>
      <c r="AE422" s="6" t="n">
        <v>0</v>
      </c>
      <c r="AF422" s="6" t="n">
        <v>0</v>
      </c>
      <c r="AG422" s="6" t="n">
        <v>0</v>
      </c>
      <c r="AH422" s="6" t="n">
        <v>0</v>
      </c>
      <c r="AI422" s="6" t="s">
        <v>84</v>
      </c>
    </row>
    <row r="423" customFormat="false" ht="15" hidden="false" customHeight="false" outlineLevel="0" collapsed="false">
      <c r="A423" s="6" t="n">
        <v>422</v>
      </c>
      <c r="B423" s="6" t="s">
        <v>8088</v>
      </c>
      <c r="C423" s="6" t="n">
        <v>9</v>
      </c>
      <c r="D423" s="6" t="s">
        <v>112</v>
      </c>
      <c r="E423" s="6" t="s">
        <v>116</v>
      </c>
      <c r="F423" s="6" t="n">
        <v>1</v>
      </c>
      <c r="G423" s="6" t="n">
        <v>39</v>
      </c>
      <c r="H423" s="6" t="s">
        <v>7398</v>
      </c>
      <c r="I423" s="22" t="n">
        <v>335400</v>
      </c>
      <c r="J423" s="22" t="n">
        <v>15000</v>
      </c>
      <c r="K423" s="22" t="n">
        <v>26280</v>
      </c>
      <c r="L423" s="22" t="n">
        <v>376680</v>
      </c>
      <c r="M423" s="6" t="s">
        <v>57</v>
      </c>
      <c r="N423" s="6" t="s">
        <v>58</v>
      </c>
      <c r="O423" s="6"/>
      <c r="P423" s="6" t="s">
        <v>69</v>
      </c>
      <c r="Q423" s="6" t="str">
        <f aca="false">IF(P423="pass","No","Yes")</f>
        <v>No</v>
      </c>
      <c r="R423" s="6" t="s">
        <v>60</v>
      </c>
      <c r="S423" s="6"/>
      <c r="T423" s="6"/>
      <c r="U423" s="23" t="n">
        <v>2.84</v>
      </c>
      <c r="V423" s="6" t="s">
        <v>8089</v>
      </c>
      <c r="W423" s="6" t="s">
        <v>8090</v>
      </c>
      <c r="X423" s="6" t="s">
        <v>8091</v>
      </c>
      <c r="Y423" s="6" t="s">
        <v>60</v>
      </c>
      <c r="Z423" s="6" t="n">
        <v>0</v>
      </c>
      <c r="AA423" s="6" t="n">
        <v>0</v>
      </c>
      <c r="AB423" s="6" t="n">
        <v>0</v>
      </c>
      <c r="AC423" s="6" t="n">
        <v>0</v>
      </c>
      <c r="AD423" s="6" t="n">
        <v>0</v>
      </c>
      <c r="AE423" s="6" t="n">
        <v>0</v>
      </c>
      <c r="AF423" s="6" t="n">
        <v>0</v>
      </c>
      <c r="AG423" s="6" t="n">
        <v>0</v>
      </c>
      <c r="AH423" s="6" t="n">
        <v>0</v>
      </c>
      <c r="AI423" s="6" t="s">
        <v>84</v>
      </c>
    </row>
    <row r="424" customFormat="false" ht="15" hidden="false" customHeight="false" outlineLevel="0" collapsed="false">
      <c r="A424" s="6" t="n">
        <v>423</v>
      </c>
      <c r="B424" s="6" t="s">
        <v>8092</v>
      </c>
      <c r="C424" s="6" t="n">
        <v>9</v>
      </c>
      <c r="D424" s="6" t="s">
        <v>237</v>
      </c>
      <c r="E424" s="6" t="s">
        <v>116</v>
      </c>
      <c r="F424" s="6" t="n">
        <v>1</v>
      </c>
      <c r="G424" s="6" t="n">
        <v>6</v>
      </c>
      <c r="H424" s="6" t="s">
        <v>4827</v>
      </c>
      <c r="I424" s="22" t="n">
        <v>228000</v>
      </c>
      <c r="J424" s="22" t="n">
        <v>15000</v>
      </c>
      <c r="K424" s="22" t="n">
        <v>18225</v>
      </c>
      <c r="L424" s="22" t="n">
        <v>261225</v>
      </c>
      <c r="M424" s="6" t="s">
        <v>57</v>
      </c>
      <c r="N424" s="6" t="s">
        <v>58</v>
      </c>
      <c r="O424" s="6"/>
      <c r="P424" s="6" t="s">
        <v>69</v>
      </c>
      <c r="Q424" s="6" t="str">
        <f aca="false">IF(P424="pass","No","Yes")</f>
        <v>No</v>
      </c>
      <c r="R424" s="6" t="s">
        <v>60</v>
      </c>
      <c r="S424" s="6"/>
      <c r="T424" s="6"/>
      <c r="U424" s="23" t="n">
        <v>2.812</v>
      </c>
      <c r="V424" s="6" t="s">
        <v>8093</v>
      </c>
      <c r="W424" s="6" t="s">
        <v>8094</v>
      </c>
      <c r="X424" s="6" t="s">
        <v>8095</v>
      </c>
      <c r="Y424" s="6" t="s">
        <v>60</v>
      </c>
      <c r="Z424" s="6" t="n">
        <v>0</v>
      </c>
      <c r="AA424" s="6" t="n">
        <v>0</v>
      </c>
      <c r="AB424" s="6" t="n">
        <v>0</v>
      </c>
      <c r="AC424" s="6" t="n">
        <v>0</v>
      </c>
      <c r="AD424" s="6" t="n">
        <v>0</v>
      </c>
      <c r="AE424" s="6" t="n">
        <v>0</v>
      </c>
      <c r="AF424" s="6" t="n">
        <v>0</v>
      </c>
      <c r="AG424" s="6" t="n">
        <v>0</v>
      </c>
      <c r="AH424" s="6" t="n">
        <v>0</v>
      </c>
      <c r="AI424" s="6" t="s">
        <v>84</v>
      </c>
    </row>
    <row r="425" customFormat="false" ht="15" hidden="false" customHeight="false" outlineLevel="0" collapsed="false">
      <c r="A425" s="6" t="n">
        <v>424</v>
      </c>
      <c r="B425" s="6" t="s">
        <v>8096</v>
      </c>
      <c r="C425" s="6" t="n">
        <v>9</v>
      </c>
      <c r="D425" s="6" t="s">
        <v>237</v>
      </c>
      <c r="E425" s="6" t="s">
        <v>116</v>
      </c>
      <c r="F425" s="6" t="n">
        <v>1</v>
      </c>
      <c r="G425" s="6" t="n">
        <v>6</v>
      </c>
      <c r="H425" s="6" t="s">
        <v>4827</v>
      </c>
      <c r="I425" s="22" t="n">
        <v>228000</v>
      </c>
      <c r="J425" s="22" t="n">
        <v>15000</v>
      </c>
      <c r="K425" s="22" t="n">
        <v>18225</v>
      </c>
      <c r="L425" s="22" t="n">
        <v>261225</v>
      </c>
      <c r="M425" s="6" t="s">
        <v>97</v>
      </c>
      <c r="N425" s="6" t="s">
        <v>84</v>
      </c>
      <c r="O425" s="6" t="s">
        <v>1185</v>
      </c>
      <c r="P425" s="6" t="s">
        <v>59</v>
      </c>
      <c r="Q425" s="6" t="str">
        <f aca="false">IF(P425="pass","No","Yes")</f>
        <v>Yes</v>
      </c>
      <c r="R425" s="6" t="s">
        <v>98</v>
      </c>
      <c r="S425" s="6" t="s">
        <v>1185</v>
      </c>
      <c r="T425" s="6" t="s">
        <v>8097</v>
      </c>
      <c r="U425" s="23" t="n">
        <v>1.514</v>
      </c>
      <c r="V425" s="6" t="s">
        <v>8098</v>
      </c>
      <c r="W425" s="6"/>
      <c r="X425" s="6" t="s">
        <v>8098</v>
      </c>
      <c r="Y425" s="6" t="s">
        <v>98</v>
      </c>
      <c r="Z425" s="6" t="n">
        <v>0</v>
      </c>
      <c r="AA425" s="6" t="n">
        <v>0</v>
      </c>
      <c r="AB425" s="6" t="n">
        <v>0</v>
      </c>
      <c r="AC425" s="6" t="n">
        <v>0</v>
      </c>
      <c r="AD425" s="6" t="n">
        <v>0</v>
      </c>
      <c r="AE425" s="6" t="n">
        <v>0</v>
      </c>
      <c r="AF425" s="6" t="n">
        <v>0</v>
      </c>
      <c r="AG425" s="6" t="n">
        <v>1</v>
      </c>
      <c r="AH425" s="6" t="n">
        <v>0</v>
      </c>
      <c r="AI425" s="6" t="s">
        <v>84</v>
      </c>
    </row>
    <row r="426" customFormat="false" ht="15" hidden="false" customHeight="false" outlineLevel="0" collapsed="false">
      <c r="A426" s="6" t="n">
        <v>425</v>
      </c>
      <c r="B426" s="6" t="s">
        <v>8099</v>
      </c>
      <c r="C426" s="6" t="n">
        <v>9</v>
      </c>
      <c r="D426" s="6" t="s">
        <v>198</v>
      </c>
      <c r="E426" s="6" t="s">
        <v>146</v>
      </c>
      <c r="F426" s="6" t="n">
        <v>1</v>
      </c>
      <c r="G426" s="6" t="n">
        <v>72</v>
      </c>
      <c r="H426" s="6" t="s">
        <v>5268</v>
      </c>
      <c r="I426" s="22" t="n">
        <v>1044000</v>
      </c>
      <c r="J426" s="22" t="n">
        <v>0</v>
      </c>
      <c r="K426" s="22" t="n">
        <v>78300</v>
      </c>
      <c r="L426" s="22" t="n">
        <v>1122300</v>
      </c>
      <c r="M426" s="6" t="s">
        <v>148</v>
      </c>
      <c r="N426" s="6" t="s">
        <v>84</v>
      </c>
      <c r="O426" s="6" t="s">
        <v>866</v>
      </c>
      <c r="P426" s="6" t="s">
        <v>85</v>
      </c>
      <c r="Q426" s="6" t="str">
        <f aca="false">IF(P426="pass","No","Yes")</f>
        <v>Yes</v>
      </c>
      <c r="R426" s="6" t="s">
        <v>86</v>
      </c>
      <c r="S426" s="6" t="s">
        <v>866</v>
      </c>
      <c r="T426" s="6" t="s">
        <v>150</v>
      </c>
      <c r="U426" s="23" t="n">
        <v>2.337</v>
      </c>
      <c r="V426" s="6" t="s">
        <v>8100</v>
      </c>
      <c r="W426" s="6" t="s">
        <v>8101</v>
      </c>
      <c r="X426" s="6" t="s">
        <v>8102</v>
      </c>
      <c r="Y426" s="6" t="s">
        <v>86</v>
      </c>
      <c r="Z426" s="6" t="n">
        <v>1</v>
      </c>
      <c r="AA426" s="6" t="n">
        <v>0</v>
      </c>
      <c r="AB426" s="6" t="n">
        <v>0</v>
      </c>
      <c r="AC426" s="6" t="n">
        <v>0</v>
      </c>
      <c r="AD426" s="6" t="n">
        <v>0</v>
      </c>
      <c r="AE426" s="6" t="n">
        <v>0</v>
      </c>
      <c r="AF426" s="6" t="n">
        <v>0</v>
      </c>
      <c r="AG426" s="6" t="n">
        <v>0</v>
      </c>
      <c r="AH426" s="6" t="n">
        <v>0</v>
      </c>
      <c r="AI426" s="6" t="s">
        <v>84</v>
      </c>
    </row>
    <row r="427" customFormat="false" ht="15" hidden="false" customHeight="false" outlineLevel="0" collapsed="false">
      <c r="A427" s="6" t="n">
        <v>426</v>
      </c>
      <c r="B427" s="6" t="s">
        <v>8103</v>
      </c>
      <c r="C427" s="6" t="n">
        <v>9</v>
      </c>
      <c r="D427" s="6" t="s">
        <v>186</v>
      </c>
      <c r="E427" s="6" t="s">
        <v>123</v>
      </c>
      <c r="F427" s="6" t="n">
        <v>1</v>
      </c>
      <c r="G427" s="6" t="n">
        <v>140</v>
      </c>
      <c r="H427" s="6" t="s">
        <v>8104</v>
      </c>
      <c r="I427" s="22" t="n">
        <v>1008000</v>
      </c>
      <c r="J427" s="22" t="n">
        <v>5000</v>
      </c>
      <c r="K427" s="22" t="n">
        <v>75975</v>
      </c>
      <c r="L427" s="22" t="n">
        <v>1088975</v>
      </c>
      <c r="M427" s="6" t="s">
        <v>94</v>
      </c>
      <c r="N427" s="6" t="s">
        <v>84</v>
      </c>
      <c r="O427" s="6" t="s">
        <v>909</v>
      </c>
      <c r="P427" s="6" t="s">
        <v>85</v>
      </c>
      <c r="Q427" s="6" t="str">
        <f aca="false">IF(P427="pass","No","Yes")</f>
        <v>Yes</v>
      </c>
      <c r="R427" s="6" t="s">
        <v>86</v>
      </c>
      <c r="S427" s="6" t="s">
        <v>1544</v>
      </c>
      <c r="T427" s="6" t="s">
        <v>8105</v>
      </c>
      <c r="U427" s="23" t="n">
        <v>2.366</v>
      </c>
      <c r="V427" s="6" t="s">
        <v>8106</v>
      </c>
      <c r="W427" s="6" t="s">
        <v>8107</v>
      </c>
      <c r="X427" s="6" t="s">
        <v>8108</v>
      </c>
      <c r="Y427" s="6" t="s">
        <v>86</v>
      </c>
      <c r="Z427" s="6" t="n">
        <v>0</v>
      </c>
      <c r="AA427" s="6" t="n">
        <v>0</v>
      </c>
      <c r="AB427" s="6" t="n">
        <v>0</v>
      </c>
      <c r="AC427" s="6" t="n">
        <v>0</v>
      </c>
      <c r="AD427" s="6" t="n">
        <v>0</v>
      </c>
      <c r="AE427" s="6" t="n">
        <v>0</v>
      </c>
      <c r="AF427" s="6" t="n">
        <v>1</v>
      </c>
      <c r="AG427" s="6" t="n">
        <v>0</v>
      </c>
      <c r="AH427" s="6" t="n">
        <v>1</v>
      </c>
      <c r="AI427" s="6" t="s">
        <v>84</v>
      </c>
    </row>
    <row r="428" customFormat="false" ht="15" hidden="false" customHeight="false" outlineLevel="0" collapsed="false">
      <c r="A428" s="6" t="n">
        <v>427</v>
      </c>
      <c r="B428" s="6" t="s">
        <v>8109</v>
      </c>
      <c r="C428" s="6" t="n">
        <v>9</v>
      </c>
      <c r="D428" s="6" t="s">
        <v>63</v>
      </c>
      <c r="E428" s="6" t="s">
        <v>67</v>
      </c>
      <c r="F428" s="6" t="n">
        <v>3</v>
      </c>
      <c r="G428" s="6" t="n">
        <v>86</v>
      </c>
      <c r="H428" s="6" t="s">
        <v>8110</v>
      </c>
      <c r="I428" s="22" t="n">
        <v>1350800</v>
      </c>
      <c r="J428" s="22" t="n">
        <v>4500</v>
      </c>
      <c r="K428" s="22" t="n">
        <v>101647.5</v>
      </c>
      <c r="L428" s="22" t="n">
        <v>1456947.5</v>
      </c>
      <c r="M428" s="6" t="s">
        <v>1042</v>
      </c>
      <c r="N428" s="6" t="s">
        <v>58</v>
      </c>
      <c r="O428" s="6"/>
      <c r="P428" s="6" t="s">
        <v>69</v>
      </c>
      <c r="Q428" s="6" t="str">
        <f aca="false">IF(P428="pass","No","Yes")</f>
        <v>No</v>
      </c>
      <c r="R428" s="6" t="s">
        <v>60</v>
      </c>
      <c r="S428" s="6"/>
      <c r="T428" s="6"/>
      <c r="U428" s="23" t="n">
        <v>2.736</v>
      </c>
      <c r="V428" s="6" t="s">
        <v>8111</v>
      </c>
      <c r="W428" s="6" t="s">
        <v>8112</v>
      </c>
      <c r="X428" s="6" t="s">
        <v>8113</v>
      </c>
      <c r="Y428" s="6" t="s">
        <v>60</v>
      </c>
      <c r="Z428" s="6" t="n">
        <v>0</v>
      </c>
      <c r="AA428" s="6" t="n">
        <v>0</v>
      </c>
      <c r="AB428" s="6" t="n">
        <v>0</v>
      </c>
      <c r="AC428" s="6" t="n">
        <v>0</v>
      </c>
      <c r="AD428" s="6" t="n">
        <v>0</v>
      </c>
      <c r="AE428" s="6" t="n">
        <v>0</v>
      </c>
      <c r="AF428" s="6" t="n">
        <v>0</v>
      </c>
      <c r="AG428" s="6" t="n">
        <v>0</v>
      </c>
      <c r="AH428" s="6" t="n">
        <v>0</v>
      </c>
      <c r="AI428" s="6" t="s">
        <v>84</v>
      </c>
    </row>
    <row r="429" customFormat="false" ht="15" hidden="false" customHeight="false" outlineLevel="0" collapsed="false">
      <c r="A429" s="6" t="n">
        <v>428</v>
      </c>
      <c r="B429" s="6" t="s">
        <v>8114</v>
      </c>
      <c r="C429" s="6" t="n">
        <v>9</v>
      </c>
      <c r="D429" s="6" t="s">
        <v>105</v>
      </c>
      <c r="E429" s="6" t="s">
        <v>81</v>
      </c>
      <c r="F429" s="6" t="n">
        <v>3</v>
      </c>
      <c r="G429" s="6" t="n">
        <v>126</v>
      </c>
      <c r="H429" s="6" t="s">
        <v>8115</v>
      </c>
      <c r="I429" s="22" t="n">
        <v>1121800</v>
      </c>
      <c r="J429" s="22" t="n">
        <v>4000</v>
      </c>
      <c r="K429" s="22" t="n">
        <v>84435</v>
      </c>
      <c r="L429" s="22" t="n">
        <v>1210235</v>
      </c>
      <c r="M429" s="6" t="s">
        <v>57</v>
      </c>
      <c r="N429" s="6" t="s">
        <v>58</v>
      </c>
      <c r="O429" s="6"/>
      <c r="P429" s="6" t="s">
        <v>69</v>
      </c>
      <c r="Q429" s="6" t="str">
        <f aca="false">IF(P429="pass","No","Yes")</f>
        <v>No</v>
      </c>
      <c r="R429" s="6" t="s">
        <v>60</v>
      </c>
      <c r="S429" s="6"/>
      <c r="T429" s="6"/>
      <c r="U429" s="23" t="n">
        <v>2.857</v>
      </c>
      <c r="V429" s="6" t="s">
        <v>8116</v>
      </c>
      <c r="W429" s="6" t="s">
        <v>8117</v>
      </c>
      <c r="X429" s="6" t="s">
        <v>8118</v>
      </c>
      <c r="Y429" s="6" t="s">
        <v>60</v>
      </c>
      <c r="Z429" s="6" t="n">
        <v>0</v>
      </c>
      <c r="AA429" s="6" t="n">
        <v>0</v>
      </c>
      <c r="AB429" s="6" t="n">
        <v>0</v>
      </c>
      <c r="AC429" s="6" t="n">
        <v>0</v>
      </c>
      <c r="AD429" s="6" t="n">
        <v>0</v>
      </c>
      <c r="AE429" s="6" t="n">
        <v>0</v>
      </c>
      <c r="AF429" s="6" t="n">
        <v>0</v>
      </c>
      <c r="AG429" s="6" t="n">
        <v>0</v>
      </c>
      <c r="AH429" s="6" t="n">
        <v>0</v>
      </c>
      <c r="AI429" s="6" t="s">
        <v>84</v>
      </c>
    </row>
    <row r="430" customFormat="false" ht="15" hidden="false" customHeight="false" outlineLevel="0" collapsed="false">
      <c r="A430" s="6" t="n">
        <v>429</v>
      </c>
      <c r="B430" s="6" t="s">
        <v>8119</v>
      </c>
      <c r="C430" s="6" t="n">
        <v>9</v>
      </c>
      <c r="D430" s="6" t="s">
        <v>112</v>
      </c>
      <c r="E430" s="6" t="s">
        <v>116</v>
      </c>
      <c r="F430" s="6" t="n">
        <v>1</v>
      </c>
      <c r="G430" s="6" t="n">
        <v>5</v>
      </c>
      <c r="H430" s="6" t="s">
        <v>2079</v>
      </c>
      <c r="I430" s="22" t="n">
        <v>190000</v>
      </c>
      <c r="J430" s="22" t="n">
        <v>15000</v>
      </c>
      <c r="K430" s="22" t="n">
        <v>15375</v>
      </c>
      <c r="L430" s="22" t="n">
        <v>220375</v>
      </c>
      <c r="M430" s="6" t="s">
        <v>57</v>
      </c>
      <c r="N430" s="6" t="s">
        <v>58</v>
      </c>
      <c r="O430" s="6"/>
      <c r="P430" s="6" t="s">
        <v>69</v>
      </c>
      <c r="Q430" s="6" t="str">
        <f aca="false">IF(P430="pass","No","Yes")</f>
        <v>No</v>
      </c>
      <c r="R430" s="6" t="s">
        <v>60</v>
      </c>
      <c r="S430" s="6"/>
      <c r="T430" s="6"/>
      <c r="U430" s="23" t="n">
        <v>2.76</v>
      </c>
      <c r="V430" s="6" t="s">
        <v>8120</v>
      </c>
      <c r="W430" s="6" t="s">
        <v>8121</v>
      </c>
      <c r="X430" s="6" t="s">
        <v>8122</v>
      </c>
      <c r="Y430" s="6" t="s">
        <v>60</v>
      </c>
      <c r="Z430" s="6" t="n">
        <v>0</v>
      </c>
      <c r="AA430" s="6" t="n">
        <v>0</v>
      </c>
      <c r="AB430" s="6" t="n">
        <v>0</v>
      </c>
      <c r="AC430" s="6" t="n">
        <v>0</v>
      </c>
      <c r="AD430" s="6" t="n">
        <v>0</v>
      </c>
      <c r="AE430" s="6" t="n">
        <v>0</v>
      </c>
      <c r="AF430" s="6" t="n">
        <v>0</v>
      </c>
      <c r="AG430" s="6" t="n">
        <v>0</v>
      </c>
      <c r="AH430" s="6" t="n">
        <v>0</v>
      </c>
      <c r="AI430" s="6" t="s">
        <v>84</v>
      </c>
    </row>
    <row r="431" customFormat="false" ht="15" hidden="false" customHeight="false" outlineLevel="0" collapsed="false">
      <c r="A431" s="6" t="n">
        <v>430</v>
      </c>
      <c r="B431" s="6" t="s">
        <v>8123</v>
      </c>
      <c r="C431" s="6" t="n">
        <v>9</v>
      </c>
      <c r="D431" s="6" t="s">
        <v>77</v>
      </c>
      <c r="E431" s="6" t="s">
        <v>81</v>
      </c>
      <c r="F431" s="6" t="n">
        <v>2</v>
      </c>
      <c r="G431" s="6" t="n">
        <v>8</v>
      </c>
      <c r="H431" s="6" t="s">
        <v>2920</v>
      </c>
      <c r="I431" s="22" t="n">
        <v>320200</v>
      </c>
      <c r="J431" s="22" t="n">
        <v>4000</v>
      </c>
      <c r="K431" s="22" t="n">
        <v>24315</v>
      </c>
      <c r="L431" s="22" t="n">
        <v>348515</v>
      </c>
      <c r="M431" s="6" t="s">
        <v>57</v>
      </c>
      <c r="N431" s="6" t="s">
        <v>58</v>
      </c>
      <c r="O431" s="6"/>
      <c r="P431" s="6" t="s">
        <v>69</v>
      </c>
      <c r="Q431" s="6" t="str">
        <f aca="false">IF(P431="pass","No","Yes")</f>
        <v>No</v>
      </c>
      <c r="R431" s="6" t="s">
        <v>60</v>
      </c>
      <c r="S431" s="6"/>
      <c r="T431" s="6"/>
      <c r="U431" s="23" t="n">
        <v>3.427</v>
      </c>
      <c r="V431" s="6" t="s">
        <v>8124</v>
      </c>
      <c r="W431" s="6" t="s">
        <v>8125</v>
      </c>
      <c r="X431" s="6" t="s">
        <v>8126</v>
      </c>
      <c r="Y431" s="6" t="s">
        <v>60</v>
      </c>
      <c r="Z431" s="6" t="n">
        <v>0</v>
      </c>
      <c r="AA431" s="6" t="n">
        <v>0</v>
      </c>
      <c r="AB431" s="6" t="n">
        <v>0</v>
      </c>
      <c r="AC431" s="6" t="n">
        <v>0</v>
      </c>
      <c r="AD431" s="6" t="n">
        <v>0</v>
      </c>
      <c r="AE431" s="6" t="n">
        <v>0</v>
      </c>
      <c r="AF431" s="6" t="n">
        <v>0</v>
      </c>
      <c r="AG431" s="6" t="n">
        <v>0</v>
      </c>
      <c r="AH431" s="6" t="n">
        <v>0</v>
      </c>
      <c r="AI431" s="6" t="s">
        <v>84</v>
      </c>
    </row>
    <row r="432" customFormat="false" ht="15" hidden="false" customHeight="false" outlineLevel="0" collapsed="false">
      <c r="A432" s="6" t="n">
        <v>431</v>
      </c>
      <c r="B432" s="6" t="s">
        <v>8127</v>
      </c>
      <c r="C432" s="6" t="n">
        <v>9</v>
      </c>
      <c r="D432" s="6" t="s">
        <v>237</v>
      </c>
      <c r="E432" s="6" t="s">
        <v>146</v>
      </c>
      <c r="F432" s="6" t="n">
        <v>2</v>
      </c>
      <c r="G432" s="6" t="n">
        <v>39</v>
      </c>
      <c r="H432" s="6" t="s">
        <v>8128</v>
      </c>
      <c r="I432" s="22" t="n">
        <v>506000</v>
      </c>
      <c r="J432" s="22" t="n">
        <v>0</v>
      </c>
      <c r="K432" s="22" t="n">
        <v>37950</v>
      </c>
      <c r="L432" s="22" t="n">
        <v>543950</v>
      </c>
      <c r="M432" s="6" t="s">
        <v>148</v>
      </c>
      <c r="N432" s="6" t="s">
        <v>84</v>
      </c>
      <c r="O432" s="6" t="s">
        <v>866</v>
      </c>
      <c r="P432" s="6" t="s">
        <v>85</v>
      </c>
      <c r="Q432" s="6" t="str">
        <f aca="false">IF(P432="pass","No","Yes")</f>
        <v>Yes</v>
      </c>
      <c r="R432" s="6" t="s">
        <v>86</v>
      </c>
      <c r="S432" s="6" t="s">
        <v>866</v>
      </c>
      <c r="T432" s="6" t="s">
        <v>150</v>
      </c>
      <c r="U432" s="23" t="n">
        <v>2.207</v>
      </c>
      <c r="V432" s="6" t="s">
        <v>8129</v>
      </c>
      <c r="W432" s="6" t="s">
        <v>8130</v>
      </c>
      <c r="X432" s="6" t="s">
        <v>8131</v>
      </c>
      <c r="Y432" s="6" t="s">
        <v>86</v>
      </c>
      <c r="Z432" s="6" t="n">
        <v>1</v>
      </c>
      <c r="AA432" s="6" t="n">
        <v>0</v>
      </c>
      <c r="AB432" s="6" t="n">
        <v>0</v>
      </c>
      <c r="AC432" s="6" t="n">
        <v>0</v>
      </c>
      <c r="AD432" s="6" t="n">
        <v>0</v>
      </c>
      <c r="AE432" s="6" t="n">
        <v>0</v>
      </c>
      <c r="AF432" s="6" t="n">
        <v>0</v>
      </c>
      <c r="AG432" s="6" t="n">
        <v>0</v>
      </c>
      <c r="AH432" s="6" t="n">
        <v>0</v>
      </c>
      <c r="AI432" s="6" t="s">
        <v>84</v>
      </c>
    </row>
    <row r="433" customFormat="false" ht="15" hidden="false" customHeight="false" outlineLevel="0" collapsed="false">
      <c r="A433" s="6" t="n">
        <v>432</v>
      </c>
      <c r="B433" s="6" t="s">
        <v>8132</v>
      </c>
      <c r="C433" s="6" t="n">
        <v>9</v>
      </c>
      <c r="D433" s="6" t="s">
        <v>112</v>
      </c>
      <c r="E433" s="6" t="s">
        <v>116</v>
      </c>
      <c r="F433" s="6" t="n">
        <v>4</v>
      </c>
      <c r="G433" s="6" t="n">
        <v>34</v>
      </c>
      <c r="H433" s="6" t="s">
        <v>8133</v>
      </c>
      <c r="I433" s="22" t="n">
        <v>1196800</v>
      </c>
      <c r="J433" s="22" t="n">
        <v>15000</v>
      </c>
      <c r="K433" s="22" t="n">
        <v>90885</v>
      </c>
      <c r="L433" s="22" t="n">
        <v>1302685</v>
      </c>
      <c r="M433" s="6" t="s">
        <v>83</v>
      </c>
      <c r="N433" s="6" t="s">
        <v>84</v>
      </c>
      <c r="O433" s="6" t="s">
        <v>886</v>
      </c>
      <c r="P433" s="6" t="s">
        <v>85</v>
      </c>
      <c r="Q433" s="6" t="str">
        <f aca="false">IF(P433="pass","No","Yes")</f>
        <v>Yes</v>
      </c>
      <c r="R433" s="6" t="s">
        <v>86</v>
      </c>
      <c r="S433" s="6" t="s">
        <v>886</v>
      </c>
      <c r="T433" s="6" t="s">
        <v>488</v>
      </c>
      <c r="U433" s="23" t="n">
        <v>2.547</v>
      </c>
      <c r="V433" s="6" t="s">
        <v>8134</v>
      </c>
      <c r="W433" s="6" t="s">
        <v>8135</v>
      </c>
      <c r="X433" s="6" t="s">
        <v>8136</v>
      </c>
      <c r="Y433" s="6" t="s">
        <v>86</v>
      </c>
      <c r="Z433" s="6" t="n">
        <v>0</v>
      </c>
      <c r="AA433" s="6" t="n">
        <v>0</v>
      </c>
      <c r="AB433" s="6" t="n">
        <v>1</v>
      </c>
      <c r="AC433" s="6" t="n">
        <v>0</v>
      </c>
      <c r="AD433" s="6" t="n">
        <v>0</v>
      </c>
      <c r="AE433" s="6" t="n">
        <v>0</v>
      </c>
      <c r="AF433" s="6" t="n">
        <v>0</v>
      </c>
      <c r="AG433" s="6" t="n">
        <v>0</v>
      </c>
      <c r="AH433" s="6" t="n">
        <v>0</v>
      </c>
      <c r="AI433" s="6" t="s">
        <v>84</v>
      </c>
    </row>
    <row r="434" customFormat="false" ht="15" hidden="false" customHeight="false" outlineLevel="0" collapsed="false">
      <c r="A434" s="6" t="n">
        <v>433</v>
      </c>
      <c r="B434" s="6" t="s">
        <v>8137</v>
      </c>
      <c r="C434" s="6" t="n">
        <v>9</v>
      </c>
      <c r="D434" s="6" t="s">
        <v>186</v>
      </c>
      <c r="E434" s="6" t="s">
        <v>123</v>
      </c>
      <c r="F434" s="6" t="n">
        <v>1</v>
      </c>
      <c r="G434" s="6" t="n">
        <v>22</v>
      </c>
      <c r="H434" s="6" t="s">
        <v>8138</v>
      </c>
      <c r="I434" s="22" t="n">
        <v>189200</v>
      </c>
      <c r="J434" s="22" t="n">
        <v>5000</v>
      </c>
      <c r="K434" s="22" t="n">
        <v>14565</v>
      </c>
      <c r="L434" s="22" t="n">
        <v>208765</v>
      </c>
      <c r="M434" s="6" t="s">
        <v>1042</v>
      </c>
      <c r="N434" s="6" t="s">
        <v>58</v>
      </c>
      <c r="O434" s="6"/>
      <c r="P434" s="6" t="s">
        <v>69</v>
      </c>
      <c r="Q434" s="6" t="str">
        <f aca="false">IF(P434="pass","No","Yes")</f>
        <v>No</v>
      </c>
      <c r="R434" s="6" t="s">
        <v>60</v>
      </c>
      <c r="S434" s="6"/>
      <c r="T434" s="6"/>
      <c r="U434" s="23" t="n">
        <v>2.671</v>
      </c>
      <c r="V434" s="6" t="s">
        <v>8139</v>
      </c>
      <c r="W434" s="6" t="s">
        <v>8140</v>
      </c>
      <c r="X434" s="6" t="s">
        <v>8141</v>
      </c>
      <c r="Y434" s="6" t="s">
        <v>60</v>
      </c>
      <c r="Z434" s="6" t="n">
        <v>0</v>
      </c>
      <c r="AA434" s="6" t="n">
        <v>0</v>
      </c>
      <c r="AB434" s="6" t="n">
        <v>0</v>
      </c>
      <c r="AC434" s="6" t="n">
        <v>0</v>
      </c>
      <c r="AD434" s="6" t="n">
        <v>0</v>
      </c>
      <c r="AE434" s="6" t="n">
        <v>0</v>
      </c>
      <c r="AF434" s="6" t="n">
        <v>0</v>
      </c>
      <c r="AG434" s="6" t="n">
        <v>0</v>
      </c>
      <c r="AH434" s="6" t="n">
        <v>0</v>
      </c>
      <c r="AI434" s="6" t="s">
        <v>84</v>
      </c>
    </row>
    <row r="435" customFormat="false" ht="15" hidden="false" customHeight="false" outlineLevel="0" collapsed="false">
      <c r="A435" s="6" t="n">
        <v>434</v>
      </c>
      <c r="B435" s="6" t="s">
        <v>8142</v>
      </c>
      <c r="C435" s="6" t="n">
        <v>9</v>
      </c>
      <c r="D435" s="6" t="s">
        <v>51</v>
      </c>
      <c r="E435" s="6" t="s">
        <v>55</v>
      </c>
      <c r="F435" s="6" t="n">
        <v>3</v>
      </c>
      <c r="G435" s="6" t="n">
        <v>89</v>
      </c>
      <c r="H435" s="6" t="s">
        <v>8143</v>
      </c>
      <c r="I435" s="22" t="n">
        <v>1204000</v>
      </c>
      <c r="J435" s="22" t="n">
        <v>6000</v>
      </c>
      <c r="K435" s="22" t="n">
        <v>90750</v>
      </c>
      <c r="L435" s="22" t="n">
        <v>1300750</v>
      </c>
      <c r="M435" s="6" t="s">
        <v>57</v>
      </c>
      <c r="N435" s="6" t="s">
        <v>58</v>
      </c>
      <c r="O435" s="6"/>
      <c r="P435" s="6" t="s">
        <v>69</v>
      </c>
      <c r="Q435" s="6" t="str">
        <f aca="false">IF(P435="pass","No","Yes")</f>
        <v>No</v>
      </c>
      <c r="R435" s="6" t="s">
        <v>60</v>
      </c>
      <c r="S435" s="6"/>
      <c r="T435" s="6"/>
      <c r="U435" s="23" t="n">
        <v>2.759</v>
      </c>
      <c r="V435" s="6" t="s">
        <v>8144</v>
      </c>
      <c r="W435" s="6" t="s">
        <v>8145</v>
      </c>
      <c r="X435" s="6" t="s">
        <v>8146</v>
      </c>
      <c r="Y435" s="6" t="s">
        <v>60</v>
      </c>
      <c r="Z435" s="6" t="n">
        <v>0</v>
      </c>
      <c r="AA435" s="6" t="n">
        <v>0</v>
      </c>
      <c r="AB435" s="6" t="n">
        <v>0</v>
      </c>
      <c r="AC435" s="6" t="n">
        <v>0</v>
      </c>
      <c r="AD435" s="6" t="n">
        <v>0</v>
      </c>
      <c r="AE435" s="6" t="n">
        <v>0</v>
      </c>
      <c r="AF435" s="6" t="n">
        <v>0</v>
      </c>
      <c r="AG435" s="6" t="n">
        <v>0</v>
      </c>
      <c r="AH435" s="6" t="n">
        <v>0</v>
      </c>
      <c r="AI435" s="6" t="s">
        <v>84</v>
      </c>
    </row>
    <row r="436" customFormat="false" ht="15" hidden="false" customHeight="false" outlineLevel="0" collapsed="false">
      <c r="A436" s="6" t="n">
        <v>435</v>
      </c>
      <c r="B436" s="6" t="s">
        <v>8147</v>
      </c>
      <c r="C436" s="6" t="n">
        <v>9</v>
      </c>
      <c r="D436" s="6" t="s">
        <v>137</v>
      </c>
      <c r="E436" s="6" t="s">
        <v>55</v>
      </c>
      <c r="F436" s="6" t="n">
        <v>2</v>
      </c>
      <c r="G436" s="6" t="n">
        <v>180</v>
      </c>
      <c r="H436" s="6" t="s">
        <v>8148</v>
      </c>
      <c r="I436" s="22" t="n">
        <v>1699200</v>
      </c>
      <c r="J436" s="22" t="n">
        <v>6000</v>
      </c>
      <c r="K436" s="22" t="n">
        <v>127890</v>
      </c>
      <c r="L436" s="22" t="n">
        <v>1833090</v>
      </c>
      <c r="M436" s="6" t="s">
        <v>1042</v>
      </c>
      <c r="N436" s="6" t="s">
        <v>58</v>
      </c>
      <c r="O436" s="6"/>
      <c r="P436" s="6" t="s">
        <v>69</v>
      </c>
      <c r="Q436" s="6" t="str">
        <f aca="false">IF(P436="pass","No","Yes")</f>
        <v>No</v>
      </c>
      <c r="R436" s="6" t="s">
        <v>60</v>
      </c>
      <c r="S436" s="6"/>
      <c r="T436" s="6"/>
      <c r="U436" s="23" t="n">
        <v>2.864</v>
      </c>
      <c r="V436" s="6" t="s">
        <v>8149</v>
      </c>
      <c r="W436" s="6" t="s">
        <v>8150</v>
      </c>
      <c r="X436" s="6" t="s">
        <v>8151</v>
      </c>
      <c r="Y436" s="6" t="s">
        <v>60</v>
      </c>
      <c r="Z436" s="6" t="n">
        <v>0</v>
      </c>
      <c r="AA436" s="6" t="n">
        <v>0</v>
      </c>
      <c r="AB436" s="6" t="n">
        <v>0</v>
      </c>
      <c r="AC436" s="6" t="n">
        <v>0</v>
      </c>
      <c r="AD436" s="6" t="n">
        <v>0</v>
      </c>
      <c r="AE436" s="6" t="n">
        <v>0</v>
      </c>
      <c r="AF436" s="6" t="n">
        <v>0</v>
      </c>
      <c r="AG436" s="6" t="n">
        <v>0</v>
      </c>
      <c r="AH436" s="6" t="n">
        <v>0</v>
      </c>
      <c r="AI436" s="6" t="s">
        <v>84</v>
      </c>
    </row>
    <row r="437" customFormat="false" ht="15" hidden="false" customHeight="false" outlineLevel="0" collapsed="false">
      <c r="A437" s="6" t="n">
        <v>436</v>
      </c>
      <c r="B437" s="6" t="s">
        <v>8152</v>
      </c>
      <c r="C437" s="6" t="n">
        <v>9</v>
      </c>
      <c r="D437" s="6" t="s">
        <v>191</v>
      </c>
      <c r="E437" s="6" t="s">
        <v>116</v>
      </c>
      <c r="F437" s="6" t="n">
        <v>4</v>
      </c>
      <c r="G437" s="6" t="n">
        <v>77</v>
      </c>
      <c r="H437" s="6" t="s">
        <v>8153</v>
      </c>
      <c r="I437" s="22" t="n">
        <v>1494500</v>
      </c>
      <c r="J437" s="22" t="n">
        <v>15000</v>
      </c>
      <c r="K437" s="22" t="n">
        <v>113212.5</v>
      </c>
      <c r="L437" s="22" t="n">
        <v>1622712.5</v>
      </c>
      <c r="M437" s="6" t="s">
        <v>152</v>
      </c>
      <c r="N437" s="6" t="s">
        <v>84</v>
      </c>
      <c r="O437" s="6" t="s">
        <v>886</v>
      </c>
      <c r="P437" s="6" t="s">
        <v>85</v>
      </c>
      <c r="Q437" s="6" t="str">
        <f aca="false">IF(P437="pass","No","Yes")</f>
        <v>Yes</v>
      </c>
      <c r="R437" s="6" t="s">
        <v>86</v>
      </c>
      <c r="S437" s="6" t="s">
        <v>886</v>
      </c>
      <c r="T437" s="6" t="s">
        <v>264</v>
      </c>
      <c r="U437" s="23" t="n">
        <v>2.383</v>
      </c>
      <c r="V437" s="6" t="s">
        <v>8154</v>
      </c>
      <c r="W437" s="6" t="s">
        <v>8155</v>
      </c>
      <c r="X437" s="6" t="s">
        <v>8156</v>
      </c>
      <c r="Y437" s="6" t="s">
        <v>86</v>
      </c>
      <c r="Z437" s="6" t="n">
        <v>0</v>
      </c>
      <c r="AA437" s="6" t="n">
        <v>0</v>
      </c>
      <c r="AB437" s="6" t="n">
        <v>1</v>
      </c>
      <c r="AC437" s="6" t="n">
        <v>0</v>
      </c>
      <c r="AD437" s="6" t="n">
        <v>0</v>
      </c>
      <c r="AE437" s="6" t="n">
        <v>0</v>
      </c>
      <c r="AF437" s="6" t="n">
        <v>0</v>
      </c>
      <c r="AG437" s="6" t="n">
        <v>0</v>
      </c>
      <c r="AH437" s="6" t="n">
        <v>0</v>
      </c>
      <c r="AI437" s="6" t="s">
        <v>84</v>
      </c>
    </row>
    <row r="438" customFormat="false" ht="15" hidden="false" customHeight="false" outlineLevel="0" collapsed="false">
      <c r="A438" s="6" t="n">
        <v>437</v>
      </c>
      <c r="B438" s="6" t="s">
        <v>8157</v>
      </c>
      <c r="C438" s="6" t="n">
        <v>9</v>
      </c>
      <c r="D438" s="6" t="s">
        <v>137</v>
      </c>
      <c r="E438" s="6" t="s">
        <v>55</v>
      </c>
      <c r="F438" s="6" t="n">
        <v>2</v>
      </c>
      <c r="G438" s="6" t="n">
        <v>34</v>
      </c>
      <c r="H438" s="6" t="s">
        <v>8158</v>
      </c>
      <c r="I438" s="22" t="n">
        <v>593200</v>
      </c>
      <c r="J438" s="22" t="n">
        <v>6000</v>
      </c>
      <c r="K438" s="22" t="n">
        <v>44940</v>
      </c>
      <c r="L438" s="22" t="n">
        <v>644140</v>
      </c>
      <c r="M438" s="6" t="s">
        <v>224</v>
      </c>
      <c r="N438" s="6" t="s">
        <v>84</v>
      </c>
      <c r="O438" s="6" t="s">
        <v>866</v>
      </c>
      <c r="P438" s="6" t="s">
        <v>85</v>
      </c>
      <c r="Q438" s="6" t="str">
        <f aca="false">IF(P438="pass","No","Yes")</f>
        <v>Yes</v>
      </c>
      <c r="R438" s="6" t="s">
        <v>86</v>
      </c>
      <c r="S438" s="6" t="s">
        <v>872</v>
      </c>
      <c r="T438" s="6" t="s">
        <v>8159</v>
      </c>
      <c r="U438" s="23" t="n">
        <v>2.474</v>
      </c>
      <c r="V438" s="6" t="s">
        <v>8160</v>
      </c>
      <c r="W438" s="6" t="s">
        <v>8161</v>
      </c>
      <c r="X438" s="6" t="s">
        <v>8162</v>
      </c>
      <c r="Y438" s="6" t="s">
        <v>86</v>
      </c>
      <c r="Z438" s="6" t="n">
        <v>1</v>
      </c>
      <c r="AA438" s="6" t="n">
        <v>0</v>
      </c>
      <c r="AB438" s="6" t="n">
        <v>0</v>
      </c>
      <c r="AC438" s="6" t="n">
        <v>0</v>
      </c>
      <c r="AD438" s="6" t="n">
        <v>0</v>
      </c>
      <c r="AE438" s="6" t="n">
        <v>0</v>
      </c>
      <c r="AF438" s="6" t="n">
        <v>0</v>
      </c>
      <c r="AG438" s="6" t="n">
        <v>0</v>
      </c>
      <c r="AH438" s="6" t="n">
        <v>1</v>
      </c>
      <c r="AI438" s="6" t="s">
        <v>58</v>
      </c>
    </row>
    <row r="439" customFormat="false" ht="15" hidden="false" customHeight="false" outlineLevel="0" collapsed="false">
      <c r="A439" s="6" t="n">
        <v>438</v>
      </c>
      <c r="B439" s="6" t="s">
        <v>8163</v>
      </c>
      <c r="C439" s="6" t="n">
        <v>9</v>
      </c>
      <c r="D439" s="6" t="s">
        <v>105</v>
      </c>
      <c r="E439" s="6" t="s">
        <v>81</v>
      </c>
      <c r="F439" s="6" t="n">
        <v>3</v>
      </c>
      <c r="G439" s="6" t="n">
        <v>50</v>
      </c>
      <c r="H439" s="6" t="s">
        <v>8164</v>
      </c>
      <c r="I439" s="22" t="n">
        <v>481000</v>
      </c>
      <c r="J439" s="22" t="n">
        <v>4000</v>
      </c>
      <c r="K439" s="22" t="n">
        <v>36375</v>
      </c>
      <c r="L439" s="22" t="n">
        <v>521375</v>
      </c>
      <c r="M439" s="6" t="s">
        <v>1009</v>
      </c>
      <c r="N439" s="6" t="s">
        <v>58</v>
      </c>
      <c r="O439" s="6"/>
      <c r="P439" s="6" t="s">
        <v>69</v>
      </c>
      <c r="Q439" s="6" t="str">
        <f aca="false">IF(P439="pass","No","Yes")</f>
        <v>No</v>
      </c>
      <c r="R439" s="6" t="s">
        <v>60</v>
      </c>
      <c r="S439" s="6"/>
      <c r="T439" s="6"/>
      <c r="U439" s="23" t="n">
        <v>2.996</v>
      </c>
      <c r="V439" s="6" t="s">
        <v>8165</v>
      </c>
      <c r="W439" s="6" t="s">
        <v>8166</v>
      </c>
      <c r="X439" s="6" t="s">
        <v>8167</v>
      </c>
      <c r="Y439" s="6" t="s">
        <v>60</v>
      </c>
      <c r="Z439" s="6" t="n">
        <v>0</v>
      </c>
      <c r="AA439" s="6" t="n">
        <v>0</v>
      </c>
      <c r="AB439" s="6" t="n">
        <v>0</v>
      </c>
      <c r="AC439" s="6" t="n">
        <v>0</v>
      </c>
      <c r="AD439" s="6" t="n">
        <v>0</v>
      </c>
      <c r="AE439" s="6" t="n">
        <v>0</v>
      </c>
      <c r="AF439" s="6" t="n">
        <v>0</v>
      </c>
      <c r="AG439" s="6" t="n">
        <v>0</v>
      </c>
      <c r="AH439" s="6" t="n">
        <v>0</v>
      </c>
      <c r="AI439" s="6" t="s">
        <v>84</v>
      </c>
    </row>
    <row r="440" customFormat="false" ht="15" hidden="false" customHeight="false" outlineLevel="0" collapsed="false">
      <c r="A440" s="6" t="n">
        <v>439</v>
      </c>
      <c r="B440" s="6" t="s">
        <v>8168</v>
      </c>
      <c r="C440" s="6" t="n">
        <v>9</v>
      </c>
      <c r="D440" s="6" t="s">
        <v>51</v>
      </c>
      <c r="E440" s="6" t="s">
        <v>55</v>
      </c>
      <c r="F440" s="6" t="n">
        <v>3</v>
      </c>
      <c r="G440" s="6" t="n">
        <v>89</v>
      </c>
      <c r="H440" s="6" t="s">
        <v>8143</v>
      </c>
      <c r="I440" s="22" t="n">
        <v>1204000</v>
      </c>
      <c r="J440" s="22" t="n">
        <v>6000</v>
      </c>
      <c r="K440" s="22" t="n">
        <v>90750</v>
      </c>
      <c r="L440" s="22" t="n">
        <v>1300750</v>
      </c>
      <c r="M440" s="6" t="s">
        <v>97</v>
      </c>
      <c r="N440" s="6" t="s">
        <v>84</v>
      </c>
      <c r="O440" s="6" t="s">
        <v>1185</v>
      </c>
      <c r="P440" s="6" t="s">
        <v>59</v>
      </c>
      <c r="Q440" s="6" t="str">
        <f aca="false">IF(P440="pass","No","Yes")</f>
        <v>Yes</v>
      </c>
      <c r="R440" s="6" t="s">
        <v>98</v>
      </c>
      <c r="S440" s="6" t="s">
        <v>1185</v>
      </c>
      <c r="T440" s="6" t="s">
        <v>8169</v>
      </c>
      <c r="U440" s="23" t="n">
        <v>1.562</v>
      </c>
      <c r="V440" s="6" t="s">
        <v>8170</v>
      </c>
      <c r="W440" s="6"/>
      <c r="X440" s="6" t="s">
        <v>8170</v>
      </c>
      <c r="Y440" s="6" t="s">
        <v>98</v>
      </c>
      <c r="Z440" s="6" t="n">
        <v>0</v>
      </c>
      <c r="AA440" s="6" t="n">
        <v>0</v>
      </c>
      <c r="AB440" s="6" t="n">
        <v>0</v>
      </c>
      <c r="AC440" s="6" t="n">
        <v>0</v>
      </c>
      <c r="AD440" s="6" t="n">
        <v>0</v>
      </c>
      <c r="AE440" s="6" t="n">
        <v>0</v>
      </c>
      <c r="AF440" s="6" t="n">
        <v>0</v>
      </c>
      <c r="AG440" s="6" t="n">
        <v>1</v>
      </c>
      <c r="AH440" s="6" t="n">
        <v>0</v>
      </c>
      <c r="AI440" s="6" t="s">
        <v>84</v>
      </c>
    </row>
    <row r="441" customFormat="false" ht="15" hidden="false" customHeight="false" outlineLevel="0" collapsed="false">
      <c r="A441" s="6" t="n">
        <v>440</v>
      </c>
      <c r="B441" s="6" t="s">
        <v>8171</v>
      </c>
      <c r="C441" s="6" t="n">
        <v>9</v>
      </c>
      <c r="D441" s="6" t="s">
        <v>119</v>
      </c>
      <c r="E441" s="6" t="s">
        <v>123</v>
      </c>
      <c r="F441" s="6" t="n">
        <v>2</v>
      </c>
      <c r="G441" s="6" t="n">
        <v>8</v>
      </c>
      <c r="H441" s="6" t="s">
        <v>8172</v>
      </c>
      <c r="I441" s="22" t="n">
        <v>248000</v>
      </c>
      <c r="J441" s="22" t="n">
        <v>5000</v>
      </c>
      <c r="K441" s="22" t="n">
        <v>18975</v>
      </c>
      <c r="L441" s="22" t="n">
        <v>271975</v>
      </c>
      <c r="M441" s="6" t="s">
        <v>272</v>
      </c>
      <c r="N441" s="6" t="s">
        <v>84</v>
      </c>
      <c r="O441" s="6" t="s">
        <v>879</v>
      </c>
      <c r="P441" s="6" t="s">
        <v>85</v>
      </c>
      <c r="Q441" s="6" t="str">
        <f aca="false">IF(P441="pass","No","Yes")</f>
        <v>Yes</v>
      </c>
      <c r="R441" s="6" t="s">
        <v>86</v>
      </c>
      <c r="S441" s="6" t="s">
        <v>879</v>
      </c>
      <c r="T441" s="6" t="s">
        <v>8173</v>
      </c>
      <c r="U441" s="23" t="n">
        <v>2.219</v>
      </c>
      <c r="V441" s="6" t="s">
        <v>8174</v>
      </c>
      <c r="W441" s="6" t="s">
        <v>8175</v>
      </c>
      <c r="X441" s="6" t="s">
        <v>8176</v>
      </c>
      <c r="Y441" s="6" t="s">
        <v>86</v>
      </c>
      <c r="Z441" s="6" t="n">
        <v>0</v>
      </c>
      <c r="AA441" s="6" t="n">
        <v>1</v>
      </c>
      <c r="AB441" s="6" t="n">
        <v>0</v>
      </c>
      <c r="AC441" s="6" t="n">
        <v>0</v>
      </c>
      <c r="AD441" s="6" t="n">
        <v>0</v>
      </c>
      <c r="AE441" s="6" t="n">
        <v>0</v>
      </c>
      <c r="AF441" s="6" t="n">
        <v>0</v>
      </c>
      <c r="AG441" s="6" t="n">
        <v>0</v>
      </c>
      <c r="AH441" s="6" t="n">
        <v>0</v>
      </c>
      <c r="AI441" s="6" t="s">
        <v>84</v>
      </c>
    </row>
    <row r="442" customFormat="false" ht="15" hidden="false" customHeight="false" outlineLevel="0" collapsed="false">
      <c r="A442" s="6" t="n">
        <v>441</v>
      </c>
      <c r="B442" s="6" t="s">
        <v>8177</v>
      </c>
      <c r="C442" s="6" t="n">
        <v>9</v>
      </c>
      <c r="D442" s="6" t="s">
        <v>51</v>
      </c>
      <c r="E442" s="6" t="s">
        <v>55</v>
      </c>
      <c r="F442" s="6" t="n">
        <v>3</v>
      </c>
      <c r="G442" s="6" t="n">
        <v>89</v>
      </c>
      <c r="H442" s="6" t="s">
        <v>8143</v>
      </c>
      <c r="I442" s="22" t="n">
        <v>1204000</v>
      </c>
      <c r="J442" s="22" t="n">
        <v>6000</v>
      </c>
      <c r="K442" s="22" t="n">
        <v>90750</v>
      </c>
      <c r="L442" s="22" t="n">
        <v>1300750</v>
      </c>
      <c r="M442" s="6" t="s">
        <v>97</v>
      </c>
      <c r="N442" s="6" t="s">
        <v>84</v>
      </c>
      <c r="O442" s="6" t="s">
        <v>1185</v>
      </c>
      <c r="P442" s="6" t="s">
        <v>59</v>
      </c>
      <c r="Q442" s="6" t="str">
        <f aca="false">IF(P442="pass","No","Yes")</f>
        <v>Yes</v>
      </c>
      <c r="R442" s="6" t="s">
        <v>98</v>
      </c>
      <c r="S442" s="6" t="s">
        <v>1185</v>
      </c>
      <c r="T442" s="6" t="s">
        <v>8169</v>
      </c>
      <c r="U442" s="23" t="n">
        <v>1.596</v>
      </c>
      <c r="V442" s="6" t="s">
        <v>8178</v>
      </c>
      <c r="W442" s="6"/>
      <c r="X442" s="6" t="s">
        <v>8178</v>
      </c>
      <c r="Y442" s="6" t="s">
        <v>98</v>
      </c>
      <c r="Z442" s="6" t="n">
        <v>0</v>
      </c>
      <c r="AA442" s="6" t="n">
        <v>0</v>
      </c>
      <c r="AB442" s="6" t="n">
        <v>0</v>
      </c>
      <c r="AC442" s="6" t="n">
        <v>0</v>
      </c>
      <c r="AD442" s="6" t="n">
        <v>0</v>
      </c>
      <c r="AE442" s="6" t="n">
        <v>0</v>
      </c>
      <c r="AF442" s="6" t="n">
        <v>0</v>
      </c>
      <c r="AG442" s="6" t="n">
        <v>1</v>
      </c>
      <c r="AH442" s="6" t="n">
        <v>0</v>
      </c>
      <c r="AI442" s="6" t="s">
        <v>84</v>
      </c>
    </row>
    <row r="443" customFormat="false" ht="15" hidden="false" customHeight="false" outlineLevel="0" collapsed="false">
      <c r="A443" s="6" t="n">
        <v>442</v>
      </c>
      <c r="B443" s="6" t="s">
        <v>8179</v>
      </c>
      <c r="C443" s="6" t="n">
        <v>9</v>
      </c>
      <c r="D443" s="6" t="s">
        <v>77</v>
      </c>
      <c r="E443" s="6" t="s">
        <v>81</v>
      </c>
      <c r="F443" s="6" t="n">
        <v>2</v>
      </c>
      <c r="G443" s="6" t="n">
        <v>22</v>
      </c>
      <c r="H443" s="6" t="s">
        <v>8180</v>
      </c>
      <c r="I443" s="22" t="n">
        <v>864000</v>
      </c>
      <c r="J443" s="22" t="n">
        <v>4000</v>
      </c>
      <c r="K443" s="22" t="n">
        <v>65100</v>
      </c>
      <c r="L443" s="22" t="n">
        <v>933100</v>
      </c>
      <c r="M443" s="6" t="s">
        <v>960</v>
      </c>
      <c r="N443" s="6" t="s">
        <v>84</v>
      </c>
      <c r="O443" s="6" t="s">
        <v>961</v>
      </c>
      <c r="P443" s="6" t="s">
        <v>85</v>
      </c>
      <c r="Q443" s="6" t="str">
        <f aca="false">IF(P443="pass","No","Yes")</f>
        <v>Yes</v>
      </c>
      <c r="R443" s="6" t="s">
        <v>86</v>
      </c>
      <c r="S443" s="6" t="s">
        <v>961</v>
      </c>
      <c r="T443" s="6" t="s">
        <v>962</v>
      </c>
      <c r="U443" s="23" t="n">
        <v>2.339</v>
      </c>
      <c r="V443" s="6" t="s">
        <v>8181</v>
      </c>
      <c r="W443" s="6" t="s">
        <v>8182</v>
      </c>
      <c r="X443" s="6" t="s">
        <v>8183</v>
      </c>
      <c r="Y443" s="6" t="s">
        <v>86</v>
      </c>
      <c r="Z443" s="6" t="n">
        <v>0</v>
      </c>
      <c r="AA443" s="6" t="n">
        <v>0</v>
      </c>
      <c r="AB443" s="6" t="n">
        <v>0</v>
      </c>
      <c r="AC443" s="6" t="n">
        <v>0</v>
      </c>
      <c r="AD443" s="6" t="n">
        <v>1</v>
      </c>
      <c r="AE443" s="6" t="n">
        <v>0</v>
      </c>
      <c r="AF443" s="6" t="n">
        <v>0</v>
      </c>
      <c r="AG443" s="6" t="n">
        <v>0</v>
      </c>
      <c r="AH443" s="6" t="n">
        <v>0</v>
      </c>
      <c r="AI443" s="6" t="s">
        <v>84</v>
      </c>
    </row>
    <row r="444" customFormat="false" ht="15" hidden="false" customHeight="false" outlineLevel="0" collapsed="false">
      <c r="A444" s="6" t="n">
        <v>443</v>
      </c>
      <c r="B444" s="6" t="s">
        <v>8184</v>
      </c>
      <c r="C444" s="6" t="n">
        <v>9</v>
      </c>
      <c r="D444" s="6" t="s">
        <v>237</v>
      </c>
      <c r="E444" s="6" t="s">
        <v>116</v>
      </c>
      <c r="F444" s="6" t="n">
        <v>4</v>
      </c>
      <c r="G444" s="6" t="n">
        <v>230</v>
      </c>
      <c r="H444" s="6" t="s">
        <v>8185</v>
      </c>
      <c r="I444" s="22" t="n">
        <v>2519200</v>
      </c>
      <c r="J444" s="22" t="n">
        <v>15000</v>
      </c>
      <c r="K444" s="22" t="n">
        <v>190065</v>
      </c>
      <c r="L444" s="22" t="n">
        <v>2724265</v>
      </c>
      <c r="M444" s="6" t="s">
        <v>927</v>
      </c>
      <c r="N444" s="6" t="s">
        <v>58</v>
      </c>
      <c r="O444" s="6"/>
      <c r="P444" s="6" t="s">
        <v>59</v>
      </c>
      <c r="Q444" s="6" t="str">
        <f aca="false">IF(P444="pass","No","Yes")</f>
        <v>Yes</v>
      </c>
      <c r="R444" s="6" t="s">
        <v>60</v>
      </c>
      <c r="S444" s="6" t="s">
        <v>915</v>
      </c>
      <c r="T444" s="6" t="s">
        <v>8186</v>
      </c>
      <c r="U444" s="23" t="n">
        <v>2.859</v>
      </c>
      <c r="V444" s="6" t="s">
        <v>8187</v>
      </c>
      <c r="W444" s="6" t="s">
        <v>8188</v>
      </c>
      <c r="X444" s="6" t="s">
        <v>8189</v>
      </c>
      <c r="Y444" s="6" t="s">
        <v>60</v>
      </c>
      <c r="Z444" s="6" t="n">
        <v>0</v>
      </c>
      <c r="AA444" s="6" t="n">
        <v>0</v>
      </c>
      <c r="AB444" s="6" t="n">
        <v>0</v>
      </c>
      <c r="AC444" s="6" t="n">
        <v>0</v>
      </c>
      <c r="AD444" s="6" t="n">
        <v>0</v>
      </c>
      <c r="AE444" s="6" t="n">
        <v>0</v>
      </c>
      <c r="AF444" s="6" t="n">
        <v>0</v>
      </c>
      <c r="AG444" s="6" t="n">
        <v>0</v>
      </c>
      <c r="AH444" s="6" t="n">
        <v>1</v>
      </c>
      <c r="AI444" s="6" t="s">
        <v>84</v>
      </c>
    </row>
    <row r="445" customFormat="false" ht="15" hidden="false" customHeight="false" outlineLevel="0" collapsed="false">
      <c r="A445" s="6" t="n">
        <v>444</v>
      </c>
      <c r="B445" s="6" t="s">
        <v>8190</v>
      </c>
      <c r="C445" s="6" t="n">
        <v>9</v>
      </c>
      <c r="D445" s="6" t="s">
        <v>198</v>
      </c>
      <c r="E445" s="6" t="s">
        <v>81</v>
      </c>
      <c r="F445" s="6" t="n">
        <v>3</v>
      </c>
      <c r="G445" s="6" t="n">
        <v>89</v>
      </c>
      <c r="H445" s="6" t="s">
        <v>8191</v>
      </c>
      <c r="I445" s="22" t="n">
        <v>1253700</v>
      </c>
      <c r="J445" s="22" t="n">
        <v>4000</v>
      </c>
      <c r="K445" s="22" t="n">
        <v>94327.5</v>
      </c>
      <c r="L445" s="22" t="n">
        <v>1352027.5</v>
      </c>
      <c r="M445" s="6" t="s">
        <v>57</v>
      </c>
      <c r="N445" s="6" t="s">
        <v>58</v>
      </c>
      <c r="O445" s="6"/>
      <c r="P445" s="6" t="s">
        <v>69</v>
      </c>
      <c r="Q445" s="6" t="str">
        <f aca="false">IF(P445="pass","No","Yes")</f>
        <v>No</v>
      </c>
      <c r="R445" s="6" t="s">
        <v>60</v>
      </c>
      <c r="S445" s="6"/>
      <c r="T445" s="6"/>
      <c r="U445" s="23" t="n">
        <v>3.011</v>
      </c>
      <c r="V445" s="6" t="s">
        <v>8192</v>
      </c>
      <c r="W445" s="6" t="s">
        <v>8193</v>
      </c>
      <c r="X445" s="6" t="s">
        <v>8194</v>
      </c>
      <c r="Y445" s="6" t="s">
        <v>60</v>
      </c>
      <c r="Z445" s="6" t="n">
        <v>0</v>
      </c>
      <c r="AA445" s="6" t="n">
        <v>0</v>
      </c>
      <c r="AB445" s="6" t="n">
        <v>0</v>
      </c>
      <c r="AC445" s="6" t="n">
        <v>0</v>
      </c>
      <c r="AD445" s="6" t="n">
        <v>0</v>
      </c>
      <c r="AE445" s="6" t="n">
        <v>0</v>
      </c>
      <c r="AF445" s="6" t="n">
        <v>0</v>
      </c>
      <c r="AG445" s="6" t="n">
        <v>0</v>
      </c>
      <c r="AH445" s="6" t="n">
        <v>0</v>
      </c>
      <c r="AI445" s="6" t="s">
        <v>84</v>
      </c>
    </row>
    <row r="446" customFormat="false" ht="15" hidden="false" customHeight="false" outlineLevel="0" collapsed="false">
      <c r="A446" s="6" t="n">
        <v>445</v>
      </c>
      <c r="B446" s="6" t="s">
        <v>8195</v>
      </c>
      <c r="C446" s="6" t="n">
        <v>9</v>
      </c>
      <c r="D446" s="6" t="s">
        <v>142</v>
      </c>
      <c r="E446" s="6" t="s">
        <v>74</v>
      </c>
      <c r="F446" s="6" t="n">
        <v>3</v>
      </c>
      <c r="G446" s="6" t="n">
        <v>23</v>
      </c>
      <c r="H446" s="6" t="s">
        <v>8196</v>
      </c>
      <c r="I446" s="22" t="n">
        <v>459500</v>
      </c>
      <c r="J446" s="22" t="n">
        <v>9000</v>
      </c>
      <c r="K446" s="22" t="n">
        <v>35137.5</v>
      </c>
      <c r="L446" s="22" t="n">
        <v>503637.5</v>
      </c>
      <c r="M446" s="6" t="s">
        <v>1042</v>
      </c>
      <c r="N446" s="6" t="s">
        <v>58</v>
      </c>
      <c r="O446" s="6"/>
      <c r="P446" s="6" t="s">
        <v>69</v>
      </c>
      <c r="Q446" s="6" t="str">
        <f aca="false">IF(P446="pass","No","Yes")</f>
        <v>No</v>
      </c>
      <c r="R446" s="6" t="s">
        <v>60</v>
      </c>
      <c r="S446" s="6"/>
      <c r="T446" s="6"/>
      <c r="U446" s="23" t="n">
        <v>2.67</v>
      </c>
      <c r="V446" s="6" t="s">
        <v>8197</v>
      </c>
      <c r="W446" s="6" t="s">
        <v>8198</v>
      </c>
      <c r="X446" s="6" t="s">
        <v>8199</v>
      </c>
      <c r="Y446" s="6" t="s">
        <v>60</v>
      </c>
      <c r="Z446" s="6" t="n">
        <v>0</v>
      </c>
      <c r="AA446" s="6" t="n">
        <v>0</v>
      </c>
      <c r="AB446" s="6" t="n">
        <v>0</v>
      </c>
      <c r="AC446" s="6" t="n">
        <v>0</v>
      </c>
      <c r="AD446" s="6" t="n">
        <v>0</v>
      </c>
      <c r="AE446" s="6" t="n">
        <v>0</v>
      </c>
      <c r="AF446" s="6" t="n">
        <v>0</v>
      </c>
      <c r="AG446" s="6" t="n">
        <v>0</v>
      </c>
      <c r="AH446" s="6" t="n">
        <v>0</v>
      </c>
      <c r="AI446" s="6" t="s">
        <v>84</v>
      </c>
    </row>
    <row r="447" customFormat="false" ht="15" hidden="false" customHeight="false" outlineLevel="0" collapsed="false">
      <c r="A447" s="6" t="n">
        <v>446</v>
      </c>
      <c r="B447" s="6" t="s">
        <v>8200</v>
      </c>
      <c r="C447" s="6" t="n">
        <v>9</v>
      </c>
      <c r="D447" s="6" t="s">
        <v>51</v>
      </c>
      <c r="E447" s="6" t="s">
        <v>146</v>
      </c>
      <c r="F447" s="6" t="n">
        <v>2</v>
      </c>
      <c r="G447" s="6" t="n">
        <v>3</v>
      </c>
      <c r="H447" s="6" t="s">
        <v>8201</v>
      </c>
      <c r="I447" s="22" t="n">
        <v>60200</v>
      </c>
      <c r="J447" s="22" t="n">
        <v>0</v>
      </c>
      <c r="K447" s="22" t="n">
        <v>4515</v>
      </c>
      <c r="L447" s="22" t="n">
        <v>64715</v>
      </c>
      <c r="M447" s="6" t="s">
        <v>148</v>
      </c>
      <c r="N447" s="6" t="s">
        <v>84</v>
      </c>
      <c r="O447" s="6" t="s">
        <v>866</v>
      </c>
      <c r="P447" s="6" t="s">
        <v>85</v>
      </c>
      <c r="Q447" s="6" t="str">
        <f aca="false">IF(P447="pass","No","Yes")</f>
        <v>Yes</v>
      </c>
      <c r="R447" s="6" t="s">
        <v>86</v>
      </c>
      <c r="S447" s="6" t="s">
        <v>866</v>
      </c>
      <c r="T447" s="6" t="s">
        <v>150</v>
      </c>
      <c r="U447" s="23" t="n">
        <v>2.183</v>
      </c>
      <c r="V447" s="6" t="s">
        <v>8202</v>
      </c>
      <c r="W447" s="6" t="s">
        <v>8203</v>
      </c>
      <c r="X447" s="6" t="s">
        <v>8204</v>
      </c>
      <c r="Y447" s="6" t="s">
        <v>86</v>
      </c>
      <c r="Z447" s="6" t="n">
        <v>1</v>
      </c>
      <c r="AA447" s="6" t="n">
        <v>0</v>
      </c>
      <c r="AB447" s="6" t="n">
        <v>0</v>
      </c>
      <c r="AC447" s="6" t="n">
        <v>0</v>
      </c>
      <c r="AD447" s="6" t="n">
        <v>0</v>
      </c>
      <c r="AE447" s="6" t="n">
        <v>0</v>
      </c>
      <c r="AF447" s="6" t="n">
        <v>0</v>
      </c>
      <c r="AG447" s="6" t="n">
        <v>0</v>
      </c>
      <c r="AH447" s="6" t="n">
        <v>0</v>
      </c>
      <c r="AI447" s="6" t="s">
        <v>84</v>
      </c>
    </row>
    <row r="448" customFormat="false" ht="15" hidden="false" customHeight="false" outlineLevel="0" collapsed="false">
      <c r="A448" s="6" t="n">
        <v>447</v>
      </c>
      <c r="B448" s="6" t="s">
        <v>8205</v>
      </c>
      <c r="C448" s="6" t="n">
        <v>9</v>
      </c>
      <c r="D448" s="6" t="s">
        <v>191</v>
      </c>
      <c r="E448" s="6" t="s">
        <v>116</v>
      </c>
      <c r="F448" s="6" t="n">
        <v>2</v>
      </c>
      <c r="G448" s="6" t="n">
        <v>19</v>
      </c>
      <c r="H448" s="6" t="s">
        <v>8206</v>
      </c>
      <c r="I448" s="22" t="n">
        <v>428000</v>
      </c>
      <c r="J448" s="22" t="n">
        <v>15000</v>
      </c>
      <c r="K448" s="22" t="n">
        <v>33225</v>
      </c>
      <c r="L448" s="22" t="n">
        <v>476225</v>
      </c>
      <c r="M448" s="6" t="s">
        <v>57</v>
      </c>
      <c r="N448" s="6" t="s">
        <v>58</v>
      </c>
      <c r="O448" s="6"/>
      <c r="P448" s="6" t="s">
        <v>69</v>
      </c>
      <c r="Q448" s="6" t="str">
        <f aca="false">IF(P448="pass","No","Yes")</f>
        <v>No</v>
      </c>
      <c r="R448" s="6" t="s">
        <v>60</v>
      </c>
      <c r="S448" s="6"/>
      <c r="T448" s="6"/>
      <c r="U448" s="23" t="n">
        <v>2.713</v>
      </c>
      <c r="V448" s="6" t="s">
        <v>8207</v>
      </c>
      <c r="W448" s="6" t="s">
        <v>8208</v>
      </c>
      <c r="X448" s="6" t="s">
        <v>8209</v>
      </c>
      <c r="Y448" s="6" t="s">
        <v>60</v>
      </c>
      <c r="Z448" s="6" t="n">
        <v>0</v>
      </c>
      <c r="AA448" s="6" t="n">
        <v>0</v>
      </c>
      <c r="AB448" s="6" t="n">
        <v>0</v>
      </c>
      <c r="AC448" s="6" t="n">
        <v>0</v>
      </c>
      <c r="AD448" s="6" t="n">
        <v>0</v>
      </c>
      <c r="AE448" s="6" t="n">
        <v>0</v>
      </c>
      <c r="AF448" s="6" t="n">
        <v>0</v>
      </c>
      <c r="AG448" s="6" t="n">
        <v>0</v>
      </c>
      <c r="AH448" s="6" t="n">
        <v>0</v>
      </c>
      <c r="AI448" s="6" t="s">
        <v>84</v>
      </c>
    </row>
    <row r="449" customFormat="false" ht="15" hidden="false" customHeight="false" outlineLevel="0" collapsed="false">
      <c r="A449" s="6" t="n">
        <v>448</v>
      </c>
      <c r="B449" s="6" t="s">
        <v>8210</v>
      </c>
      <c r="C449" s="6" t="n">
        <v>9</v>
      </c>
      <c r="D449" s="6" t="s">
        <v>77</v>
      </c>
      <c r="E449" s="6" t="s">
        <v>81</v>
      </c>
      <c r="F449" s="6" t="n">
        <v>3</v>
      </c>
      <c r="G449" s="6" t="n">
        <v>164</v>
      </c>
      <c r="H449" s="6" t="s">
        <v>8211</v>
      </c>
      <c r="I449" s="22" t="n">
        <v>1806300</v>
      </c>
      <c r="J449" s="22" t="n">
        <v>4000</v>
      </c>
      <c r="K449" s="22" t="n">
        <v>135772.5</v>
      </c>
      <c r="L449" s="22" t="n">
        <v>1946072.5</v>
      </c>
      <c r="M449" s="6" t="s">
        <v>960</v>
      </c>
      <c r="N449" s="6" t="s">
        <v>84</v>
      </c>
      <c r="O449" s="6" t="s">
        <v>961</v>
      </c>
      <c r="P449" s="6" t="s">
        <v>85</v>
      </c>
      <c r="Q449" s="6" t="str">
        <f aca="false">IF(P449="pass","No","Yes")</f>
        <v>Yes</v>
      </c>
      <c r="R449" s="6" t="s">
        <v>86</v>
      </c>
      <c r="S449" s="6" t="s">
        <v>961</v>
      </c>
      <c r="T449" s="6" t="s">
        <v>962</v>
      </c>
      <c r="U449" s="23" t="n">
        <v>2.433</v>
      </c>
      <c r="V449" s="6" t="s">
        <v>8212</v>
      </c>
      <c r="W449" s="6" t="s">
        <v>8213</v>
      </c>
      <c r="X449" s="6" t="s">
        <v>8214</v>
      </c>
      <c r="Y449" s="6" t="s">
        <v>86</v>
      </c>
      <c r="Z449" s="6" t="n">
        <v>0</v>
      </c>
      <c r="AA449" s="6" t="n">
        <v>0</v>
      </c>
      <c r="AB449" s="6" t="n">
        <v>0</v>
      </c>
      <c r="AC449" s="6" t="n">
        <v>0</v>
      </c>
      <c r="AD449" s="6" t="n">
        <v>1</v>
      </c>
      <c r="AE449" s="6" t="n">
        <v>0</v>
      </c>
      <c r="AF449" s="6" t="n">
        <v>0</v>
      </c>
      <c r="AG449" s="6" t="n">
        <v>0</v>
      </c>
      <c r="AH449" s="6" t="n">
        <v>0</v>
      </c>
      <c r="AI449" s="6" t="s">
        <v>84</v>
      </c>
    </row>
    <row r="450" customFormat="false" ht="15" hidden="false" customHeight="false" outlineLevel="0" collapsed="false">
      <c r="A450" s="6" t="n">
        <v>449</v>
      </c>
      <c r="B450" s="6" t="s">
        <v>8215</v>
      </c>
      <c r="C450" s="6" t="n">
        <v>9</v>
      </c>
      <c r="D450" s="6" t="s">
        <v>119</v>
      </c>
      <c r="E450" s="6" t="s">
        <v>123</v>
      </c>
      <c r="F450" s="6" t="n">
        <v>2</v>
      </c>
      <c r="G450" s="6" t="n">
        <v>55</v>
      </c>
      <c r="H450" s="6" t="s">
        <v>8216</v>
      </c>
      <c r="I450" s="22" t="n">
        <v>468500</v>
      </c>
      <c r="J450" s="22" t="n">
        <v>5000</v>
      </c>
      <c r="K450" s="22" t="n">
        <v>35512.5</v>
      </c>
      <c r="L450" s="22" t="n">
        <v>509012.5</v>
      </c>
      <c r="M450" s="6" t="s">
        <v>83</v>
      </c>
      <c r="N450" s="6" t="s">
        <v>84</v>
      </c>
      <c r="O450" s="6" t="s">
        <v>886</v>
      </c>
      <c r="P450" s="6" t="s">
        <v>85</v>
      </c>
      <c r="Q450" s="6" t="str">
        <f aca="false">IF(P450="pass","No","Yes")</f>
        <v>Yes</v>
      </c>
      <c r="R450" s="6" t="s">
        <v>86</v>
      </c>
      <c r="S450" s="6" t="s">
        <v>886</v>
      </c>
      <c r="T450" s="6" t="s">
        <v>438</v>
      </c>
      <c r="U450" s="23" t="n">
        <v>2.236</v>
      </c>
      <c r="V450" s="6" t="s">
        <v>8217</v>
      </c>
      <c r="W450" s="6" t="s">
        <v>8218</v>
      </c>
      <c r="X450" s="6" t="s">
        <v>8219</v>
      </c>
      <c r="Y450" s="6" t="s">
        <v>86</v>
      </c>
      <c r="Z450" s="6" t="n">
        <v>0</v>
      </c>
      <c r="AA450" s="6" t="n">
        <v>0</v>
      </c>
      <c r="AB450" s="6" t="n">
        <v>1</v>
      </c>
      <c r="AC450" s="6" t="n">
        <v>0</v>
      </c>
      <c r="AD450" s="6" t="n">
        <v>0</v>
      </c>
      <c r="AE450" s="6" t="n">
        <v>0</v>
      </c>
      <c r="AF450" s="6" t="n">
        <v>0</v>
      </c>
      <c r="AG450" s="6" t="n">
        <v>0</v>
      </c>
      <c r="AH450" s="6" t="n">
        <v>0</v>
      </c>
      <c r="AI450" s="6" t="s">
        <v>84</v>
      </c>
    </row>
    <row r="451" customFormat="false" ht="15" hidden="false" customHeight="false" outlineLevel="0" collapsed="false">
      <c r="A451" s="6" t="n">
        <v>450</v>
      </c>
      <c r="B451" s="6" t="s">
        <v>8220</v>
      </c>
      <c r="C451" s="6" t="n">
        <v>9</v>
      </c>
      <c r="D451" s="6" t="s">
        <v>191</v>
      </c>
      <c r="E451" s="6" t="s">
        <v>116</v>
      </c>
      <c r="F451" s="6" t="n">
        <v>2</v>
      </c>
      <c r="G451" s="6" t="n">
        <v>568</v>
      </c>
      <c r="H451" s="6" t="s">
        <v>8221</v>
      </c>
      <c r="I451" s="22" t="n">
        <v>2384600</v>
      </c>
      <c r="J451" s="22" t="n">
        <v>15000</v>
      </c>
      <c r="K451" s="22" t="n">
        <v>179970</v>
      </c>
      <c r="L451" s="22" t="n">
        <v>2579570</v>
      </c>
      <c r="M451" s="6" t="s">
        <v>159</v>
      </c>
      <c r="N451" s="6" t="s">
        <v>84</v>
      </c>
      <c r="O451" s="6" t="s">
        <v>886</v>
      </c>
      <c r="P451" s="6" t="s">
        <v>85</v>
      </c>
      <c r="Q451" s="6" t="str">
        <f aca="false">IF(P451="pass","No","Yes")</f>
        <v>Yes</v>
      </c>
      <c r="R451" s="6" t="s">
        <v>86</v>
      </c>
      <c r="S451" s="6" t="s">
        <v>934</v>
      </c>
      <c r="T451" s="6" t="s">
        <v>302</v>
      </c>
      <c r="U451" s="23" t="n">
        <v>2.421</v>
      </c>
      <c r="V451" s="6" t="s">
        <v>8222</v>
      </c>
      <c r="W451" s="6" t="s">
        <v>8223</v>
      </c>
      <c r="X451" s="6" t="s">
        <v>8224</v>
      </c>
      <c r="Y451" s="6" t="s">
        <v>86</v>
      </c>
      <c r="Z451" s="6" t="n">
        <v>0</v>
      </c>
      <c r="AA451" s="6" t="n">
        <v>0</v>
      </c>
      <c r="AB451" s="6" t="n">
        <v>1</v>
      </c>
      <c r="AC451" s="6" t="n">
        <v>1</v>
      </c>
      <c r="AD451" s="6" t="n">
        <v>0</v>
      </c>
      <c r="AE451" s="6" t="n">
        <v>0</v>
      </c>
      <c r="AF451" s="6" t="n">
        <v>0</v>
      </c>
      <c r="AG451" s="6" t="n">
        <v>0</v>
      </c>
      <c r="AH451" s="6" t="n">
        <v>0</v>
      </c>
      <c r="AI451" s="6" t="s">
        <v>84</v>
      </c>
    </row>
    <row r="452" customFormat="false" ht="15" hidden="false" customHeight="false" outlineLevel="0" collapsed="false">
      <c r="A452" s="6" t="n">
        <v>451</v>
      </c>
      <c r="B452" s="6" t="s">
        <v>8225</v>
      </c>
      <c r="C452" s="6" t="n">
        <v>10</v>
      </c>
      <c r="D452" s="6" t="s">
        <v>127</v>
      </c>
      <c r="E452" s="6" t="s">
        <v>55</v>
      </c>
      <c r="F452" s="6" t="n">
        <v>2</v>
      </c>
      <c r="G452" s="6" t="n">
        <v>67</v>
      </c>
      <c r="H452" s="6" t="s">
        <v>8226</v>
      </c>
      <c r="I452" s="22" t="n">
        <v>804100</v>
      </c>
      <c r="J452" s="22" t="n">
        <v>6000</v>
      </c>
      <c r="K452" s="22" t="n">
        <v>60757.5</v>
      </c>
      <c r="L452" s="22" t="n">
        <v>870857.5</v>
      </c>
      <c r="M452" s="6" t="s">
        <v>960</v>
      </c>
      <c r="N452" s="6" t="s">
        <v>84</v>
      </c>
      <c r="O452" s="6" t="s">
        <v>961</v>
      </c>
      <c r="P452" s="6" t="s">
        <v>85</v>
      </c>
      <c r="Q452" s="6" t="str">
        <f aca="false">IF(P452="pass","No","Yes")</f>
        <v>Yes</v>
      </c>
      <c r="R452" s="6" t="s">
        <v>86</v>
      </c>
      <c r="S452" s="6" t="s">
        <v>1306</v>
      </c>
      <c r="T452" s="6" t="s">
        <v>8227</v>
      </c>
      <c r="U452" s="23" t="n">
        <v>2.504</v>
      </c>
      <c r="V452" s="6" t="s">
        <v>8228</v>
      </c>
      <c r="W452" s="6" t="s">
        <v>8229</v>
      </c>
      <c r="X452" s="6" t="s">
        <v>8230</v>
      </c>
      <c r="Y452" s="6" t="s">
        <v>86</v>
      </c>
      <c r="Z452" s="6" t="n">
        <v>0</v>
      </c>
      <c r="AA452" s="6" t="n">
        <v>0</v>
      </c>
      <c r="AB452" s="6" t="n">
        <v>0</v>
      </c>
      <c r="AC452" s="6" t="n">
        <v>0</v>
      </c>
      <c r="AD452" s="6" t="n">
        <v>1</v>
      </c>
      <c r="AE452" s="6" t="n">
        <v>0</v>
      </c>
      <c r="AF452" s="6" t="n">
        <v>0</v>
      </c>
      <c r="AG452" s="6" t="n">
        <v>0</v>
      </c>
      <c r="AH452" s="6" t="n">
        <v>1</v>
      </c>
      <c r="AI452" s="6" t="s">
        <v>84</v>
      </c>
    </row>
    <row r="453" customFormat="false" ht="15" hidden="false" customHeight="false" outlineLevel="0" collapsed="false">
      <c r="A453" s="6" t="n">
        <v>452</v>
      </c>
      <c r="B453" s="6" t="s">
        <v>8231</v>
      </c>
      <c r="C453" s="6" t="n">
        <v>10</v>
      </c>
      <c r="D453" s="6" t="s">
        <v>154</v>
      </c>
      <c r="E453" s="6" t="s">
        <v>123</v>
      </c>
      <c r="F453" s="6" t="n">
        <v>2</v>
      </c>
      <c r="G453" s="6" t="n">
        <v>528</v>
      </c>
      <c r="H453" s="6" t="s">
        <v>8232</v>
      </c>
      <c r="I453" s="22" t="n">
        <v>2266500</v>
      </c>
      <c r="J453" s="22" t="n">
        <v>5000</v>
      </c>
      <c r="K453" s="22" t="n">
        <v>170362.5</v>
      </c>
      <c r="L453" s="22" t="n">
        <v>2441862.5</v>
      </c>
      <c r="M453" s="6" t="s">
        <v>159</v>
      </c>
      <c r="N453" s="6" t="s">
        <v>84</v>
      </c>
      <c r="O453" s="6" t="s">
        <v>886</v>
      </c>
      <c r="P453" s="6" t="s">
        <v>85</v>
      </c>
      <c r="Q453" s="6" t="str">
        <f aca="false">IF(P453="pass","No","Yes")</f>
        <v>Yes</v>
      </c>
      <c r="R453" s="6" t="s">
        <v>86</v>
      </c>
      <c r="S453" s="6" t="s">
        <v>934</v>
      </c>
      <c r="T453" s="6" t="s">
        <v>302</v>
      </c>
      <c r="U453" s="23" t="n">
        <v>2.469</v>
      </c>
      <c r="V453" s="6" t="s">
        <v>8233</v>
      </c>
      <c r="W453" s="6" t="s">
        <v>8234</v>
      </c>
      <c r="X453" s="6" t="s">
        <v>8235</v>
      </c>
      <c r="Y453" s="6" t="s">
        <v>86</v>
      </c>
      <c r="Z453" s="6" t="n">
        <v>0</v>
      </c>
      <c r="AA453" s="6" t="n">
        <v>0</v>
      </c>
      <c r="AB453" s="6" t="n">
        <v>1</v>
      </c>
      <c r="AC453" s="6" t="n">
        <v>1</v>
      </c>
      <c r="AD453" s="6" t="n">
        <v>0</v>
      </c>
      <c r="AE453" s="6" t="n">
        <v>0</v>
      </c>
      <c r="AF453" s="6" t="n">
        <v>0</v>
      </c>
      <c r="AG453" s="6" t="n">
        <v>0</v>
      </c>
      <c r="AH453" s="6" t="n">
        <v>0</v>
      </c>
      <c r="AI453" s="6" t="s">
        <v>84</v>
      </c>
    </row>
    <row r="454" customFormat="false" ht="15" hidden="false" customHeight="false" outlineLevel="0" collapsed="false">
      <c r="A454" s="6" t="n">
        <v>453</v>
      </c>
      <c r="B454" s="6" t="s">
        <v>8236</v>
      </c>
      <c r="C454" s="6" t="n">
        <v>10</v>
      </c>
      <c r="D454" s="6" t="s">
        <v>191</v>
      </c>
      <c r="E454" s="6" t="s">
        <v>116</v>
      </c>
      <c r="F454" s="6" t="n">
        <v>2</v>
      </c>
      <c r="G454" s="6" t="n">
        <v>19</v>
      </c>
      <c r="H454" s="6" t="s">
        <v>8206</v>
      </c>
      <c r="I454" s="22" t="n">
        <v>428000</v>
      </c>
      <c r="J454" s="22" t="n">
        <v>15000</v>
      </c>
      <c r="K454" s="22" t="n">
        <v>33225</v>
      </c>
      <c r="L454" s="22" t="n">
        <v>476225</v>
      </c>
      <c r="M454" s="6" t="s">
        <v>97</v>
      </c>
      <c r="N454" s="6" t="s">
        <v>84</v>
      </c>
      <c r="O454" s="6" t="s">
        <v>1185</v>
      </c>
      <c r="P454" s="6" t="s">
        <v>59</v>
      </c>
      <c r="Q454" s="6" t="str">
        <f aca="false">IF(P454="pass","No","Yes")</f>
        <v>Yes</v>
      </c>
      <c r="R454" s="6" t="s">
        <v>98</v>
      </c>
      <c r="S454" s="6" t="s">
        <v>1185</v>
      </c>
      <c r="T454" s="6" t="s">
        <v>8237</v>
      </c>
      <c r="U454" s="23" t="n">
        <v>1.508</v>
      </c>
      <c r="V454" s="6" t="s">
        <v>8238</v>
      </c>
      <c r="W454" s="6"/>
      <c r="X454" s="6" t="s">
        <v>8238</v>
      </c>
      <c r="Y454" s="6" t="s">
        <v>98</v>
      </c>
      <c r="Z454" s="6" t="n">
        <v>0</v>
      </c>
      <c r="AA454" s="6" t="n">
        <v>0</v>
      </c>
      <c r="AB454" s="6" t="n">
        <v>0</v>
      </c>
      <c r="AC454" s="6" t="n">
        <v>0</v>
      </c>
      <c r="AD454" s="6" t="n">
        <v>0</v>
      </c>
      <c r="AE454" s="6" t="n">
        <v>0</v>
      </c>
      <c r="AF454" s="6" t="n">
        <v>0</v>
      </c>
      <c r="AG454" s="6" t="n">
        <v>1</v>
      </c>
      <c r="AH454" s="6" t="n">
        <v>0</v>
      </c>
      <c r="AI454" s="6" t="s">
        <v>84</v>
      </c>
    </row>
    <row r="455" customFormat="false" ht="15" hidden="false" customHeight="false" outlineLevel="0" collapsed="false">
      <c r="A455" s="6" t="n">
        <v>454</v>
      </c>
      <c r="B455" s="6" t="s">
        <v>8239</v>
      </c>
      <c r="C455" s="6" t="n">
        <v>10</v>
      </c>
      <c r="D455" s="6" t="s">
        <v>177</v>
      </c>
      <c r="E455" s="6" t="s">
        <v>81</v>
      </c>
      <c r="F455" s="6" t="n">
        <v>4</v>
      </c>
      <c r="G455" s="6" t="n">
        <v>178</v>
      </c>
      <c r="H455" s="6" t="s">
        <v>8240</v>
      </c>
      <c r="I455" s="22" t="n">
        <v>1545700</v>
      </c>
      <c r="J455" s="22" t="n">
        <v>4000</v>
      </c>
      <c r="K455" s="22" t="n">
        <v>116227.5</v>
      </c>
      <c r="L455" s="22" t="n">
        <v>1665927.5</v>
      </c>
      <c r="M455" s="6" t="s">
        <v>272</v>
      </c>
      <c r="N455" s="6" t="s">
        <v>84</v>
      </c>
      <c r="O455" s="6" t="s">
        <v>879</v>
      </c>
      <c r="P455" s="6" t="s">
        <v>85</v>
      </c>
      <c r="Q455" s="6" t="str">
        <f aca="false">IF(P455="pass","No","Yes")</f>
        <v>Yes</v>
      </c>
      <c r="R455" s="6" t="s">
        <v>86</v>
      </c>
      <c r="S455" s="6" t="s">
        <v>1233</v>
      </c>
      <c r="T455" s="6" t="s">
        <v>8241</v>
      </c>
      <c r="U455" s="23" t="n">
        <v>2.6</v>
      </c>
      <c r="V455" s="6" t="s">
        <v>8242</v>
      </c>
      <c r="W455" s="6" t="s">
        <v>8243</v>
      </c>
      <c r="X455" s="6" t="s">
        <v>8244</v>
      </c>
      <c r="Y455" s="6" t="s">
        <v>86</v>
      </c>
      <c r="Z455" s="6" t="n">
        <v>0</v>
      </c>
      <c r="AA455" s="6" t="n">
        <v>1</v>
      </c>
      <c r="AB455" s="6" t="n">
        <v>0</v>
      </c>
      <c r="AC455" s="6" t="n">
        <v>0</v>
      </c>
      <c r="AD455" s="6" t="n">
        <v>0</v>
      </c>
      <c r="AE455" s="6" t="n">
        <v>0</v>
      </c>
      <c r="AF455" s="6" t="n">
        <v>0</v>
      </c>
      <c r="AG455" s="6" t="n">
        <v>0</v>
      </c>
      <c r="AH455" s="6" t="n">
        <v>1</v>
      </c>
      <c r="AI455" s="6" t="s">
        <v>84</v>
      </c>
    </row>
    <row r="456" customFormat="false" ht="15" hidden="false" customHeight="false" outlineLevel="0" collapsed="false">
      <c r="A456" s="6" t="n">
        <v>455</v>
      </c>
      <c r="B456" s="6" t="s">
        <v>8245</v>
      </c>
      <c r="C456" s="6" t="n">
        <v>10</v>
      </c>
      <c r="D456" s="6" t="s">
        <v>77</v>
      </c>
      <c r="E456" s="6" t="s">
        <v>81</v>
      </c>
      <c r="F456" s="6" t="n">
        <v>2</v>
      </c>
      <c r="G456" s="6" t="n">
        <v>60</v>
      </c>
      <c r="H456" s="6" t="s">
        <v>8246</v>
      </c>
      <c r="I456" s="22" t="n">
        <v>631000</v>
      </c>
      <c r="J456" s="22" t="n">
        <v>4000</v>
      </c>
      <c r="K456" s="22" t="n">
        <v>47625</v>
      </c>
      <c r="L456" s="22" t="n">
        <v>682625</v>
      </c>
      <c r="M456" s="6" t="s">
        <v>171</v>
      </c>
      <c r="N456" s="6" t="s">
        <v>84</v>
      </c>
      <c r="O456" s="6" t="s">
        <v>892</v>
      </c>
      <c r="P456" s="6" t="s">
        <v>85</v>
      </c>
      <c r="Q456" s="6" t="str">
        <f aca="false">IF(P456="pass","No","Yes")</f>
        <v>Yes</v>
      </c>
      <c r="R456" s="6" t="s">
        <v>86</v>
      </c>
      <c r="S456" s="6" t="s">
        <v>892</v>
      </c>
      <c r="T456" s="6" t="s">
        <v>242</v>
      </c>
      <c r="U456" s="23" t="n">
        <v>2.318</v>
      </c>
      <c r="V456" s="6" t="s">
        <v>8247</v>
      </c>
      <c r="W456" s="6" t="s">
        <v>8248</v>
      </c>
      <c r="X456" s="6" t="s">
        <v>8249</v>
      </c>
      <c r="Y456" s="6" t="s">
        <v>86</v>
      </c>
      <c r="Z456" s="6" t="n">
        <v>0</v>
      </c>
      <c r="AA456" s="6" t="n">
        <v>0</v>
      </c>
      <c r="AB456" s="6" t="n">
        <v>0</v>
      </c>
      <c r="AC456" s="6" t="n">
        <v>1</v>
      </c>
      <c r="AD456" s="6" t="n">
        <v>0</v>
      </c>
      <c r="AE456" s="6" t="n">
        <v>0</v>
      </c>
      <c r="AF456" s="6" t="n">
        <v>0</v>
      </c>
      <c r="AG456" s="6" t="n">
        <v>0</v>
      </c>
      <c r="AH456" s="6" t="n">
        <v>0</v>
      </c>
      <c r="AI456" s="6" t="s">
        <v>84</v>
      </c>
    </row>
    <row r="457" customFormat="false" ht="15" hidden="false" customHeight="false" outlineLevel="0" collapsed="false">
      <c r="A457" s="6" t="n">
        <v>456</v>
      </c>
      <c r="B457" s="6" t="s">
        <v>8250</v>
      </c>
      <c r="C457" s="6" t="n">
        <v>10</v>
      </c>
      <c r="D457" s="6" t="s">
        <v>51</v>
      </c>
      <c r="E457" s="6" t="s">
        <v>55</v>
      </c>
      <c r="F457" s="6" t="n">
        <v>3</v>
      </c>
      <c r="G457" s="6" t="n">
        <v>576</v>
      </c>
      <c r="H457" s="6" t="s">
        <v>8251</v>
      </c>
      <c r="I457" s="22" t="n">
        <v>5460200</v>
      </c>
      <c r="J457" s="22" t="n">
        <v>6000</v>
      </c>
      <c r="K457" s="22" t="n">
        <v>409965</v>
      </c>
      <c r="L457" s="22" t="n">
        <v>5876165</v>
      </c>
      <c r="M457" s="6" t="s">
        <v>159</v>
      </c>
      <c r="N457" s="6" t="s">
        <v>84</v>
      </c>
      <c r="O457" s="6" t="s">
        <v>886</v>
      </c>
      <c r="P457" s="6" t="s">
        <v>85</v>
      </c>
      <c r="Q457" s="6" t="str">
        <f aca="false">IF(P457="pass","No","Yes")</f>
        <v>Yes</v>
      </c>
      <c r="R457" s="6" t="s">
        <v>86</v>
      </c>
      <c r="S457" s="6" t="s">
        <v>934</v>
      </c>
      <c r="T457" s="6" t="s">
        <v>524</v>
      </c>
      <c r="U457" s="23" t="n">
        <v>2.621</v>
      </c>
      <c r="V457" s="6" t="s">
        <v>8252</v>
      </c>
      <c r="W457" s="6" t="s">
        <v>8253</v>
      </c>
      <c r="X457" s="6" t="s">
        <v>8254</v>
      </c>
      <c r="Y457" s="6" t="s">
        <v>86</v>
      </c>
      <c r="Z457" s="6" t="n">
        <v>0</v>
      </c>
      <c r="AA457" s="6" t="n">
        <v>0</v>
      </c>
      <c r="AB457" s="6" t="n">
        <v>1</v>
      </c>
      <c r="AC457" s="6" t="n">
        <v>1</v>
      </c>
      <c r="AD457" s="6" t="n">
        <v>0</v>
      </c>
      <c r="AE457" s="6" t="n">
        <v>0</v>
      </c>
      <c r="AF457" s="6" t="n">
        <v>0</v>
      </c>
      <c r="AG457" s="6" t="n">
        <v>0</v>
      </c>
      <c r="AH457" s="6" t="n">
        <v>0</v>
      </c>
      <c r="AI457" s="6" t="s">
        <v>84</v>
      </c>
    </row>
    <row r="458" customFormat="false" ht="15" hidden="false" customHeight="false" outlineLevel="0" collapsed="false">
      <c r="A458" s="6" t="n">
        <v>457</v>
      </c>
      <c r="B458" s="6" t="s">
        <v>8255</v>
      </c>
      <c r="C458" s="6" t="n">
        <v>10</v>
      </c>
      <c r="D458" s="6" t="s">
        <v>70</v>
      </c>
      <c r="E458" s="6" t="s">
        <v>74</v>
      </c>
      <c r="F458" s="6" t="n">
        <v>3</v>
      </c>
      <c r="G458" s="6" t="n">
        <v>25</v>
      </c>
      <c r="H458" s="6" t="s">
        <v>8256</v>
      </c>
      <c r="I458" s="22" t="n">
        <v>482000</v>
      </c>
      <c r="J458" s="22" t="n">
        <v>9000</v>
      </c>
      <c r="K458" s="22" t="n">
        <v>36825</v>
      </c>
      <c r="L458" s="22" t="n">
        <v>527825</v>
      </c>
      <c r="M458" s="6" t="s">
        <v>224</v>
      </c>
      <c r="N458" s="6" t="s">
        <v>84</v>
      </c>
      <c r="O458" s="6" t="s">
        <v>866</v>
      </c>
      <c r="P458" s="6" t="s">
        <v>85</v>
      </c>
      <c r="Q458" s="6" t="str">
        <f aca="false">IF(P458="pass","No","Yes")</f>
        <v>Yes</v>
      </c>
      <c r="R458" s="6" t="s">
        <v>86</v>
      </c>
      <c r="S458" s="6" t="s">
        <v>866</v>
      </c>
      <c r="T458" s="6" t="s">
        <v>225</v>
      </c>
      <c r="U458" s="23" t="n">
        <v>2.46</v>
      </c>
      <c r="V458" s="6" t="s">
        <v>8257</v>
      </c>
      <c r="W458" s="6" t="s">
        <v>8258</v>
      </c>
      <c r="X458" s="6" t="s">
        <v>8259</v>
      </c>
      <c r="Y458" s="6" t="s">
        <v>86</v>
      </c>
      <c r="Z458" s="6" t="n">
        <v>1</v>
      </c>
      <c r="AA458" s="6" t="n">
        <v>0</v>
      </c>
      <c r="AB458" s="6" t="n">
        <v>0</v>
      </c>
      <c r="AC458" s="6" t="n">
        <v>0</v>
      </c>
      <c r="AD458" s="6" t="n">
        <v>0</v>
      </c>
      <c r="AE458" s="6" t="n">
        <v>0</v>
      </c>
      <c r="AF458" s="6" t="n">
        <v>0</v>
      </c>
      <c r="AG458" s="6" t="n">
        <v>0</v>
      </c>
      <c r="AH458" s="6" t="n">
        <v>0</v>
      </c>
      <c r="AI458" s="6" t="s">
        <v>58</v>
      </c>
    </row>
    <row r="459" customFormat="false" ht="15" hidden="false" customHeight="false" outlineLevel="0" collapsed="false">
      <c r="A459" s="6" t="n">
        <v>458</v>
      </c>
      <c r="B459" s="6" t="s">
        <v>8260</v>
      </c>
      <c r="C459" s="6" t="n">
        <v>10</v>
      </c>
      <c r="D459" s="6" t="s">
        <v>51</v>
      </c>
      <c r="E459" s="6" t="s">
        <v>55</v>
      </c>
      <c r="F459" s="6" t="n">
        <v>3</v>
      </c>
      <c r="G459" s="6" t="n">
        <v>69</v>
      </c>
      <c r="H459" s="6" t="s">
        <v>8261</v>
      </c>
      <c r="I459" s="22" t="n">
        <v>1155300</v>
      </c>
      <c r="J459" s="22" t="n">
        <v>6000</v>
      </c>
      <c r="K459" s="22" t="n">
        <v>87097.5</v>
      </c>
      <c r="L459" s="22" t="n">
        <v>1248397.5</v>
      </c>
      <c r="M459" s="6" t="s">
        <v>57</v>
      </c>
      <c r="N459" s="6" t="s">
        <v>58</v>
      </c>
      <c r="O459" s="6"/>
      <c r="P459" s="6" t="s">
        <v>69</v>
      </c>
      <c r="Q459" s="6" t="str">
        <f aca="false">IF(P459="pass","No","Yes")</f>
        <v>No</v>
      </c>
      <c r="R459" s="6" t="s">
        <v>60</v>
      </c>
      <c r="S459" s="6"/>
      <c r="T459" s="6"/>
      <c r="U459" s="23" t="n">
        <v>2.739</v>
      </c>
      <c r="V459" s="6" t="s">
        <v>8262</v>
      </c>
      <c r="W459" s="6" t="s">
        <v>8263</v>
      </c>
      <c r="X459" s="6" t="s">
        <v>8264</v>
      </c>
      <c r="Y459" s="6" t="s">
        <v>60</v>
      </c>
      <c r="Z459" s="6" t="n">
        <v>0</v>
      </c>
      <c r="AA459" s="6" t="n">
        <v>0</v>
      </c>
      <c r="AB459" s="6" t="n">
        <v>0</v>
      </c>
      <c r="AC459" s="6" t="n">
        <v>0</v>
      </c>
      <c r="AD459" s="6" t="n">
        <v>0</v>
      </c>
      <c r="AE459" s="6" t="n">
        <v>0</v>
      </c>
      <c r="AF459" s="6" t="n">
        <v>0</v>
      </c>
      <c r="AG459" s="6" t="n">
        <v>0</v>
      </c>
      <c r="AH459" s="6" t="n">
        <v>0</v>
      </c>
      <c r="AI459" s="6" t="s">
        <v>84</v>
      </c>
    </row>
    <row r="460" customFormat="false" ht="15" hidden="false" customHeight="false" outlineLevel="0" collapsed="false">
      <c r="A460" s="6" t="n">
        <v>459</v>
      </c>
      <c r="B460" s="6" t="s">
        <v>8265</v>
      </c>
      <c r="C460" s="6" t="n">
        <v>10</v>
      </c>
      <c r="D460" s="6" t="s">
        <v>191</v>
      </c>
      <c r="E460" s="6" t="s">
        <v>116</v>
      </c>
      <c r="F460" s="6" t="n">
        <v>3</v>
      </c>
      <c r="G460" s="6" t="n">
        <v>49</v>
      </c>
      <c r="H460" s="6" t="s">
        <v>8266</v>
      </c>
      <c r="I460" s="22" t="n">
        <v>926000</v>
      </c>
      <c r="J460" s="22" t="n">
        <v>15000</v>
      </c>
      <c r="K460" s="22" t="n">
        <v>70575</v>
      </c>
      <c r="L460" s="22" t="n">
        <v>1011575</v>
      </c>
      <c r="M460" s="6" t="s">
        <v>57</v>
      </c>
      <c r="N460" s="6" t="s">
        <v>58</v>
      </c>
      <c r="O460" s="6"/>
      <c r="P460" s="6" t="s">
        <v>69</v>
      </c>
      <c r="Q460" s="6" t="str">
        <f aca="false">IF(P460="pass","No","Yes")</f>
        <v>No</v>
      </c>
      <c r="R460" s="6" t="s">
        <v>60</v>
      </c>
      <c r="S460" s="6"/>
      <c r="T460" s="6"/>
      <c r="U460" s="23" t="n">
        <v>2.953</v>
      </c>
      <c r="V460" s="6" t="s">
        <v>8267</v>
      </c>
      <c r="W460" s="6" t="s">
        <v>8268</v>
      </c>
      <c r="X460" s="6" t="s">
        <v>8269</v>
      </c>
      <c r="Y460" s="6" t="s">
        <v>60</v>
      </c>
      <c r="Z460" s="6" t="n">
        <v>0</v>
      </c>
      <c r="AA460" s="6" t="n">
        <v>0</v>
      </c>
      <c r="AB460" s="6" t="n">
        <v>0</v>
      </c>
      <c r="AC460" s="6" t="n">
        <v>0</v>
      </c>
      <c r="AD460" s="6" t="n">
        <v>0</v>
      </c>
      <c r="AE460" s="6" t="n">
        <v>0</v>
      </c>
      <c r="AF460" s="6" t="n">
        <v>0</v>
      </c>
      <c r="AG460" s="6" t="n">
        <v>0</v>
      </c>
      <c r="AH460" s="6" t="n">
        <v>0</v>
      </c>
      <c r="AI460" s="6" t="s">
        <v>84</v>
      </c>
    </row>
    <row r="461" customFormat="false" ht="15" hidden="false" customHeight="false" outlineLevel="0" collapsed="false">
      <c r="A461" s="6" t="n">
        <v>460</v>
      </c>
      <c r="B461" s="6" t="s">
        <v>8270</v>
      </c>
      <c r="C461" s="6" t="n">
        <v>10</v>
      </c>
      <c r="D461" s="6" t="s">
        <v>112</v>
      </c>
      <c r="E461" s="6" t="s">
        <v>116</v>
      </c>
      <c r="F461" s="6" t="n">
        <v>2</v>
      </c>
      <c r="G461" s="6" t="n">
        <v>84</v>
      </c>
      <c r="H461" s="6" t="s">
        <v>8271</v>
      </c>
      <c r="I461" s="22" t="n">
        <v>1368000</v>
      </c>
      <c r="J461" s="22" t="n">
        <v>15000</v>
      </c>
      <c r="K461" s="22" t="n">
        <v>103725</v>
      </c>
      <c r="L461" s="22" t="n">
        <v>1486725</v>
      </c>
      <c r="M461" s="6" t="s">
        <v>57</v>
      </c>
      <c r="N461" s="6" t="s">
        <v>58</v>
      </c>
      <c r="O461" s="6"/>
      <c r="P461" s="6" t="s">
        <v>69</v>
      </c>
      <c r="Q461" s="6" t="str">
        <f aca="false">IF(P461="pass","No","Yes")</f>
        <v>No</v>
      </c>
      <c r="R461" s="6" t="s">
        <v>60</v>
      </c>
      <c r="S461" s="6"/>
      <c r="T461" s="6"/>
      <c r="U461" s="23" t="n">
        <v>2.85</v>
      </c>
      <c r="V461" s="6" t="s">
        <v>8272</v>
      </c>
      <c r="W461" s="6" t="s">
        <v>8273</v>
      </c>
      <c r="X461" s="6" t="s">
        <v>8274</v>
      </c>
      <c r="Y461" s="6" t="s">
        <v>60</v>
      </c>
      <c r="Z461" s="6" t="n">
        <v>0</v>
      </c>
      <c r="AA461" s="6" t="n">
        <v>0</v>
      </c>
      <c r="AB461" s="6" t="n">
        <v>0</v>
      </c>
      <c r="AC461" s="6" t="n">
        <v>0</v>
      </c>
      <c r="AD461" s="6" t="n">
        <v>0</v>
      </c>
      <c r="AE461" s="6" t="n">
        <v>0</v>
      </c>
      <c r="AF461" s="6" t="n">
        <v>0</v>
      </c>
      <c r="AG461" s="6" t="n">
        <v>0</v>
      </c>
      <c r="AH461" s="6" t="n">
        <v>0</v>
      </c>
      <c r="AI461" s="6" t="s">
        <v>84</v>
      </c>
    </row>
    <row r="462" customFormat="false" ht="15" hidden="false" customHeight="false" outlineLevel="0" collapsed="false">
      <c r="A462" s="6" t="n">
        <v>461</v>
      </c>
      <c r="B462" s="6" t="s">
        <v>8275</v>
      </c>
      <c r="C462" s="6" t="n">
        <v>10</v>
      </c>
      <c r="D462" s="6" t="s">
        <v>154</v>
      </c>
      <c r="E462" s="6" t="s">
        <v>123</v>
      </c>
      <c r="F462" s="6" t="n">
        <v>3</v>
      </c>
      <c r="G462" s="6" t="n">
        <v>1064</v>
      </c>
      <c r="H462" s="6" t="s">
        <v>8276</v>
      </c>
      <c r="I462" s="22" t="n">
        <v>12560800</v>
      </c>
      <c r="J462" s="22" t="n">
        <v>5000</v>
      </c>
      <c r="K462" s="22" t="n">
        <v>942435</v>
      </c>
      <c r="L462" s="22" t="n">
        <v>13508235</v>
      </c>
      <c r="M462" s="6" t="s">
        <v>159</v>
      </c>
      <c r="N462" s="6" t="s">
        <v>84</v>
      </c>
      <c r="O462" s="6" t="s">
        <v>886</v>
      </c>
      <c r="P462" s="6" t="s">
        <v>85</v>
      </c>
      <c r="Q462" s="6" t="str">
        <f aca="false">IF(P462="pass","No","Yes")</f>
        <v>Yes</v>
      </c>
      <c r="R462" s="6" t="s">
        <v>86</v>
      </c>
      <c r="S462" s="6" t="s">
        <v>934</v>
      </c>
      <c r="T462" s="6" t="s">
        <v>197</v>
      </c>
      <c r="U462" s="23" t="n">
        <v>2.733</v>
      </c>
      <c r="V462" s="6" t="s">
        <v>8277</v>
      </c>
      <c r="W462" s="6" t="s">
        <v>8278</v>
      </c>
      <c r="X462" s="6" t="s">
        <v>8279</v>
      </c>
      <c r="Y462" s="6" t="s">
        <v>86</v>
      </c>
      <c r="Z462" s="6" t="n">
        <v>0</v>
      </c>
      <c r="AA462" s="6" t="n">
        <v>0</v>
      </c>
      <c r="AB462" s="6" t="n">
        <v>1</v>
      </c>
      <c r="AC462" s="6" t="n">
        <v>1</v>
      </c>
      <c r="AD462" s="6" t="n">
        <v>0</v>
      </c>
      <c r="AE462" s="6" t="n">
        <v>0</v>
      </c>
      <c r="AF462" s="6" t="n">
        <v>0</v>
      </c>
      <c r="AG462" s="6" t="n">
        <v>0</v>
      </c>
      <c r="AH462" s="6" t="n">
        <v>0</v>
      </c>
      <c r="AI462" s="6" t="s">
        <v>84</v>
      </c>
    </row>
    <row r="463" customFormat="false" ht="15" hidden="false" customHeight="false" outlineLevel="0" collapsed="false">
      <c r="A463" s="6" t="n">
        <v>462</v>
      </c>
      <c r="B463" s="6" t="s">
        <v>8280</v>
      </c>
      <c r="C463" s="6" t="n">
        <v>10</v>
      </c>
      <c r="D463" s="6" t="s">
        <v>186</v>
      </c>
      <c r="E463" s="6" t="s">
        <v>146</v>
      </c>
      <c r="F463" s="6" t="n">
        <v>1</v>
      </c>
      <c r="G463" s="6" t="n">
        <v>4</v>
      </c>
      <c r="H463" s="6" t="s">
        <v>4044</v>
      </c>
      <c r="I463" s="22" t="n">
        <v>152000</v>
      </c>
      <c r="J463" s="22" t="n">
        <v>0</v>
      </c>
      <c r="K463" s="22" t="n">
        <v>11400</v>
      </c>
      <c r="L463" s="22" t="n">
        <v>163400</v>
      </c>
      <c r="M463" s="6" t="s">
        <v>148</v>
      </c>
      <c r="N463" s="6" t="s">
        <v>84</v>
      </c>
      <c r="O463" s="6" t="s">
        <v>866</v>
      </c>
      <c r="P463" s="6" t="s">
        <v>85</v>
      </c>
      <c r="Q463" s="6" t="str">
        <f aca="false">IF(P463="pass","No","Yes")</f>
        <v>Yes</v>
      </c>
      <c r="R463" s="6" t="s">
        <v>86</v>
      </c>
      <c r="S463" s="6" t="s">
        <v>866</v>
      </c>
      <c r="T463" s="6" t="s">
        <v>150</v>
      </c>
      <c r="U463" s="23" t="n">
        <v>2.204</v>
      </c>
      <c r="V463" s="6" t="s">
        <v>8281</v>
      </c>
      <c r="W463" s="6" t="s">
        <v>8282</v>
      </c>
      <c r="X463" s="6" t="s">
        <v>8283</v>
      </c>
      <c r="Y463" s="6" t="s">
        <v>86</v>
      </c>
      <c r="Z463" s="6" t="n">
        <v>1</v>
      </c>
      <c r="AA463" s="6" t="n">
        <v>0</v>
      </c>
      <c r="AB463" s="6" t="n">
        <v>0</v>
      </c>
      <c r="AC463" s="6" t="n">
        <v>0</v>
      </c>
      <c r="AD463" s="6" t="n">
        <v>0</v>
      </c>
      <c r="AE463" s="6" t="n">
        <v>0</v>
      </c>
      <c r="AF463" s="6" t="n">
        <v>0</v>
      </c>
      <c r="AG463" s="6" t="n">
        <v>0</v>
      </c>
      <c r="AH463" s="6" t="n">
        <v>0</v>
      </c>
      <c r="AI463" s="6" t="s">
        <v>84</v>
      </c>
    </row>
    <row r="464" customFormat="false" ht="15" hidden="false" customHeight="false" outlineLevel="0" collapsed="false">
      <c r="A464" s="6" t="n">
        <v>463</v>
      </c>
      <c r="B464" s="6" t="s">
        <v>8284</v>
      </c>
      <c r="C464" s="6" t="n">
        <v>10</v>
      </c>
      <c r="D464" s="6" t="s">
        <v>112</v>
      </c>
      <c r="E464" s="6" t="s">
        <v>116</v>
      </c>
      <c r="F464" s="6" t="n">
        <v>1</v>
      </c>
      <c r="G464" s="6" t="n">
        <v>82</v>
      </c>
      <c r="H464" s="6" t="s">
        <v>4625</v>
      </c>
      <c r="I464" s="22" t="n">
        <v>1189000</v>
      </c>
      <c r="J464" s="22" t="n">
        <v>15000</v>
      </c>
      <c r="K464" s="22" t="n">
        <v>90300</v>
      </c>
      <c r="L464" s="22" t="n">
        <v>1294300</v>
      </c>
      <c r="M464" s="6" t="s">
        <v>57</v>
      </c>
      <c r="N464" s="6" t="s">
        <v>58</v>
      </c>
      <c r="O464" s="6"/>
      <c r="P464" s="6" t="s">
        <v>69</v>
      </c>
      <c r="Q464" s="6" t="str">
        <f aca="false">IF(P464="pass","No","Yes")</f>
        <v>No</v>
      </c>
      <c r="R464" s="6" t="s">
        <v>60</v>
      </c>
      <c r="S464" s="6"/>
      <c r="T464" s="6"/>
      <c r="U464" s="23" t="n">
        <v>2.795</v>
      </c>
      <c r="V464" s="6" t="s">
        <v>8285</v>
      </c>
      <c r="W464" s="6" t="s">
        <v>8286</v>
      </c>
      <c r="X464" s="6" t="s">
        <v>8287</v>
      </c>
      <c r="Y464" s="6" t="s">
        <v>60</v>
      </c>
      <c r="Z464" s="6" t="n">
        <v>0</v>
      </c>
      <c r="AA464" s="6" t="n">
        <v>0</v>
      </c>
      <c r="AB464" s="6" t="n">
        <v>0</v>
      </c>
      <c r="AC464" s="6" t="n">
        <v>0</v>
      </c>
      <c r="AD464" s="6" t="n">
        <v>0</v>
      </c>
      <c r="AE464" s="6" t="n">
        <v>0</v>
      </c>
      <c r="AF464" s="6" t="n">
        <v>0</v>
      </c>
      <c r="AG464" s="6" t="n">
        <v>0</v>
      </c>
      <c r="AH464" s="6" t="n">
        <v>0</v>
      </c>
      <c r="AI464" s="6" t="s">
        <v>84</v>
      </c>
    </row>
    <row r="465" customFormat="false" ht="15" hidden="false" customHeight="false" outlineLevel="0" collapsed="false">
      <c r="A465" s="6" t="n">
        <v>464</v>
      </c>
      <c r="B465" s="6" t="s">
        <v>8288</v>
      </c>
      <c r="C465" s="6" t="n">
        <v>10</v>
      </c>
      <c r="D465" s="6" t="s">
        <v>166</v>
      </c>
      <c r="E465" s="6" t="s">
        <v>146</v>
      </c>
      <c r="F465" s="6" t="n">
        <v>2</v>
      </c>
      <c r="G465" s="6" t="n">
        <v>98</v>
      </c>
      <c r="H465" s="6" t="s">
        <v>8289</v>
      </c>
      <c r="I465" s="22" t="n">
        <v>954700</v>
      </c>
      <c r="J465" s="22" t="n">
        <v>0</v>
      </c>
      <c r="K465" s="22" t="n">
        <v>71602.5</v>
      </c>
      <c r="L465" s="22" t="n">
        <v>1026302.5</v>
      </c>
      <c r="M465" s="6" t="s">
        <v>148</v>
      </c>
      <c r="N465" s="6" t="s">
        <v>84</v>
      </c>
      <c r="O465" s="6" t="s">
        <v>866</v>
      </c>
      <c r="P465" s="6" t="s">
        <v>85</v>
      </c>
      <c r="Q465" s="6" t="str">
        <f aca="false">IF(P465="pass","No","Yes")</f>
        <v>Yes</v>
      </c>
      <c r="R465" s="6" t="s">
        <v>86</v>
      </c>
      <c r="S465" s="6" t="s">
        <v>866</v>
      </c>
      <c r="T465" s="6" t="s">
        <v>150</v>
      </c>
      <c r="U465" s="23" t="n">
        <v>2.063</v>
      </c>
      <c r="V465" s="6" t="s">
        <v>8290</v>
      </c>
      <c r="W465" s="6" t="s">
        <v>8291</v>
      </c>
      <c r="X465" s="6" t="s">
        <v>8292</v>
      </c>
      <c r="Y465" s="6" t="s">
        <v>86</v>
      </c>
      <c r="Z465" s="6" t="n">
        <v>1</v>
      </c>
      <c r="AA465" s="6" t="n">
        <v>0</v>
      </c>
      <c r="AB465" s="6" t="n">
        <v>0</v>
      </c>
      <c r="AC465" s="6" t="n">
        <v>0</v>
      </c>
      <c r="AD465" s="6" t="n">
        <v>0</v>
      </c>
      <c r="AE465" s="6" t="n">
        <v>0</v>
      </c>
      <c r="AF465" s="6" t="n">
        <v>0</v>
      </c>
      <c r="AG465" s="6" t="n">
        <v>0</v>
      </c>
      <c r="AH465" s="6" t="n">
        <v>0</v>
      </c>
      <c r="AI465" s="6" t="s">
        <v>84</v>
      </c>
    </row>
    <row r="466" customFormat="false" ht="15" hidden="false" customHeight="false" outlineLevel="0" collapsed="false">
      <c r="A466" s="6" t="n">
        <v>465</v>
      </c>
      <c r="B466" s="6" t="s">
        <v>8293</v>
      </c>
      <c r="C466" s="6" t="n">
        <v>10</v>
      </c>
      <c r="D466" s="6" t="s">
        <v>105</v>
      </c>
      <c r="E466" s="6" t="s">
        <v>81</v>
      </c>
      <c r="F466" s="6" t="n">
        <v>3</v>
      </c>
      <c r="G466" s="6" t="n">
        <v>82</v>
      </c>
      <c r="H466" s="6" t="s">
        <v>8294</v>
      </c>
      <c r="I466" s="22" t="n">
        <v>1293500</v>
      </c>
      <c r="J466" s="22" t="n">
        <v>4000</v>
      </c>
      <c r="K466" s="22" t="n">
        <v>97312.5</v>
      </c>
      <c r="L466" s="22" t="n">
        <v>1394812.5</v>
      </c>
      <c r="M466" s="6" t="s">
        <v>224</v>
      </c>
      <c r="N466" s="6" t="s">
        <v>84</v>
      </c>
      <c r="O466" s="6" t="s">
        <v>866</v>
      </c>
      <c r="P466" s="6" t="s">
        <v>85</v>
      </c>
      <c r="Q466" s="6" t="str">
        <f aca="false">IF(P466="pass","No","Yes")</f>
        <v>Yes</v>
      </c>
      <c r="R466" s="6" t="s">
        <v>86</v>
      </c>
      <c r="S466" s="6" t="s">
        <v>866</v>
      </c>
      <c r="T466" s="6" t="s">
        <v>225</v>
      </c>
      <c r="U466" s="23" t="n">
        <v>2.455</v>
      </c>
      <c r="V466" s="6" t="s">
        <v>8295</v>
      </c>
      <c r="W466" s="6" t="s">
        <v>8296</v>
      </c>
      <c r="X466" s="6" t="s">
        <v>8297</v>
      </c>
      <c r="Y466" s="6" t="s">
        <v>86</v>
      </c>
      <c r="Z466" s="6" t="n">
        <v>1</v>
      </c>
      <c r="AA466" s="6" t="n">
        <v>0</v>
      </c>
      <c r="AB466" s="6" t="n">
        <v>0</v>
      </c>
      <c r="AC466" s="6" t="n">
        <v>0</v>
      </c>
      <c r="AD466" s="6" t="n">
        <v>0</v>
      </c>
      <c r="AE466" s="6" t="n">
        <v>0</v>
      </c>
      <c r="AF466" s="6" t="n">
        <v>0</v>
      </c>
      <c r="AG466" s="6" t="n">
        <v>0</v>
      </c>
      <c r="AH466" s="6" t="n">
        <v>0</v>
      </c>
      <c r="AI466" s="6" t="s">
        <v>58</v>
      </c>
    </row>
    <row r="467" customFormat="false" ht="15" hidden="false" customHeight="false" outlineLevel="0" collapsed="false">
      <c r="A467" s="6" t="n">
        <v>466</v>
      </c>
      <c r="B467" s="6" t="s">
        <v>8298</v>
      </c>
      <c r="C467" s="6" t="n">
        <v>10</v>
      </c>
      <c r="D467" s="6" t="s">
        <v>166</v>
      </c>
      <c r="E467" s="6" t="s">
        <v>74</v>
      </c>
      <c r="F467" s="6" t="n">
        <v>3</v>
      </c>
      <c r="G467" s="6" t="n">
        <v>51</v>
      </c>
      <c r="H467" s="6" t="s">
        <v>8299</v>
      </c>
      <c r="I467" s="22" t="n">
        <v>1856500</v>
      </c>
      <c r="J467" s="22" t="n">
        <v>9000</v>
      </c>
      <c r="K467" s="22" t="n">
        <v>139912.5</v>
      </c>
      <c r="L467" s="22" t="n">
        <v>2005412.5</v>
      </c>
      <c r="M467" s="6" t="s">
        <v>57</v>
      </c>
      <c r="N467" s="6" t="s">
        <v>58</v>
      </c>
      <c r="O467" s="6"/>
      <c r="P467" s="6" t="s">
        <v>69</v>
      </c>
      <c r="Q467" s="6" t="str">
        <f aca="false">IF(P467="pass","No","Yes")</f>
        <v>No</v>
      </c>
      <c r="R467" s="6" t="s">
        <v>60</v>
      </c>
      <c r="S467" s="6"/>
      <c r="T467" s="6"/>
      <c r="U467" s="23" t="n">
        <v>2.715</v>
      </c>
      <c r="V467" s="6" t="s">
        <v>8300</v>
      </c>
      <c r="W467" s="6" t="s">
        <v>8301</v>
      </c>
      <c r="X467" s="6" t="s">
        <v>8302</v>
      </c>
      <c r="Y467" s="6" t="s">
        <v>60</v>
      </c>
      <c r="Z467" s="6" t="n">
        <v>0</v>
      </c>
      <c r="AA467" s="6" t="n">
        <v>0</v>
      </c>
      <c r="AB467" s="6" t="n">
        <v>0</v>
      </c>
      <c r="AC467" s="6" t="n">
        <v>0</v>
      </c>
      <c r="AD467" s="6" t="n">
        <v>0</v>
      </c>
      <c r="AE467" s="6" t="n">
        <v>0</v>
      </c>
      <c r="AF467" s="6" t="n">
        <v>0</v>
      </c>
      <c r="AG467" s="6" t="n">
        <v>0</v>
      </c>
      <c r="AH467" s="6" t="n">
        <v>0</v>
      </c>
      <c r="AI467" s="6" t="s">
        <v>84</v>
      </c>
    </row>
    <row r="468" customFormat="false" ht="15" hidden="false" customHeight="false" outlineLevel="0" collapsed="false">
      <c r="A468" s="6" t="n">
        <v>467</v>
      </c>
      <c r="B468" s="6" t="s">
        <v>8303</v>
      </c>
      <c r="C468" s="6" t="n">
        <v>10</v>
      </c>
      <c r="D468" s="6" t="s">
        <v>89</v>
      </c>
      <c r="E468" s="6" t="s">
        <v>67</v>
      </c>
      <c r="F468" s="6" t="n">
        <v>1</v>
      </c>
      <c r="G468" s="6" t="n">
        <v>13</v>
      </c>
      <c r="H468" s="6" t="s">
        <v>1453</v>
      </c>
      <c r="I468" s="22" t="n">
        <v>403000</v>
      </c>
      <c r="J468" s="22" t="n">
        <v>4500</v>
      </c>
      <c r="K468" s="22" t="n">
        <v>30562.5</v>
      </c>
      <c r="L468" s="22" t="n">
        <v>438062.5</v>
      </c>
      <c r="M468" s="6" t="s">
        <v>57</v>
      </c>
      <c r="N468" s="6" t="s">
        <v>58</v>
      </c>
      <c r="O468" s="6"/>
      <c r="P468" s="6" t="s">
        <v>69</v>
      </c>
      <c r="Q468" s="6" t="str">
        <f aca="false">IF(P468="pass","No","Yes")</f>
        <v>No</v>
      </c>
      <c r="R468" s="6" t="s">
        <v>60</v>
      </c>
      <c r="S468" s="6"/>
      <c r="T468" s="6"/>
      <c r="U468" s="23" t="n">
        <v>2.483</v>
      </c>
      <c r="V468" s="6" t="s">
        <v>8304</v>
      </c>
      <c r="W468" s="6" t="s">
        <v>8305</v>
      </c>
      <c r="X468" s="6" t="s">
        <v>8306</v>
      </c>
      <c r="Y468" s="6" t="s">
        <v>60</v>
      </c>
      <c r="Z468" s="6" t="n">
        <v>0</v>
      </c>
      <c r="AA468" s="6" t="n">
        <v>0</v>
      </c>
      <c r="AB468" s="6" t="n">
        <v>0</v>
      </c>
      <c r="AC468" s="6" t="n">
        <v>0</v>
      </c>
      <c r="AD468" s="6" t="n">
        <v>0</v>
      </c>
      <c r="AE468" s="6" t="n">
        <v>0</v>
      </c>
      <c r="AF468" s="6" t="n">
        <v>0</v>
      </c>
      <c r="AG468" s="6" t="n">
        <v>0</v>
      </c>
      <c r="AH468" s="6" t="n">
        <v>0</v>
      </c>
      <c r="AI468" s="6" t="s">
        <v>84</v>
      </c>
    </row>
    <row r="469" customFormat="false" ht="15" hidden="false" customHeight="false" outlineLevel="0" collapsed="false">
      <c r="A469" s="6" t="n">
        <v>468</v>
      </c>
      <c r="B469" s="6" t="s">
        <v>8307</v>
      </c>
      <c r="C469" s="6" t="n">
        <v>10</v>
      </c>
      <c r="D469" s="6" t="s">
        <v>70</v>
      </c>
      <c r="E469" s="6" t="s">
        <v>74</v>
      </c>
      <c r="F469" s="6" t="n">
        <v>4</v>
      </c>
      <c r="G469" s="6" t="n">
        <v>1082</v>
      </c>
      <c r="H469" s="6" t="s">
        <v>8308</v>
      </c>
      <c r="I469" s="22" t="n">
        <v>13592400</v>
      </c>
      <c r="J469" s="22" t="n">
        <v>9000</v>
      </c>
      <c r="K469" s="22" t="n">
        <v>1020105</v>
      </c>
      <c r="L469" s="22" t="n">
        <v>14621505</v>
      </c>
      <c r="M469" s="6" t="s">
        <v>159</v>
      </c>
      <c r="N469" s="6" t="s">
        <v>84</v>
      </c>
      <c r="O469" s="6" t="s">
        <v>886</v>
      </c>
      <c r="P469" s="6" t="s">
        <v>85</v>
      </c>
      <c r="Q469" s="6" t="str">
        <f aca="false">IF(P469="pass","No","Yes")</f>
        <v>Yes</v>
      </c>
      <c r="R469" s="6" t="s">
        <v>86</v>
      </c>
      <c r="S469" s="6" t="s">
        <v>934</v>
      </c>
      <c r="T469" s="6" t="s">
        <v>491</v>
      </c>
      <c r="U469" s="23" t="n">
        <v>2.519</v>
      </c>
      <c r="V469" s="6" t="s">
        <v>8309</v>
      </c>
      <c r="W469" s="6" t="s">
        <v>8310</v>
      </c>
      <c r="X469" s="6" t="s">
        <v>8311</v>
      </c>
      <c r="Y469" s="6" t="s">
        <v>86</v>
      </c>
      <c r="Z469" s="6" t="n">
        <v>0</v>
      </c>
      <c r="AA469" s="6" t="n">
        <v>0</v>
      </c>
      <c r="AB469" s="6" t="n">
        <v>1</v>
      </c>
      <c r="AC469" s="6" t="n">
        <v>1</v>
      </c>
      <c r="AD469" s="6" t="n">
        <v>0</v>
      </c>
      <c r="AE469" s="6" t="n">
        <v>0</v>
      </c>
      <c r="AF469" s="6" t="n">
        <v>0</v>
      </c>
      <c r="AG469" s="6" t="n">
        <v>0</v>
      </c>
      <c r="AH469" s="6" t="n">
        <v>0</v>
      </c>
      <c r="AI469" s="6" t="s">
        <v>84</v>
      </c>
    </row>
    <row r="470" customFormat="false" ht="15" hidden="false" customHeight="false" outlineLevel="0" collapsed="false">
      <c r="A470" s="6" t="n">
        <v>469</v>
      </c>
      <c r="B470" s="6" t="s">
        <v>8312</v>
      </c>
      <c r="C470" s="6" t="n">
        <v>10</v>
      </c>
      <c r="D470" s="6" t="s">
        <v>186</v>
      </c>
      <c r="E470" s="6" t="s">
        <v>123</v>
      </c>
      <c r="F470" s="6" t="n">
        <v>1</v>
      </c>
      <c r="G470" s="6" t="n">
        <v>8</v>
      </c>
      <c r="H470" s="6" t="s">
        <v>8313</v>
      </c>
      <c r="I470" s="22" t="n">
        <v>94400</v>
      </c>
      <c r="J470" s="22" t="n">
        <v>5000</v>
      </c>
      <c r="K470" s="22" t="n">
        <v>7455</v>
      </c>
      <c r="L470" s="22" t="n">
        <v>106855</v>
      </c>
      <c r="M470" s="6" t="s">
        <v>57</v>
      </c>
      <c r="N470" s="6" t="s">
        <v>58</v>
      </c>
      <c r="O470" s="6"/>
      <c r="P470" s="6" t="s">
        <v>69</v>
      </c>
      <c r="Q470" s="6" t="str">
        <f aca="false">IF(P470="pass","No","Yes")</f>
        <v>No</v>
      </c>
      <c r="R470" s="6" t="s">
        <v>60</v>
      </c>
      <c r="S470" s="6"/>
      <c r="T470" s="6"/>
      <c r="U470" s="23" t="n">
        <v>2.63</v>
      </c>
      <c r="V470" s="6" t="s">
        <v>8314</v>
      </c>
      <c r="W470" s="6" t="s">
        <v>8315</v>
      </c>
      <c r="X470" s="6" t="s">
        <v>8316</v>
      </c>
      <c r="Y470" s="6" t="s">
        <v>60</v>
      </c>
      <c r="Z470" s="6" t="n">
        <v>0</v>
      </c>
      <c r="AA470" s="6" t="n">
        <v>0</v>
      </c>
      <c r="AB470" s="6" t="n">
        <v>0</v>
      </c>
      <c r="AC470" s="6" t="n">
        <v>0</v>
      </c>
      <c r="AD470" s="6" t="n">
        <v>0</v>
      </c>
      <c r="AE470" s="6" t="n">
        <v>0</v>
      </c>
      <c r="AF470" s="6" t="n">
        <v>0</v>
      </c>
      <c r="AG470" s="6" t="n">
        <v>0</v>
      </c>
      <c r="AH470" s="6" t="n">
        <v>0</v>
      </c>
      <c r="AI470" s="6" t="s">
        <v>84</v>
      </c>
    </row>
    <row r="471" customFormat="false" ht="15" hidden="false" customHeight="false" outlineLevel="0" collapsed="false">
      <c r="A471" s="6" t="n">
        <v>470</v>
      </c>
      <c r="B471" s="6" t="s">
        <v>8317</v>
      </c>
      <c r="C471" s="6" t="n">
        <v>10</v>
      </c>
      <c r="D471" s="6" t="s">
        <v>127</v>
      </c>
      <c r="E471" s="6" t="s">
        <v>55</v>
      </c>
      <c r="F471" s="6" t="n">
        <v>1</v>
      </c>
      <c r="G471" s="6" t="n">
        <v>24</v>
      </c>
      <c r="H471" s="6" t="s">
        <v>8318</v>
      </c>
      <c r="I471" s="22" t="n">
        <v>912000</v>
      </c>
      <c r="J471" s="22" t="n">
        <v>6000</v>
      </c>
      <c r="K471" s="22" t="n">
        <v>68850</v>
      </c>
      <c r="L471" s="22" t="n">
        <v>986850</v>
      </c>
      <c r="M471" s="6" t="s">
        <v>984</v>
      </c>
      <c r="N471" s="6" t="s">
        <v>84</v>
      </c>
      <c r="O471" s="6" t="s">
        <v>985</v>
      </c>
      <c r="P471" s="6" t="s">
        <v>85</v>
      </c>
      <c r="Q471" s="6" t="str">
        <f aca="false">IF(P471="pass","No","Yes")</f>
        <v>Yes</v>
      </c>
      <c r="R471" s="6" t="s">
        <v>86</v>
      </c>
      <c r="S471" s="6" t="s">
        <v>985</v>
      </c>
      <c r="T471" s="6" t="s">
        <v>1076</v>
      </c>
      <c r="U471" s="23" t="n">
        <v>2.161</v>
      </c>
      <c r="V471" s="6" t="s">
        <v>8319</v>
      </c>
      <c r="W471" s="6" t="s">
        <v>8320</v>
      </c>
      <c r="X471" s="6" t="s">
        <v>8321</v>
      </c>
      <c r="Y471" s="6" t="s">
        <v>86</v>
      </c>
      <c r="Z471" s="6" t="n">
        <v>0</v>
      </c>
      <c r="AA471" s="6" t="n">
        <v>0</v>
      </c>
      <c r="AB471" s="6" t="n">
        <v>0</v>
      </c>
      <c r="AC471" s="6" t="n">
        <v>0</v>
      </c>
      <c r="AD471" s="6" t="n">
        <v>0</v>
      </c>
      <c r="AE471" s="6" t="n">
        <v>1</v>
      </c>
      <c r="AF471" s="6" t="n">
        <v>0</v>
      </c>
      <c r="AG471" s="6" t="n">
        <v>0</v>
      </c>
      <c r="AH471" s="6" t="n">
        <v>0</v>
      </c>
      <c r="AI471" s="6" t="s">
        <v>84</v>
      </c>
    </row>
    <row r="472" customFormat="false" ht="15" hidden="false" customHeight="false" outlineLevel="0" collapsed="false">
      <c r="A472" s="6" t="n">
        <v>471</v>
      </c>
      <c r="B472" s="6" t="s">
        <v>8322</v>
      </c>
      <c r="C472" s="6" t="n">
        <v>10</v>
      </c>
      <c r="D472" s="6" t="s">
        <v>137</v>
      </c>
      <c r="E472" s="6" t="s">
        <v>55</v>
      </c>
      <c r="F472" s="6" t="n">
        <v>1</v>
      </c>
      <c r="G472" s="6" t="n">
        <v>56</v>
      </c>
      <c r="H472" s="6" t="s">
        <v>8323</v>
      </c>
      <c r="I472" s="22" t="n">
        <v>660800</v>
      </c>
      <c r="J472" s="22" t="n">
        <v>6000</v>
      </c>
      <c r="K472" s="22" t="n">
        <v>50010</v>
      </c>
      <c r="L472" s="22" t="n">
        <v>716810</v>
      </c>
      <c r="M472" s="6" t="s">
        <v>57</v>
      </c>
      <c r="N472" s="6" t="s">
        <v>58</v>
      </c>
      <c r="O472" s="6"/>
      <c r="P472" s="6" t="s">
        <v>69</v>
      </c>
      <c r="Q472" s="6" t="str">
        <f aca="false">IF(P472="pass","No","Yes")</f>
        <v>No</v>
      </c>
      <c r="R472" s="6" t="s">
        <v>60</v>
      </c>
      <c r="S472" s="6"/>
      <c r="T472" s="6"/>
      <c r="U472" s="23" t="n">
        <v>2.754</v>
      </c>
      <c r="V472" s="6" t="s">
        <v>8324</v>
      </c>
      <c r="W472" s="6" t="s">
        <v>8325</v>
      </c>
      <c r="X472" s="6" t="s">
        <v>8326</v>
      </c>
      <c r="Y472" s="6" t="s">
        <v>60</v>
      </c>
      <c r="Z472" s="6" t="n">
        <v>0</v>
      </c>
      <c r="AA472" s="6" t="n">
        <v>0</v>
      </c>
      <c r="AB472" s="6" t="n">
        <v>0</v>
      </c>
      <c r="AC472" s="6" t="n">
        <v>0</v>
      </c>
      <c r="AD472" s="6" t="n">
        <v>0</v>
      </c>
      <c r="AE472" s="6" t="n">
        <v>0</v>
      </c>
      <c r="AF472" s="6" t="n">
        <v>0</v>
      </c>
      <c r="AG472" s="6" t="n">
        <v>0</v>
      </c>
      <c r="AH472" s="6" t="n">
        <v>0</v>
      </c>
      <c r="AI472" s="6" t="s">
        <v>84</v>
      </c>
    </row>
    <row r="473" customFormat="false" ht="15" hidden="false" customHeight="false" outlineLevel="0" collapsed="false">
      <c r="A473" s="6" t="n">
        <v>472</v>
      </c>
      <c r="B473" s="6" t="s">
        <v>8327</v>
      </c>
      <c r="C473" s="6" t="n">
        <v>10</v>
      </c>
      <c r="D473" s="6" t="s">
        <v>177</v>
      </c>
      <c r="E473" s="6" t="s">
        <v>81</v>
      </c>
      <c r="F473" s="6" t="n">
        <v>1</v>
      </c>
      <c r="G473" s="6" t="n">
        <v>10</v>
      </c>
      <c r="H473" s="6" t="s">
        <v>1036</v>
      </c>
      <c r="I473" s="22" t="n">
        <v>310000</v>
      </c>
      <c r="J473" s="22" t="n">
        <v>4000</v>
      </c>
      <c r="K473" s="22" t="n">
        <v>23550</v>
      </c>
      <c r="L473" s="22" t="n">
        <v>337550</v>
      </c>
      <c r="M473" s="6" t="s">
        <v>224</v>
      </c>
      <c r="N473" s="6" t="s">
        <v>84</v>
      </c>
      <c r="O473" s="6" t="s">
        <v>866</v>
      </c>
      <c r="P473" s="6" t="s">
        <v>85</v>
      </c>
      <c r="Q473" s="6" t="str">
        <f aca="false">IF(P473="pass","No","Yes")</f>
        <v>Yes</v>
      </c>
      <c r="R473" s="6" t="s">
        <v>86</v>
      </c>
      <c r="S473" s="6" t="s">
        <v>866</v>
      </c>
      <c r="T473" s="6" t="s">
        <v>225</v>
      </c>
      <c r="U473" s="23" t="n">
        <v>2.393</v>
      </c>
      <c r="V473" s="6" t="s">
        <v>8328</v>
      </c>
      <c r="W473" s="6" t="s">
        <v>8329</v>
      </c>
      <c r="X473" s="6" t="s">
        <v>8330</v>
      </c>
      <c r="Y473" s="6" t="s">
        <v>86</v>
      </c>
      <c r="Z473" s="6" t="n">
        <v>1</v>
      </c>
      <c r="AA473" s="6" t="n">
        <v>0</v>
      </c>
      <c r="AB473" s="6" t="n">
        <v>0</v>
      </c>
      <c r="AC473" s="6" t="n">
        <v>0</v>
      </c>
      <c r="AD473" s="6" t="n">
        <v>0</v>
      </c>
      <c r="AE473" s="6" t="n">
        <v>0</v>
      </c>
      <c r="AF473" s="6" t="n">
        <v>0</v>
      </c>
      <c r="AG473" s="6" t="n">
        <v>0</v>
      </c>
      <c r="AH473" s="6" t="n">
        <v>0</v>
      </c>
      <c r="AI473" s="6" t="s">
        <v>58</v>
      </c>
    </row>
    <row r="474" customFormat="false" ht="15" hidden="false" customHeight="false" outlineLevel="0" collapsed="false">
      <c r="A474" s="6" t="n">
        <v>473</v>
      </c>
      <c r="B474" s="6" t="s">
        <v>8331</v>
      </c>
      <c r="C474" s="6" t="n">
        <v>10</v>
      </c>
      <c r="D474" s="6" t="s">
        <v>137</v>
      </c>
      <c r="E474" s="6" t="s">
        <v>55</v>
      </c>
      <c r="F474" s="6" t="n">
        <v>1</v>
      </c>
      <c r="G474" s="6" t="n">
        <v>56</v>
      </c>
      <c r="H474" s="6" t="s">
        <v>8323</v>
      </c>
      <c r="I474" s="22" t="n">
        <v>660800</v>
      </c>
      <c r="J474" s="22" t="n">
        <v>6000</v>
      </c>
      <c r="K474" s="22" t="n">
        <v>50010</v>
      </c>
      <c r="L474" s="22" t="n">
        <v>716810</v>
      </c>
      <c r="M474" s="6" t="s">
        <v>97</v>
      </c>
      <c r="N474" s="6" t="s">
        <v>84</v>
      </c>
      <c r="O474" s="6" t="s">
        <v>1185</v>
      </c>
      <c r="P474" s="6" t="s">
        <v>59</v>
      </c>
      <c r="Q474" s="6" t="str">
        <f aca="false">IF(P474="pass","No","Yes")</f>
        <v>Yes</v>
      </c>
      <c r="R474" s="6" t="s">
        <v>98</v>
      </c>
      <c r="S474" s="6" t="s">
        <v>1185</v>
      </c>
      <c r="T474" s="6" t="s">
        <v>8332</v>
      </c>
      <c r="U474" s="23" t="n">
        <v>1.514</v>
      </c>
      <c r="V474" s="6" t="s">
        <v>8333</v>
      </c>
      <c r="W474" s="6"/>
      <c r="X474" s="6" t="s">
        <v>8333</v>
      </c>
      <c r="Y474" s="6" t="s">
        <v>98</v>
      </c>
      <c r="Z474" s="6" t="n">
        <v>0</v>
      </c>
      <c r="AA474" s="6" t="n">
        <v>0</v>
      </c>
      <c r="AB474" s="6" t="n">
        <v>0</v>
      </c>
      <c r="AC474" s="6" t="n">
        <v>0</v>
      </c>
      <c r="AD474" s="6" t="n">
        <v>0</v>
      </c>
      <c r="AE474" s="6" t="n">
        <v>0</v>
      </c>
      <c r="AF474" s="6" t="n">
        <v>0</v>
      </c>
      <c r="AG474" s="6" t="n">
        <v>1</v>
      </c>
      <c r="AH474" s="6" t="n">
        <v>0</v>
      </c>
      <c r="AI474" s="6" t="s">
        <v>84</v>
      </c>
    </row>
    <row r="475" customFormat="false" ht="15" hidden="false" customHeight="false" outlineLevel="0" collapsed="false">
      <c r="A475" s="6" t="n">
        <v>474</v>
      </c>
      <c r="B475" s="6" t="s">
        <v>8334</v>
      </c>
      <c r="C475" s="6" t="n">
        <v>10</v>
      </c>
      <c r="D475" s="6" t="s">
        <v>186</v>
      </c>
      <c r="E475" s="6" t="s">
        <v>123</v>
      </c>
      <c r="F475" s="6" t="n">
        <v>2</v>
      </c>
      <c r="G475" s="6" t="n">
        <v>84</v>
      </c>
      <c r="H475" s="6" t="s">
        <v>8335</v>
      </c>
      <c r="I475" s="22" t="n">
        <v>787200</v>
      </c>
      <c r="J475" s="22" t="n">
        <v>5000</v>
      </c>
      <c r="K475" s="22" t="n">
        <v>59415</v>
      </c>
      <c r="L475" s="22" t="n">
        <v>851615</v>
      </c>
      <c r="M475" s="6" t="s">
        <v>57</v>
      </c>
      <c r="N475" s="6" t="s">
        <v>58</v>
      </c>
      <c r="O475" s="6"/>
      <c r="P475" s="6" t="s">
        <v>69</v>
      </c>
      <c r="Q475" s="6" t="str">
        <f aca="false">IF(P475="pass","No","Yes")</f>
        <v>No</v>
      </c>
      <c r="R475" s="6" t="s">
        <v>60</v>
      </c>
      <c r="S475" s="6"/>
      <c r="T475" s="6"/>
      <c r="U475" s="23" t="n">
        <v>2.784</v>
      </c>
      <c r="V475" s="6" t="s">
        <v>8336</v>
      </c>
      <c r="W475" s="6" t="s">
        <v>8337</v>
      </c>
      <c r="X475" s="6" t="s">
        <v>8338</v>
      </c>
      <c r="Y475" s="6" t="s">
        <v>60</v>
      </c>
      <c r="Z475" s="6" t="n">
        <v>0</v>
      </c>
      <c r="AA475" s="6" t="n">
        <v>0</v>
      </c>
      <c r="AB475" s="6" t="n">
        <v>0</v>
      </c>
      <c r="AC475" s="6" t="n">
        <v>0</v>
      </c>
      <c r="AD475" s="6" t="n">
        <v>0</v>
      </c>
      <c r="AE475" s="6" t="n">
        <v>0</v>
      </c>
      <c r="AF475" s="6" t="n">
        <v>0</v>
      </c>
      <c r="AG475" s="6" t="n">
        <v>0</v>
      </c>
      <c r="AH475" s="6" t="n">
        <v>0</v>
      </c>
      <c r="AI475" s="6" t="s">
        <v>84</v>
      </c>
    </row>
    <row r="476" customFormat="false" ht="15" hidden="false" customHeight="false" outlineLevel="0" collapsed="false">
      <c r="A476" s="6" t="n">
        <v>475</v>
      </c>
      <c r="B476" s="6" t="s">
        <v>8339</v>
      </c>
      <c r="C476" s="6" t="n">
        <v>10</v>
      </c>
      <c r="D476" s="6" t="s">
        <v>105</v>
      </c>
      <c r="E476" s="6" t="s">
        <v>81</v>
      </c>
      <c r="F476" s="6" t="n">
        <v>2</v>
      </c>
      <c r="G476" s="6" t="n">
        <v>162</v>
      </c>
      <c r="H476" s="6" t="s">
        <v>8340</v>
      </c>
      <c r="I476" s="22" t="n">
        <v>1378400</v>
      </c>
      <c r="J476" s="22" t="n">
        <v>4000</v>
      </c>
      <c r="K476" s="22" t="n">
        <v>103680</v>
      </c>
      <c r="L476" s="22" t="n">
        <v>1486080</v>
      </c>
      <c r="M476" s="6" t="s">
        <v>57</v>
      </c>
      <c r="N476" s="6" t="s">
        <v>58</v>
      </c>
      <c r="O476" s="6"/>
      <c r="P476" s="6" t="s">
        <v>59</v>
      </c>
      <c r="Q476" s="6" t="str">
        <f aca="false">IF(P476="pass","No","Yes")</f>
        <v>Yes</v>
      </c>
      <c r="R476" s="6" t="s">
        <v>60</v>
      </c>
      <c r="S476" s="6" t="s">
        <v>915</v>
      </c>
      <c r="T476" s="6" t="s">
        <v>8341</v>
      </c>
      <c r="U476" s="23" t="n">
        <v>2.916</v>
      </c>
      <c r="V476" s="6" t="s">
        <v>8342</v>
      </c>
      <c r="W476" s="6" t="s">
        <v>8343</v>
      </c>
      <c r="X476" s="6" t="s">
        <v>8344</v>
      </c>
      <c r="Y476" s="6" t="s">
        <v>60</v>
      </c>
      <c r="Z476" s="6" t="n">
        <v>0</v>
      </c>
      <c r="AA476" s="6" t="n">
        <v>0</v>
      </c>
      <c r="AB476" s="6" t="n">
        <v>0</v>
      </c>
      <c r="AC476" s="6" t="n">
        <v>0</v>
      </c>
      <c r="AD476" s="6" t="n">
        <v>0</v>
      </c>
      <c r="AE476" s="6" t="n">
        <v>0</v>
      </c>
      <c r="AF476" s="6" t="n">
        <v>0</v>
      </c>
      <c r="AG476" s="6" t="n">
        <v>0</v>
      </c>
      <c r="AH476" s="6" t="n">
        <v>1</v>
      </c>
      <c r="AI476" s="6" t="s">
        <v>84</v>
      </c>
    </row>
    <row r="477" customFormat="false" ht="15" hidden="false" customHeight="false" outlineLevel="0" collapsed="false">
      <c r="A477" s="6" t="n">
        <v>476</v>
      </c>
      <c r="B477" s="6" t="s">
        <v>8345</v>
      </c>
      <c r="C477" s="6" t="n">
        <v>10</v>
      </c>
      <c r="D477" s="6" t="s">
        <v>112</v>
      </c>
      <c r="E477" s="6" t="s">
        <v>116</v>
      </c>
      <c r="F477" s="6" t="n">
        <v>4</v>
      </c>
      <c r="G477" s="6" t="n">
        <v>126</v>
      </c>
      <c r="H477" s="6" t="s">
        <v>8346</v>
      </c>
      <c r="I477" s="22" t="n">
        <v>1492500</v>
      </c>
      <c r="J477" s="22" t="n">
        <v>15000</v>
      </c>
      <c r="K477" s="22" t="n">
        <v>113062.5</v>
      </c>
      <c r="L477" s="22" t="n">
        <v>1620562.5</v>
      </c>
      <c r="M477" s="6" t="s">
        <v>272</v>
      </c>
      <c r="N477" s="6" t="s">
        <v>84</v>
      </c>
      <c r="O477" s="6" t="s">
        <v>879</v>
      </c>
      <c r="P477" s="6" t="s">
        <v>85</v>
      </c>
      <c r="Q477" s="6" t="str">
        <f aca="false">IF(P477="pass","No","Yes")</f>
        <v>Yes</v>
      </c>
      <c r="R477" s="6" t="s">
        <v>86</v>
      </c>
      <c r="S477" s="6" t="s">
        <v>879</v>
      </c>
      <c r="T477" s="6" t="s">
        <v>8347</v>
      </c>
      <c r="U477" s="23" t="n">
        <v>2.489</v>
      </c>
      <c r="V477" s="6" t="s">
        <v>8348</v>
      </c>
      <c r="W477" s="6" t="s">
        <v>8349</v>
      </c>
      <c r="X477" s="6" t="s">
        <v>8350</v>
      </c>
      <c r="Y477" s="6" t="s">
        <v>86</v>
      </c>
      <c r="Z477" s="6" t="n">
        <v>0</v>
      </c>
      <c r="AA477" s="6" t="n">
        <v>1</v>
      </c>
      <c r="AB477" s="6" t="n">
        <v>0</v>
      </c>
      <c r="AC477" s="6" t="n">
        <v>0</v>
      </c>
      <c r="AD477" s="6" t="n">
        <v>0</v>
      </c>
      <c r="AE477" s="6" t="n">
        <v>0</v>
      </c>
      <c r="AF477" s="6" t="n">
        <v>0</v>
      </c>
      <c r="AG477" s="6" t="n">
        <v>0</v>
      </c>
      <c r="AH477" s="6" t="n">
        <v>0</v>
      </c>
      <c r="AI477" s="6" t="s">
        <v>84</v>
      </c>
    </row>
    <row r="478" customFormat="false" ht="15" hidden="false" customHeight="false" outlineLevel="0" collapsed="false">
      <c r="A478" s="6" t="n">
        <v>477</v>
      </c>
      <c r="B478" s="6" t="s">
        <v>8351</v>
      </c>
      <c r="C478" s="6" t="n">
        <v>10</v>
      </c>
      <c r="D478" s="6" t="s">
        <v>105</v>
      </c>
      <c r="E478" s="6" t="s">
        <v>81</v>
      </c>
      <c r="F478" s="6" t="n">
        <v>2</v>
      </c>
      <c r="G478" s="6" t="n">
        <v>162</v>
      </c>
      <c r="H478" s="6" t="s">
        <v>8340</v>
      </c>
      <c r="I478" s="22" t="n">
        <v>1378400</v>
      </c>
      <c r="J478" s="22" t="n">
        <v>4000</v>
      </c>
      <c r="K478" s="22" t="n">
        <v>103680</v>
      </c>
      <c r="L478" s="22" t="n">
        <v>1486080</v>
      </c>
      <c r="M478" s="6" t="s">
        <v>97</v>
      </c>
      <c r="N478" s="6" t="s">
        <v>84</v>
      </c>
      <c r="O478" s="6" t="s">
        <v>1185</v>
      </c>
      <c r="P478" s="6" t="s">
        <v>59</v>
      </c>
      <c r="Q478" s="6" t="str">
        <f aca="false">IF(P478="pass","No","Yes")</f>
        <v>Yes</v>
      </c>
      <c r="R478" s="6" t="s">
        <v>98</v>
      </c>
      <c r="S478" s="6" t="s">
        <v>1185</v>
      </c>
      <c r="T478" s="6" t="s">
        <v>8352</v>
      </c>
      <c r="U478" s="23" t="n">
        <v>1.738</v>
      </c>
      <c r="V478" s="6" t="s">
        <v>8353</v>
      </c>
      <c r="W478" s="6"/>
      <c r="X478" s="6" t="s">
        <v>8353</v>
      </c>
      <c r="Y478" s="6" t="s">
        <v>98</v>
      </c>
      <c r="Z478" s="6" t="n">
        <v>0</v>
      </c>
      <c r="AA478" s="6" t="n">
        <v>0</v>
      </c>
      <c r="AB478" s="6" t="n">
        <v>0</v>
      </c>
      <c r="AC478" s="6" t="n">
        <v>0</v>
      </c>
      <c r="AD478" s="6" t="n">
        <v>0</v>
      </c>
      <c r="AE478" s="6" t="n">
        <v>0</v>
      </c>
      <c r="AF478" s="6" t="n">
        <v>0</v>
      </c>
      <c r="AG478" s="6" t="n">
        <v>1</v>
      </c>
      <c r="AH478" s="6" t="n">
        <v>0</v>
      </c>
      <c r="AI478" s="6" t="s">
        <v>84</v>
      </c>
    </row>
    <row r="479" customFormat="false" ht="15" hidden="false" customHeight="false" outlineLevel="0" collapsed="false">
      <c r="A479" s="6" t="n">
        <v>478</v>
      </c>
      <c r="B479" s="6" t="s">
        <v>8354</v>
      </c>
      <c r="C479" s="6" t="n">
        <v>10</v>
      </c>
      <c r="D479" s="6" t="s">
        <v>154</v>
      </c>
      <c r="E479" s="6" t="s">
        <v>146</v>
      </c>
      <c r="F479" s="6" t="n">
        <v>2</v>
      </c>
      <c r="G479" s="6" t="n">
        <v>28</v>
      </c>
      <c r="H479" s="6" t="s">
        <v>8355</v>
      </c>
      <c r="I479" s="22" t="n">
        <v>249200</v>
      </c>
      <c r="J479" s="22" t="n">
        <v>0</v>
      </c>
      <c r="K479" s="22" t="n">
        <v>18690</v>
      </c>
      <c r="L479" s="22" t="n">
        <v>267890</v>
      </c>
      <c r="M479" s="6" t="s">
        <v>148</v>
      </c>
      <c r="N479" s="6" t="s">
        <v>84</v>
      </c>
      <c r="O479" s="6" t="s">
        <v>866</v>
      </c>
      <c r="P479" s="6" t="s">
        <v>85</v>
      </c>
      <c r="Q479" s="6" t="str">
        <f aca="false">IF(P479="pass","No","Yes")</f>
        <v>Yes</v>
      </c>
      <c r="R479" s="6" t="s">
        <v>86</v>
      </c>
      <c r="S479" s="6" t="s">
        <v>866</v>
      </c>
      <c r="T479" s="6" t="s">
        <v>150</v>
      </c>
      <c r="U479" s="23" t="n">
        <v>2.212</v>
      </c>
      <c r="V479" s="6" t="s">
        <v>8356</v>
      </c>
      <c r="W479" s="6" t="s">
        <v>8357</v>
      </c>
      <c r="X479" s="6" t="s">
        <v>8358</v>
      </c>
      <c r="Y479" s="6" t="s">
        <v>86</v>
      </c>
      <c r="Z479" s="6" t="n">
        <v>1</v>
      </c>
      <c r="AA479" s="6" t="n">
        <v>0</v>
      </c>
      <c r="AB479" s="6" t="n">
        <v>0</v>
      </c>
      <c r="AC479" s="6" t="n">
        <v>0</v>
      </c>
      <c r="AD479" s="6" t="n">
        <v>0</v>
      </c>
      <c r="AE479" s="6" t="n">
        <v>0</v>
      </c>
      <c r="AF479" s="6" t="n">
        <v>0</v>
      </c>
      <c r="AG479" s="6" t="n">
        <v>0</v>
      </c>
      <c r="AH479" s="6" t="n">
        <v>0</v>
      </c>
      <c r="AI479" s="6" t="s">
        <v>84</v>
      </c>
    </row>
    <row r="480" customFormat="false" ht="15" hidden="false" customHeight="false" outlineLevel="0" collapsed="false">
      <c r="A480" s="6" t="n">
        <v>479</v>
      </c>
      <c r="B480" s="6" t="s">
        <v>8359</v>
      </c>
      <c r="C480" s="6" t="n">
        <v>10</v>
      </c>
      <c r="D480" s="6" t="s">
        <v>198</v>
      </c>
      <c r="E480" s="6" t="s">
        <v>81</v>
      </c>
      <c r="F480" s="6" t="n">
        <v>3</v>
      </c>
      <c r="G480" s="6" t="n">
        <v>78</v>
      </c>
      <c r="H480" s="6" t="s">
        <v>8360</v>
      </c>
      <c r="I480" s="22" t="n">
        <v>1192700</v>
      </c>
      <c r="J480" s="22" t="n">
        <v>4000</v>
      </c>
      <c r="K480" s="22" t="n">
        <v>89752.5</v>
      </c>
      <c r="L480" s="22" t="n">
        <v>1286452.5</v>
      </c>
      <c r="M480" s="6" t="s">
        <v>1042</v>
      </c>
      <c r="N480" s="6" t="s">
        <v>58</v>
      </c>
      <c r="O480" s="6"/>
      <c r="P480" s="6" t="s">
        <v>69</v>
      </c>
      <c r="Q480" s="6" t="str">
        <f aca="false">IF(P480="pass","No","Yes")</f>
        <v>No</v>
      </c>
      <c r="R480" s="6" t="s">
        <v>60</v>
      </c>
      <c r="S480" s="6"/>
      <c r="T480" s="6"/>
      <c r="U480" s="23" t="n">
        <v>3.132</v>
      </c>
      <c r="V480" s="6" t="s">
        <v>8361</v>
      </c>
      <c r="W480" s="6" t="s">
        <v>8362</v>
      </c>
      <c r="X480" s="6" t="s">
        <v>8363</v>
      </c>
      <c r="Y480" s="6" t="s">
        <v>60</v>
      </c>
      <c r="Z480" s="6" t="n">
        <v>0</v>
      </c>
      <c r="AA480" s="6" t="n">
        <v>0</v>
      </c>
      <c r="AB480" s="6" t="n">
        <v>0</v>
      </c>
      <c r="AC480" s="6" t="n">
        <v>0</v>
      </c>
      <c r="AD480" s="6" t="n">
        <v>0</v>
      </c>
      <c r="AE480" s="6" t="n">
        <v>0</v>
      </c>
      <c r="AF480" s="6" t="n">
        <v>0</v>
      </c>
      <c r="AG480" s="6" t="n">
        <v>0</v>
      </c>
      <c r="AH480" s="6" t="n">
        <v>0</v>
      </c>
      <c r="AI480" s="6" t="s">
        <v>84</v>
      </c>
    </row>
    <row r="481" customFormat="false" ht="15" hidden="false" customHeight="false" outlineLevel="0" collapsed="false">
      <c r="A481" s="6" t="n">
        <v>480</v>
      </c>
      <c r="B481" s="6" t="s">
        <v>8364</v>
      </c>
      <c r="C481" s="6" t="n">
        <v>10</v>
      </c>
      <c r="D481" s="6" t="s">
        <v>177</v>
      </c>
      <c r="E481" s="6" t="s">
        <v>81</v>
      </c>
      <c r="F481" s="6" t="n">
        <v>2</v>
      </c>
      <c r="G481" s="6" t="n">
        <v>21</v>
      </c>
      <c r="H481" s="6" t="s">
        <v>8365</v>
      </c>
      <c r="I481" s="22" t="n">
        <v>352600</v>
      </c>
      <c r="J481" s="22" t="n">
        <v>4000</v>
      </c>
      <c r="K481" s="22" t="n">
        <v>26745</v>
      </c>
      <c r="L481" s="22" t="n">
        <v>383345</v>
      </c>
      <c r="M481" s="6" t="s">
        <v>1009</v>
      </c>
      <c r="N481" s="6" t="s">
        <v>58</v>
      </c>
      <c r="O481" s="6"/>
      <c r="P481" s="6" t="s">
        <v>69</v>
      </c>
      <c r="Q481" s="6" t="str">
        <f aca="false">IF(P481="pass","No","Yes")</f>
        <v>No</v>
      </c>
      <c r="R481" s="6" t="s">
        <v>60</v>
      </c>
      <c r="S481" s="6"/>
      <c r="T481" s="6"/>
      <c r="U481" s="23" t="n">
        <v>2.794</v>
      </c>
      <c r="V481" s="6" t="s">
        <v>8366</v>
      </c>
      <c r="W481" s="6" t="s">
        <v>8367</v>
      </c>
      <c r="X481" s="6" t="s">
        <v>8368</v>
      </c>
      <c r="Y481" s="6" t="s">
        <v>60</v>
      </c>
      <c r="Z481" s="6" t="n">
        <v>0</v>
      </c>
      <c r="AA481" s="6" t="n">
        <v>0</v>
      </c>
      <c r="AB481" s="6" t="n">
        <v>0</v>
      </c>
      <c r="AC481" s="6" t="n">
        <v>0</v>
      </c>
      <c r="AD481" s="6" t="n">
        <v>0</v>
      </c>
      <c r="AE481" s="6" t="n">
        <v>0</v>
      </c>
      <c r="AF481" s="6" t="n">
        <v>0</v>
      </c>
      <c r="AG481" s="6" t="n">
        <v>0</v>
      </c>
      <c r="AH481" s="6" t="n">
        <v>0</v>
      </c>
      <c r="AI481" s="6" t="s">
        <v>84</v>
      </c>
    </row>
    <row r="482" customFormat="false" ht="15" hidden="false" customHeight="false" outlineLevel="0" collapsed="false">
      <c r="A482" s="6" t="n">
        <v>481</v>
      </c>
      <c r="B482" s="6" t="s">
        <v>8369</v>
      </c>
      <c r="C482" s="6" t="n">
        <v>10</v>
      </c>
      <c r="D482" s="6" t="s">
        <v>77</v>
      </c>
      <c r="E482" s="6" t="s">
        <v>81</v>
      </c>
      <c r="F482" s="6" t="n">
        <v>3</v>
      </c>
      <c r="G482" s="6" t="n">
        <v>225</v>
      </c>
      <c r="H482" s="6" t="s">
        <v>8370</v>
      </c>
      <c r="I482" s="22" t="n">
        <v>2293000</v>
      </c>
      <c r="J482" s="22" t="n">
        <v>4000</v>
      </c>
      <c r="K482" s="22" t="n">
        <v>172275</v>
      </c>
      <c r="L482" s="22" t="n">
        <v>2469275</v>
      </c>
      <c r="M482" s="6" t="s">
        <v>1042</v>
      </c>
      <c r="N482" s="6" t="s">
        <v>58</v>
      </c>
      <c r="O482" s="6"/>
      <c r="P482" s="6" t="s">
        <v>59</v>
      </c>
      <c r="Q482" s="6" t="str">
        <f aca="false">IF(P482="pass","No","Yes")</f>
        <v>Yes</v>
      </c>
      <c r="R482" s="6" t="s">
        <v>60</v>
      </c>
      <c r="S482" s="6" t="s">
        <v>915</v>
      </c>
      <c r="T482" s="6" t="s">
        <v>8371</v>
      </c>
      <c r="U482" s="23" t="n">
        <v>2.827</v>
      </c>
      <c r="V482" s="6" t="s">
        <v>8372</v>
      </c>
      <c r="W482" s="6" t="s">
        <v>8373</v>
      </c>
      <c r="X482" s="6" t="s">
        <v>8374</v>
      </c>
      <c r="Y482" s="6" t="s">
        <v>60</v>
      </c>
      <c r="Z482" s="6" t="n">
        <v>0</v>
      </c>
      <c r="AA482" s="6" t="n">
        <v>0</v>
      </c>
      <c r="AB482" s="6" t="n">
        <v>0</v>
      </c>
      <c r="AC482" s="6" t="n">
        <v>0</v>
      </c>
      <c r="AD482" s="6" t="n">
        <v>0</v>
      </c>
      <c r="AE482" s="6" t="n">
        <v>0</v>
      </c>
      <c r="AF482" s="6" t="n">
        <v>0</v>
      </c>
      <c r="AG482" s="6" t="n">
        <v>0</v>
      </c>
      <c r="AH482" s="6" t="n">
        <v>1</v>
      </c>
      <c r="AI482" s="6" t="s">
        <v>84</v>
      </c>
    </row>
    <row r="483" customFormat="false" ht="15" hidden="false" customHeight="false" outlineLevel="0" collapsed="false">
      <c r="A483" s="6" t="n">
        <v>482</v>
      </c>
      <c r="B483" s="6" t="s">
        <v>8375</v>
      </c>
      <c r="C483" s="6" t="n">
        <v>10</v>
      </c>
      <c r="D483" s="6" t="s">
        <v>213</v>
      </c>
      <c r="E483" s="6" t="s">
        <v>67</v>
      </c>
      <c r="F483" s="6" t="n">
        <v>1</v>
      </c>
      <c r="G483" s="6" t="n">
        <v>158</v>
      </c>
      <c r="H483" s="6" t="s">
        <v>8376</v>
      </c>
      <c r="I483" s="22" t="n">
        <v>1501000</v>
      </c>
      <c r="J483" s="22" t="n">
        <v>4500</v>
      </c>
      <c r="K483" s="22" t="n">
        <v>112912.5</v>
      </c>
      <c r="L483" s="22" t="n">
        <v>1618412.5</v>
      </c>
      <c r="M483" s="6" t="s">
        <v>57</v>
      </c>
      <c r="N483" s="6" t="s">
        <v>58</v>
      </c>
      <c r="O483" s="6"/>
      <c r="P483" s="6" t="s">
        <v>69</v>
      </c>
      <c r="Q483" s="6" t="str">
        <f aca="false">IF(P483="pass","No","Yes")</f>
        <v>No</v>
      </c>
      <c r="R483" s="6" t="s">
        <v>60</v>
      </c>
      <c r="S483" s="6"/>
      <c r="T483" s="6"/>
      <c r="U483" s="23" t="n">
        <v>2.693</v>
      </c>
      <c r="V483" s="6" t="s">
        <v>8377</v>
      </c>
      <c r="W483" s="6" t="s">
        <v>8378</v>
      </c>
      <c r="X483" s="6" t="s">
        <v>8379</v>
      </c>
      <c r="Y483" s="6" t="s">
        <v>60</v>
      </c>
      <c r="Z483" s="6" t="n">
        <v>0</v>
      </c>
      <c r="AA483" s="6" t="n">
        <v>0</v>
      </c>
      <c r="AB483" s="6" t="n">
        <v>0</v>
      </c>
      <c r="AC483" s="6" t="n">
        <v>0</v>
      </c>
      <c r="AD483" s="6" t="n">
        <v>0</v>
      </c>
      <c r="AE483" s="6" t="n">
        <v>0</v>
      </c>
      <c r="AF483" s="6" t="n">
        <v>0</v>
      </c>
      <c r="AG483" s="6" t="n">
        <v>0</v>
      </c>
      <c r="AH483" s="6" t="n">
        <v>0</v>
      </c>
      <c r="AI483" s="6" t="s">
        <v>84</v>
      </c>
    </row>
    <row r="484" customFormat="false" ht="15" hidden="false" customHeight="false" outlineLevel="0" collapsed="false">
      <c r="A484" s="6" t="n">
        <v>483</v>
      </c>
      <c r="B484" s="6" t="s">
        <v>8380</v>
      </c>
      <c r="C484" s="6" t="n">
        <v>10</v>
      </c>
      <c r="D484" s="6" t="s">
        <v>77</v>
      </c>
      <c r="E484" s="6" t="s">
        <v>81</v>
      </c>
      <c r="F484" s="6" t="n">
        <v>2</v>
      </c>
      <c r="G484" s="6" t="n">
        <v>5</v>
      </c>
      <c r="H484" s="6" t="s">
        <v>2541</v>
      </c>
      <c r="I484" s="22" t="n">
        <v>119500</v>
      </c>
      <c r="J484" s="22" t="n">
        <v>4000</v>
      </c>
      <c r="K484" s="22" t="n">
        <v>9262.5</v>
      </c>
      <c r="L484" s="22" t="n">
        <v>132762.5</v>
      </c>
      <c r="M484" s="6" t="s">
        <v>57</v>
      </c>
      <c r="N484" s="6" t="s">
        <v>58</v>
      </c>
      <c r="O484" s="6"/>
      <c r="P484" s="6" t="s">
        <v>69</v>
      </c>
      <c r="Q484" s="6" t="str">
        <f aca="false">IF(P484="pass","No","Yes")</f>
        <v>No</v>
      </c>
      <c r="R484" s="6" t="s">
        <v>60</v>
      </c>
      <c r="S484" s="6"/>
      <c r="T484" s="6"/>
      <c r="U484" s="23" t="n">
        <v>2.871</v>
      </c>
      <c r="V484" s="6" t="s">
        <v>8381</v>
      </c>
      <c r="W484" s="6" t="s">
        <v>8382</v>
      </c>
      <c r="X484" s="6" t="s">
        <v>8383</v>
      </c>
      <c r="Y484" s="6" t="s">
        <v>60</v>
      </c>
      <c r="Z484" s="6" t="n">
        <v>0</v>
      </c>
      <c r="AA484" s="6" t="n">
        <v>0</v>
      </c>
      <c r="AB484" s="6" t="n">
        <v>0</v>
      </c>
      <c r="AC484" s="6" t="n">
        <v>0</v>
      </c>
      <c r="AD484" s="6" t="n">
        <v>0</v>
      </c>
      <c r="AE484" s="6" t="n">
        <v>0</v>
      </c>
      <c r="AF484" s="6" t="n">
        <v>0</v>
      </c>
      <c r="AG484" s="6" t="n">
        <v>0</v>
      </c>
      <c r="AH484" s="6" t="n">
        <v>0</v>
      </c>
      <c r="AI484" s="6" t="s">
        <v>84</v>
      </c>
    </row>
    <row r="485" customFormat="false" ht="15" hidden="false" customHeight="false" outlineLevel="0" collapsed="false">
      <c r="A485" s="6" t="n">
        <v>484</v>
      </c>
      <c r="B485" s="6" t="s">
        <v>8384</v>
      </c>
      <c r="C485" s="6" t="n">
        <v>10</v>
      </c>
      <c r="D485" s="6" t="s">
        <v>105</v>
      </c>
      <c r="E485" s="6" t="s">
        <v>81</v>
      </c>
      <c r="F485" s="6" t="n">
        <v>1</v>
      </c>
      <c r="G485" s="6" t="n">
        <v>8</v>
      </c>
      <c r="H485" s="6" t="s">
        <v>8385</v>
      </c>
      <c r="I485" s="22" t="n">
        <v>68800</v>
      </c>
      <c r="J485" s="22" t="n">
        <v>4000</v>
      </c>
      <c r="K485" s="22" t="n">
        <v>5460</v>
      </c>
      <c r="L485" s="22" t="n">
        <v>78260</v>
      </c>
      <c r="M485" s="6" t="s">
        <v>94</v>
      </c>
      <c r="N485" s="6" t="s">
        <v>84</v>
      </c>
      <c r="O485" s="6" t="s">
        <v>909</v>
      </c>
      <c r="P485" s="6" t="s">
        <v>85</v>
      </c>
      <c r="Q485" s="6" t="str">
        <f aca="false">IF(P485="pass","No","Yes")</f>
        <v>Yes</v>
      </c>
      <c r="R485" s="6" t="s">
        <v>86</v>
      </c>
      <c r="S485" s="6" t="s">
        <v>909</v>
      </c>
      <c r="T485" s="6" t="s">
        <v>254</v>
      </c>
      <c r="U485" s="23" t="n">
        <v>2.34</v>
      </c>
      <c r="V485" s="6" t="s">
        <v>8386</v>
      </c>
      <c r="W485" s="6" t="s">
        <v>8387</v>
      </c>
      <c r="X485" s="6" t="s">
        <v>8388</v>
      </c>
      <c r="Y485" s="6" t="s">
        <v>86</v>
      </c>
      <c r="Z485" s="6" t="n">
        <v>0</v>
      </c>
      <c r="AA485" s="6" t="n">
        <v>0</v>
      </c>
      <c r="AB485" s="6" t="n">
        <v>0</v>
      </c>
      <c r="AC485" s="6" t="n">
        <v>0</v>
      </c>
      <c r="AD485" s="6" t="n">
        <v>0</v>
      </c>
      <c r="AE485" s="6" t="n">
        <v>0</v>
      </c>
      <c r="AF485" s="6" t="n">
        <v>1</v>
      </c>
      <c r="AG485" s="6" t="n">
        <v>0</v>
      </c>
      <c r="AH485" s="6" t="n">
        <v>0</v>
      </c>
      <c r="AI485" s="6" t="s">
        <v>84</v>
      </c>
    </row>
    <row r="486" customFormat="false" ht="15" hidden="false" customHeight="false" outlineLevel="0" collapsed="false">
      <c r="A486" s="6" t="n">
        <v>485</v>
      </c>
      <c r="B486" s="6" t="s">
        <v>8389</v>
      </c>
      <c r="C486" s="6" t="n">
        <v>10</v>
      </c>
      <c r="D486" s="6" t="s">
        <v>77</v>
      </c>
      <c r="E486" s="6" t="s">
        <v>81</v>
      </c>
      <c r="F486" s="6" t="n">
        <v>2</v>
      </c>
      <c r="G486" s="6" t="n">
        <v>5</v>
      </c>
      <c r="H486" s="6" t="s">
        <v>2541</v>
      </c>
      <c r="I486" s="22" t="n">
        <v>119500</v>
      </c>
      <c r="J486" s="22" t="n">
        <v>4000</v>
      </c>
      <c r="K486" s="22" t="n">
        <v>9262.5</v>
      </c>
      <c r="L486" s="22" t="n">
        <v>132762.5</v>
      </c>
      <c r="M486" s="6" t="s">
        <v>97</v>
      </c>
      <c r="N486" s="6" t="s">
        <v>84</v>
      </c>
      <c r="O486" s="6" t="s">
        <v>1185</v>
      </c>
      <c r="P486" s="6" t="s">
        <v>59</v>
      </c>
      <c r="Q486" s="6" t="str">
        <f aca="false">IF(P486="pass","No","Yes")</f>
        <v>Yes</v>
      </c>
      <c r="R486" s="6" t="s">
        <v>98</v>
      </c>
      <c r="S486" s="6" t="s">
        <v>1185</v>
      </c>
      <c r="T486" s="6" t="s">
        <v>8390</v>
      </c>
      <c r="U486" s="23" t="n">
        <v>1.627</v>
      </c>
      <c r="V486" s="6" t="s">
        <v>8391</v>
      </c>
      <c r="W486" s="6"/>
      <c r="X486" s="6" t="s">
        <v>8391</v>
      </c>
      <c r="Y486" s="6" t="s">
        <v>98</v>
      </c>
      <c r="Z486" s="6" t="n">
        <v>0</v>
      </c>
      <c r="AA486" s="6" t="n">
        <v>0</v>
      </c>
      <c r="AB486" s="6" t="n">
        <v>0</v>
      </c>
      <c r="AC486" s="6" t="n">
        <v>0</v>
      </c>
      <c r="AD486" s="6" t="n">
        <v>0</v>
      </c>
      <c r="AE486" s="6" t="n">
        <v>0</v>
      </c>
      <c r="AF486" s="6" t="n">
        <v>0</v>
      </c>
      <c r="AG486" s="6" t="n">
        <v>1</v>
      </c>
      <c r="AH486" s="6" t="n">
        <v>0</v>
      </c>
      <c r="AI486" s="6" t="s">
        <v>84</v>
      </c>
    </row>
    <row r="487" customFormat="false" ht="15" hidden="false" customHeight="false" outlineLevel="0" collapsed="false">
      <c r="A487" s="6" t="n">
        <v>486</v>
      </c>
      <c r="B487" s="6" t="s">
        <v>8392</v>
      </c>
      <c r="C487" s="6" t="n">
        <v>10</v>
      </c>
      <c r="D487" s="6" t="s">
        <v>119</v>
      </c>
      <c r="E487" s="6" t="s">
        <v>123</v>
      </c>
      <c r="F487" s="6" t="n">
        <v>3</v>
      </c>
      <c r="G487" s="6" t="n">
        <v>26</v>
      </c>
      <c r="H487" s="6" t="s">
        <v>8393</v>
      </c>
      <c r="I487" s="22" t="n">
        <v>420400</v>
      </c>
      <c r="J487" s="22" t="n">
        <v>5000</v>
      </c>
      <c r="K487" s="22" t="n">
        <v>31905</v>
      </c>
      <c r="L487" s="22" t="n">
        <v>457305</v>
      </c>
      <c r="M487" s="6" t="s">
        <v>57</v>
      </c>
      <c r="N487" s="6" t="s">
        <v>58</v>
      </c>
      <c r="O487" s="6"/>
      <c r="P487" s="6" t="s">
        <v>69</v>
      </c>
      <c r="Q487" s="6" t="str">
        <f aca="false">IF(P487="pass","No","Yes")</f>
        <v>No</v>
      </c>
      <c r="R487" s="6" t="s">
        <v>60</v>
      </c>
      <c r="S487" s="6"/>
      <c r="T487" s="6"/>
      <c r="U487" s="23" t="n">
        <v>2.785</v>
      </c>
      <c r="V487" s="6" t="s">
        <v>8394</v>
      </c>
      <c r="W487" s="6" t="s">
        <v>8395</v>
      </c>
      <c r="X487" s="6" t="s">
        <v>8396</v>
      </c>
      <c r="Y487" s="6" t="s">
        <v>60</v>
      </c>
      <c r="Z487" s="6" t="n">
        <v>0</v>
      </c>
      <c r="AA487" s="6" t="n">
        <v>0</v>
      </c>
      <c r="AB487" s="6" t="n">
        <v>0</v>
      </c>
      <c r="AC487" s="6" t="n">
        <v>0</v>
      </c>
      <c r="AD487" s="6" t="n">
        <v>0</v>
      </c>
      <c r="AE487" s="6" t="n">
        <v>0</v>
      </c>
      <c r="AF487" s="6" t="n">
        <v>0</v>
      </c>
      <c r="AG487" s="6" t="n">
        <v>0</v>
      </c>
      <c r="AH487" s="6" t="n">
        <v>0</v>
      </c>
      <c r="AI487" s="6" t="s">
        <v>84</v>
      </c>
    </row>
    <row r="488" customFormat="false" ht="15" hidden="false" customHeight="false" outlineLevel="0" collapsed="false">
      <c r="A488" s="6" t="n">
        <v>487</v>
      </c>
      <c r="B488" s="6" t="s">
        <v>8397</v>
      </c>
      <c r="C488" s="6" t="n">
        <v>10</v>
      </c>
      <c r="D488" s="6" t="s">
        <v>154</v>
      </c>
      <c r="E488" s="6" t="s">
        <v>123</v>
      </c>
      <c r="F488" s="6" t="n">
        <v>3</v>
      </c>
      <c r="G488" s="6" t="n">
        <v>208</v>
      </c>
      <c r="H488" s="6" t="s">
        <v>8398</v>
      </c>
      <c r="I488" s="22" t="n">
        <v>2212800</v>
      </c>
      <c r="J488" s="22" t="n">
        <v>5000</v>
      </c>
      <c r="K488" s="22" t="n">
        <v>166335</v>
      </c>
      <c r="L488" s="22" t="n">
        <v>2384135</v>
      </c>
      <c r="M488" s="6" t="s">
        <v>984</v>
      </c>
      <c r="N488" s="6" t="s">
        <v>84</v>
      </c>
      <c r="O488" s="6" t="s">
        <v>985</v>
      </c>
      <c r="P488" s="6" t="s">
        <v>85</v>
      </c>
      <c r="Q488" s="6" t="str">
        <f aca="false">IF(P488="pass","No","Yes")</f>
        <v>Yes</v>
      </c>
      <c r="R488" s="6" t="s">
        <v>86</v>
      </c>
      <c r="S488" s="6" t="s">
        <v>985</v>
      </c>
      <c r="T488" s="6" t="s">
        <v>3809</v>
      </c>
      <c r="U488" s="23" t="n">
        <v>2.452</v>
      </c>
      <c r="V488" s="6" t="s">
        <v>8399</v>
      </c>
      <c r="W488" s="6" t="s">
        <v>8400</v>
      </c>
      <c r="X488" s="6" t="s">
        <v>8401</v>
      </c>
      <c r="Y488" s="6" t="s">
        <v>86</v>
      </c>
      <c r="Z488" s="6" t="n">
        <v>0</v>
      </c>
      <c r="AA488" s="6" t="n">
        <v>0</v>
      </c>
      <c r="AB488" s="6" t="n">
        <v>0</v>
      </c>
      <c r="AC488" s="6" t="n">
        <v>0</v>
      </c>
      <c r="AD488" s="6" t="n">
        <v>0</v>
      </c>
      <c r="AE488" s="6" t="n">
        <v>1</v>
      </c>
      <c r="AF488" s="6" t="n">
        <v>0</v>
      </c>
      <c r="AG488" s="6" t="n">
        <v>0</v>
      </c>
      <c r="AH488" s="6" t="n">
        <v>0</v>
      </c>
      <c r="AI488" s="6" t="s">
        <v>84</v>
      </c>
    </row>
    <row r="489" customFormat="false" ht="15" hidden="false" customHeight="false" outlineLevel="0" collapsed="false">
      <c r="A489" s="6" t="n">
        <v>488</v>
      </c>
      <c r="B489" s="6" t="s">
        <v>8402</v>
      </c>
      <c r="C489" s="6" t="n">
        <v>10</v>
      </c>
      <c r="D489" s="6" t="s">
        <v>127</v>
      </c>
      <c r="E489" s="6" t="s">
        <v>55</v>
      </c>
      <c r="F489" s="6" t="n">
        <v>2</v>
      </c>
      <c r="G489" s="6" t="n">
        <v>3</v>
      </c>
      <c r="H489" s="6" t="s">
        <v>8403</v>
      </c>
      <c r="I489" s="22" t="n">
        <v>16800</v>
      </c>
      <c r="J489" s="22" t="n">
        <v>6000</v>
      </c>
      <c r="K489" s="22" t="n">
        <v>1710</v>
      </c>
      <c r="L489" s="22" t="n">
        <v>24510</v>
      </c>
      <c r="M489" s="6" t="s">
        <v>83</v>
      </c>
      <c r="N489" s="6" t="s">
        <v>84</v>
      </c>
      <c r="O489" s="6" t="s">
        <v>886</v>
      </c>
      <c r="P489" s="6" t="s">
        <v>85</v>
      </c>
      <c r="Q489" s="6" t="str">
        <f aca="false">IF(P489="pass","No","Yes")</f>
        <v>Yes</v>
      </c>
      <c r="R489" s="6" t="s">
        <v>86</v>
      </c>
      <c r="S489" s="6" t="s">
        <v>886</v>
      </c>
      <c r="T489" s="6" t="s">
        <v>304</v>
      </c>
      <c r="U489" s="23" t="n">
        <v>2.335</v>
      </c>
      <c r="V489" s="6" t="s">
        <v>8404</v>
      </c>
      <c r="W489" s="6" t="s">
        <v>8405</v>
      </c>
      <c r="X489" s="6" t="s">
        <v>8406</v>
      </c>
      <c r="Y489" s="6" t="s">
        <v>86</v>
      </c>
      <c r="Z489" s="6" t="n">
        <v>0</v>
      </c>
      <c r="AA489" s="6" t="n">
        <v>0</v>
      </c>
      <c r="AB489" s="6" t="n">
        <v>1</v>
      </c>
      <c r="AC489" s="6" t="n">
        <v>0</v>
      </c>
      <c r="AD489" s="6" t="n">
        <v>0</v>
      </c>
      <c r="AE489" s="6" t="n">
        <v>0</v>
      </c>
      <c r="AF489" s="6" t="n">
        <v>0</v>
      </c>
      <c r="AG489" s="6" t="n">
        <v>0</v>
      </c>
      <c r="AH489" s="6" t="n">
        <v>0</v>
      </c>
      <c r="AI489" s="6" t="s">
        <v>84</v>
      </c>
    </row>
    <row r="490" customFormat="false" ht="15" hidden="false" customHeight="false" outlineLevel="0" collapsed="false">
      <c r="A490" s="6" t="n">
        <v>489</v>
      </c>
      <c r="B490" s="6" t="s">
        <v>8407</v>
      </c>
      <c r="C490" s="6" t="n">
        <v>10</v>
      </c>
      <c r="D490" s="6" t="s">
        <v>100</v>
      </c>
      <c r="E490" s="6" t="s">
        <v>67</v>
      </c>
      <c r="F490" s="6" t="n">
        <v>2</v>
      </c>
      <c r="G490" s="6" t="n">
        <v>20</v>
      </c>
      <c r="H490" s="6" t="s">
        <v>8408</v>
      </c>
      <c r="I490" s="22" t="n">
        <v>914000</v>
      </c>
      <c r="J490" s="22" t="n">
        <v>4500</v>
      </c>
      <c r="K490" s="22" t="n">
        <v>68887.5</v>
      </c>
      <c r="L490" s="22" t="n">
        <v>987387.5</v>
      </c>
      <c r="M490" s="6" t="s">
        <v>57</v>
      </c>
      <c r="N490" s="6" t="s">
        <v>58</v>
      </c>
      <c r="O490" s="6"/>
      <c r="P490" s="6" t="s">
        <v>69</v>
      </c>
      <c r="Q490" s="6" t="str">
        <f aca="false">IF(P490="pass","No","Yes")</f>
        <v>No</v>
      </c>
      <c r="R490" s="6" t="s">
        <v>60</v>
      </c>
      <c r="S490" s="6"/>
      <c r="T490" s="6"/>
      <c r="U490" s="23" t="n">
        <v>2.71</v>
      </c>
      <c r="V490" s="6" t="s">
        <v>8409</v>
      </c>
      <c r="W490" s="6" t="s">
        <v>8410</v>
      </c>
      <c r="X490" s="6" t="s">
        <v>8411</v>
      </c>
      <c r="Y490" s="6" t="s">
        <v>60</v>
      </c>
      <c r="Z490" s="6" t="n">
        <v>0</v>
      </c>
      <c r="AA490" s="6" t="n">
        <v>0</v>
      </c>
      <c r="AB490" s="6" t="n">
        <v>0</v>
      </c>
      <c r="AC490" s="6" t="n">
        <v>0</v>
      </c>
      <c r="AD490" s="6" t="n">
        <v>0</v>
      </c>
      <c r="AE490" s="6" t="n">
        <v>0</v>
      </c>
      <c r="AF490" s="6" t="n">
        <v>0</v>
      </c>
      <c r="AG490" s="6" t="n">
        <v>0</v>
      </c>
      <c r="AH490" s="6" t="n">
        <v>0</v>
      </c>
      <c r="AI490" s="6" t="s">
        <v>84</v>
      </c>
    </row>
    <row r="491" customFormat="false" ht="15" hidden="false" customHeight="false" outlineLevel="0" collapsed="false">
      <c r="A491" s="6" t="n">
        <v>490</v>
      </c>
      <c r="B491" s="6" t="s">
        <v>8412</v>
      </c>
      <c r="C491" s="6" t="n">
        <v>10</v>
      </c>
      <c r="D491" s="6" t="s">
        <v>70</v>
      </c>
      <c r="E491" s="6" t="s">
        <v>74</v>
      </c>
      <c r="F491" s="6" t="n">
        <v>3</v>
      </c>
      <c r="G491" s="6" t="n">
        <v>831</v>
      </c>
      <c r="H491" s="6" t="s">
        <v>8413</v>
      </c>
      <c r="I491" s="22" t="n">
        <v>7831500</v>
      </c>
      <c r="J491" s="22" t="n">
        <v>9000</v>
      </c>
      <c r="K491" s="22" t="n">
        <v>588037.5</v>
      </c>
      <c r="L491" s="22" t="n">
        <v>8428537.5</v>
      </c>
      <c r="M491" s="6" t="s">
        <v>171</v>
      </c>
      <c r="N491" s="6" t="s">
        <v>84</v>
      </c>
      <c r="O491" s="6" t="s">
        <v>892</v>
      </c>
      <c r="P491" s="6" t="s">
        <v>85</v>
      </c>
      <c r="Q491" s="6" t="str">
        <f aca="false">IF(P491="pass","No","Yes")</f>
        <v>Yes</v>
      </c>
      <c r="R491" s="6" t="s">
        <v>86</v>
      </c>
      <c r="S491" s="6" t="s">
        <v>893</v>
      </c>
      <c r="T491" s="6" t="s">
        <v>7438</v>
      </c>
      <c r="U491" s="23" t="n">
        <v>2.603</v>
      </c>
      <c r="V491" s="6" t="s">
        <v>8414</v>
      </c>
      <c r="W491" s="6" t="s">
        <v>8415</v>
      </c>
      <c r="X491" s="6" t="s">
        <v>8416</v>
      </c>
      <c r="Y491" s="6" t="s">
        <v>86</v>
      </c>
      <c r="Z491" s="6" t="n">
        <v>0</v>
      </c>
      <c r="AA491" s="6" t="n">
        <v>0</v>
      </c>
      <c r="AB491" s="6" t="n">
        <v>0</v>
      </c>
      <c r="AC491" s="6" t="n">
        <v>1</v>
      </c>
      <c r="AD491" s="6" t="n">
        <v>0</v>
      </c>
      <c r="AE491" s="6" t="n">
        <v>0</v>
      </c>
      <c r="AF491" s="6" t="n">
        <v>0</v>
      </c>
      <c r="AG491" s="6" t="n">
        <v>0</v>
      </c>
      <c r="AH491" s="6" t="n">
        <v>1</v>
      </c>
      <c r="AI491" s="6" t="s">
        <v>84</v>
      </c>
    </row>
    <row r="492" customFormat="false" ht="15" hidden="false" customHeight="false" outlineLevel="0" collapsed="false">
      <c r="A492" s="6" t="n">
        <v>491</v>
      </c>
      <c r="B492" s="6" t="s">
        <v>8417</v>
      </c>
      <c r="C492" s="6" t="n">
        <v>10</v>
      </c>
      <c r="D492" s="6" t="s">
        <v>100</v>
      </c>
      <c r="E492" s="6" t="s">
        <v>67</v>
      </c>
      <c r="F492" s="6" t="n">
        <v>2</v>
      </c>
      <c r="G492" s="6" t="n">
        <v>25</v>
      </c>
      <c r="H492" s="6" t="s">
        <v>7047</v>
      </c>
      <c r="I492" s="22" t="n">
        <v>279600</v>
      </c>
      <c r="J492" s="22" t="n">
        <v>4500</v>
      </c>
      <c r="K492" s="22" t="n">
        <v>21307.5</v>
      </c>
      <c r="L492" s="22" t="n">
        <v>305407.5</v>
      </c>
      <c r="M492" s="6" t="s">
        <v>1042</v>
      </c>
      <c r="N492" s="6" t="s">
        <v>58</v>
      </c>
      <c r="O492" s="6"/>
      <c r="P492" s="6" t="s">
        <v>69</v>
      </c>
      <c r="Q492" s="6" t="str">
        <f aca="false">IF(P492="pass","No","Yes")</f>
        <v>No</v>
      </c>
      <c r="R492" s="6" t="s">
        <v>60</v>
      </c>
      <c r="S492" s="6"/>
      <c r="T492" s="6"/>
      <c r="U492" s="23" t="n">
        <v>2.71</v>
      </c>
      <c r="V492" s="6" t="s">
        <v>8418</v>
      </c>
      <c r="W492" s="6" t="s">
        <v>8419</v>
      </c>
      <c r="X492" s="6" t="s">
        <v>8420</v>
      </c>
      <c r="Y492" s="6" t="s">
        <v>60</v>
      </c>
      <c r="Z492" s="6" t="n">
        <v>0</v>
      </c>
      <c r="AA492" s="6" t="n">
        <v>0</v>
      </c>
      <c r="AB492" s="6" t="n">
        <v>0</v>
      </c>
      <c r="AC492" s="6" t="n">
        <v>0</v>
      </c>
      <c r="AD492" s="6" t="n">
        <v>0</v>
      </c>
      <c r="AE492" s="6" t="n">
        <v>0</v>
      </c>
      <c r="AF492" s="6" t="n">
        <v>0</v>
      </c>
      <c r="AG492" s="6" t="n">
        <v>0</v>
      </c>
      <c r="AH492" s="6" t="n">
        <v>0</v>
      </c>
      <c r="AI492" s="6" t="s">
        <v>84</v>
      </c>
    </row>
    <row r="493" customFormat="false" ht="15" hidden="false" customHeight="false" outlineLevel="0" collapsed="false">
      <c r="A493" s="6" t="n">
        <v>492</v>
      </c>
      <c r="B493" s="6" t="s">
        <v>8421</v>
      </c>
      <c r="C493" s="6" t="n">
        <v>10</v>
      </c>
      <c r="D493" s="6" t="s">
        <v>77</v>
      </c>
      <c r="E493" s="6" t="s">
        <v>81</v>
      </c>
      <c r="F493" s="6" t="n">
        <v>1</v>
      </c>
      <c r="G493" s="6" t="n">
        <v>68</v>
      </c>
      <c r="H493" s="6" t="s">
        <v>2906</v>
      </c>
      <c r="I493" s="22" t="n">
        <v>802400</v>
      </c>
      <c r="J493" s="22" t="n">
        <v>4000</v>
      </c>
      <c r="K493" s="22" t="n">
        <v>60480</v>
      </c>
      <c r="L493" s="22" t="n">
        <v>866880</v>
      </c>
      <c r="M493" s="6" t="s">
        <v>57</v>
      </c>
      <c r="N493" s="6" t="s">
        <v>58</v>
      </c>
      <c r="O493" s="6"/>
      <c r="P493" s="6" t="s">
        <v>69</v>
      </c>
      <c r="Q493" s="6" t="str">
        <f aca="false">IF(P493="pass","No","Yes")</f>
        <v>No</v>
      </c>
      <c r="R493" s="6" t="s">
        <v>60</v>
      </c>
      <c r="S493" s="6"/>
      <c r="T493" s="6"/>
      <c r="U493" s="23" t="n">
        <v>2.711</v>
      </c>
      <c r="V493" s="6" t="s">
        <v>8422</v>
      </c>
      <c r="W493" s="6" t="s">
        <v>8423</v>
      </c>
      <c r="X493" s="6" t="s">
        <v>8424</v>
      </c>
      <c r="Y493" s="6" t="s">
        <v>60</v>
      </c>
      <c r="Z493" s="6" t="n">
        <v>0</v>
      </c>
      <c r="AA493" s="6" t="n">
        <v>0</v>
      </c>
      <c r="AB493" s="6" t="n">
        <v>0</v>
      </c>
      <c r="AC493" s="6" t="n">
        <v>0</v>
      </c>
      <c r="AD493" s="6" t="n">
        <v>0</v>
      </c>
      <c r="AE493" s="6" t="n">
        <v>0</v>
      </c>
      <c r="AF493" s="6" t="n">
        <v>0</v>
      </c>
      <c r="AG493" s="6" t="n">
        <v>0</v>
      </c>
      <c r="AH493" s="6" t="n">
        <v>0</v>
      </c>
      <c r="AI493" s="6" t="s">
        <v>84</v>
      </c>
    </row>
    <row r="494" customFormat="false" ht="15" hidden="false" customHeight="false" outlineLevel="0" collapsed="false">
      <c r="A494" s="6" t="n">
        <v>493</v>
      </c>
      <c r="B494" s="6" t="s">
        <v>8425</v>
      </c>
      <c r="C494" s="6" t="n">
        <v>10</v>
      </c>
      <c r="D494" s="6" t="s">
        <v>89</v>
      </c>
      <c r="E494" s="6" t="s">
        <v>146</v>
      </c>
      <c r="F494" s="6" t="n">
        <v>1</v>
      </c>
      <c r="G494" s="6" t="n">
        <v>13</v>
      </c>
      <c r="H494" s="6" t="s">
        <v>1453</v>
      </c>
      <c r="I494" s="22" t="n">
        <v>403000</v>
      </c>
      <c r="J494" s="22" t="n">
        <v>0</v>
      </c>
      <c r="K494" s="22" t="n">
        <v>30225</v>
      </c>
      <c r="L494" s="22" t="n">
        <v>433225</v>
      </c>
      <c r="M494" s="6" t="s">
        <v>148</v>
      </c>
      <c r="N494" s="6" t="s">
        <v>84</v>
      </c>
      <c r="O494" s="6" t="s">
        <v>866</v>
      </c>
      <c r="P494" s="6" t="s">
        <v>85</v>
      </c>
      <c r="Q494" s="6" t="str">
        <f aca="false">IF(P494="pass","No","Yes")</f>
        <v>Yes</v>
      </c>
      <c r="R494" s="6" t="s">
        <v>86</v>
      </c>
      <c r="S494" s="6" t="s">
        <v>5436</v>
      </c>
      <c r="T494" s="6" t="s">
        <v>8426</v>
      </c>
      <c r="U494" s="23" t="n">
        <v>2.042</v>
      </c>
      <c r="V494" s="6" t="s">
        <v>8427</v>
      </c>
      <c r="W494" s="6" t="s">
        <v>8428</v>
      </c>
      <c r="X494" s="6" t="s">
        <v>8429</v>
      </c>
      <c r="Y494" s="6" t="s">
        <v>86</v>
      </c>
      <c r="Z494" s="6" t="n">
        <v>1</v>
      </c>
      <c r="AA494" s="6" t="n">
        <v>0</v>
      </c>
      <c r="AB494" s="6" t="n">
        <v>0</v>
      </c>
      <c r="AC494" s="6" t="n">
        <v>0</v>
      </c>
      <c r="AD494" s="6" t="n">
        <v>0</v>
      </c>
      <c r="AE494" s="6" t="n">
        <v>0</v>
      </c>
      <c r="AF494" s="6" t="n">
        <v>0</v>
      </c>
      <c r="AG494" s="6" t="n">
        <v>1</v>
      </c>
      <c r="AH494" s="6" t="n">
        <v>0</v>
      </c>
      <c r="AI494" s="6" t="s">
        <v>84</v>
      </c>
    </row>
    <row r="495" customFormat="false" ht="15" hidden="false" customHeight="false" outlineLevel="0" collapsed="false">
      <c r="A495" s="6" t="n">
        <v>494</v>
      </c>
      <c r="B495" s="6" t="s">
        <v>8430</v>
      </c>
      <c r="C495" s="6" t="n">
        <v>10</v>
      </c>
      <c r="D495" s="6" t="s">
        <v>112</v>
      </c>
      <c r="E495" s="6" t="s">
        <v>116</v>
      </c>
      <c r="F495" s="6" t="n">
        <v>2</v>
      </c>
      <c r="G495" s="6" t="n">
        <v>7</v>
      </c>
      <c r="H495" s="6" t="s">
        <v>8431</v>
      </c>
      <c r="I495" s="22" t="n">
        <v>413000</v>
      </c>
      <c r="J495" s="22" t="n">
        <v>15000</v>
      </c>
      <c r="K495" s="22" t="n">
        <v>32100</v>
      </c>
      <c r="L495" s="22" t="n">
        <v>460100</v>
      </c>
      <c r="M495" s="6" t="s">
        <v>132</v>
      </c>
      <c r="N495" s="6" t="s">
        <v>84</v>
      </c>
      <c r="O495" s="6" t="s">
        <v>879</v>
      </c>
      <c r="P495" s="6" t="s">
        <v>85</v>
      </c>
      <c r="Q495" s="6" t="str">
        <f aca="false">IF(P495="pass","No","Yes")</f>
        <v>Yes</v>
      </c>
      <c r="R495" s="6" t="s">
        <v>86</v>
      </c>
      <c r="S495" s="6" t="s">
        <v>880</v>
      </c>
      <c r="T495" s="6" t="s">
        <v>134</v>
      </c>
      <c r="U495" s="23" t="n">
        <v>2.663</v>
      </c>
      <c r="V495" s="6" t="s">
        <v>8432</v>
      </c>
      <c r="W495" s="6" t="s">
        <v>8433</v>
      </c>
      <c r="X495" s="6" t="s">
        <v>8434</v>
      </c>
      <c r="Y495" s="6" t="s">
        <v>86</v>
      </c>
      <c r="Z495" s="6" t="n">
        <v>0</v>
      </c>
      <c r="AA495" s="6" t="n">
        <v>1</v>
      </c>
      <c r="AB495" s="6" t="n">
        <v>0</v>
      </c>
      <c r="AC495" s="6" t="n">
        <v>1</v>
      </c>
      <c r="AD495" s="6" t="n">
        <v>0</v>
      </c>
      <c r="AE495" s="6" t="n">
        <v>0</v>
      </c>
      <c r="AF495" s="6" t="n">
        <v>0</v>
      </c>
      <c r="AG495" s="6" t="n">
        <v>0</v>
      </c>
      <c r="AH495" s="6" t="n">
        <v>0</v>
      </c>
      <c r="AI495" s="6" t="s">
        <v>84</v>
      </c>
    </row>
    <row r="496" customFormat="false" ht="15" hidden="false" customHeight="false" outlineLevel="0" collapsed="false">
      <c r="A496" s="6" t="n">
        <v>495</v>
      </c>
      <c r="B496" s="6" t="s">
        <v>8435</v>
      </c>
      <c r="C496" s="6" t="n">
        <v>10</v>
      </c>
      <c r="D496" s="6" t="s">
        <v>100</v>
      </c>
      <c r="E496" s="6" t="s">
        <v>67</v>
      </c>
      <c r="F496" s="6" t="n">
        <v>2</v>
      </c>
      <c r="G496" s="6" t="n">
        <v>109</v>
      </c>
      <c r="H496" s="6" t="s">
        <v>8436</v>
      </c>
      <c r="I496" s="22" t="n">
        <v>1461700</v>
      </c>
      <c r="J496" s="22" t="n">
        <v>4500</v>
      </c>
      <c r="K496" s="22" t="n">
        <v>109965</v>
      </c>
      <c r="L496" s="22" t="n">
        <v>1576165</v>
      </c>
      <c r="M496" s="6" t="s">
        <v>57</v>
      </c>
      <c r="N496" s="6" t="s">
        <v>58</v>
      </c>
      <c r="O496" s="6"/>
      <c r="P496" s="6" t="s">
        <v>69</v>
      </c>
      <c r="Q496" s="6" t="str">
        <f aca="false">IF(P496="pass","No","Yes")</f>
        <v>No</v>
      </c>
      <c r="R496" s="6" t="s">
        <v>60</v>
      </c>
      <c r="S496" s="6"/>
      <c r="T496" s="6"/>
      <c r="U496" s="23" t="n">
        <v>2.672</v>
      </c>
      <c r="V496" s="6" t="s">
        <v>8437</v>
      </c>
      <c r="W496" s="6" t="s">
        <v>8438</v>
      </c>
      <c r="X496" s="6" t="s">
        <v>8439</v>
      </c>
      <c r="Y496" s="6" t="s">
        <v>60</v>
      </c>
      <c r="Z496" s="6" t="n">
        <v>0</v>
      </c>
      <c r="AA496" s="6" t="n">
        <v>0</v>
      </c>
      <c r="AB496" s="6" t="n">
        <v>0</v>
      </c>
      <c r="AC496" s="6" t="n">
        <v>0</v>
      </c>
      <c r="AD496" s="6" t="n">
        <v>0</v>
      </c>
      <c r="AE496" s="6" t="n">
        <v>0</v>
      </c>
      <c r="AF496" s="6" t="n">
        <v>0</v>
      </c>
      <c r="AG496" s="6" t="n">
        <v>0</v>
      </c>
      <c r="AH496" s="6" t="n">
        <v>0</v>
      </c>
      <c r="AI496" s="6" t="s">
        <v>84</v>
      </c>
    </row>
    <row r="497" customFormat="false" ht="15" hidden="false" customHeight="false" outlineLevel="0" collapsed="false">
      <c r="A497" s="6" t="n">
        <v>496</v>
      </c>
      <c r="B497" s="6" t="s">
        <v>8440</v>
      </c>
      <c r="C497" s="6" t="n">
        <v>10</v>
      </c>
      <c r="D497" s="6" t="s">
        <v>70</v>
      </c>
      <c r="E497" s="6" t="s">
        <v>74</v>
      </c>
      <c r="F497" s="6" t="n">
        <v>2</v>
      </c>
      <c r="G497" s="6" t="n">
        <v>73</v>
      </c>
      <c r="H497" s="6" t="s">
        <v>8441</v>
      </c>
      <c r="I497" s="22" t="n">
        <v>1426000</v>
      </c>
      <c r="J497" s="22" t="n">
        <v>9000</v>
      </c>
      <c r="K497" s="22" t="n">
        <v>107625</v>
      </c>
      <c r="L497" s="22" t="n">
        <v>1542625</v>
      </c>
      <c r="M497" s="6" t="s">
        <v>57</v>
      </c>
      <c r="N497" s="6" t="s">
        <v>58</v>
      </c>
      <c r="O497" s="6"/>
      <c r="P497" s="6" t="s">
        <v>69</v>
      </c>
      <c r="Q497" s="6" t="str">
        <f aca="false">IF(P497="pass","No","Yes")</f>
        <v>No</v>
      </c>
      <c r="R497" s="6" t="s">
        <v>60</v>
      </c>
      <c r="S497" s="6"/>
      <c r="T497" s="6"/>
      <c r="U497" s="23" t="n">
        <v>2.608</v>
      </c>
      <c r="V497" s="6" t="s">
        <v>8442</v>
      </c>
      <c r="W497" s="6" t="s">
        <v>8443</v>
      </c>
      <c r="X497" s="6" t="s">
        <v>8444</v>
      </c>
      <c r="Y497" s="6" t="s">
        <v>60</v>
      </c>
      <c r="Z497" s="6" t="n">
        <v>0</v>
      </c>
      <c r="AA497" s="6" t="n">
        <v>0</v>
      </c>
      <c r="AB497" s="6" t="n">
        <v>0</v>
      </c>
      <c r="AC497" s="6" t="n">
        <v>0</v>
      </c>
      <c r="AD497" s="6" t="n">
        <v>0</v>
      </c>
      <c r="AE497" s="6" t="n">
        <v>0</v>
      </c>
      <c r="AF497" s="6" t="n">
        <v>0</v>
      </c>
      <c r="AG497" s="6" t="n">
        <v>0</v>
      </c>
      <c r="AH497" s="6" t="n">
        <v>0</v>
      </c>
      <c r="AI497" s="6" t="s">
        <v>84</v>
      </c>
    </row>
    <row r="498" customFormat="false" ht="15" hidden="false" customHeight="false" outlineLevel="0" collapsed="false">
      <c r="A498" s="6" t="n">
        <v>497</v>
      </c>
      <c r="B498" s="6" t="s">
        <v>8445</v>
      </c>
      <c r="C498" s="6" t="n">
        <v>10</v>
      </c>
      <c r="D498" s="6" t="s">
        <v>100</v>
      </c>
      <c r="E498" s="6" t="s">
        <v>67</v>
      </c>
      <c r="F498" s="6" t="n">
        <v>1</v>
      </c>
      <c r="G498" s="6" t="n">
        <v>63</v>
      </c>
      <c r="H498" s="6" t="s">
        <v>8446</v>
      </c>
      <c r="I498" s="22" t="n">
        <v>743400</v>
      </c>
      <c r="J498" s="22" t="n">
        <v>4500</v>
      </c>
      <c r="K498" s="22" t="n">
        <v>56092.5</v>
      </c>
      <c r="L498" s="22" t="n">
        <v>803992.5</v>
      </c>
      <c r="M498" s="6" t="s">
        <v>57</v>
      </c>
      <c r="N498" s="6" t="s">
        <v>58</v>
      </c>
      <c r="O498" s="6"/>
      <c r="P498" s="6" t="s">
        <v>69</v>
      </c>
      <c r="Q498" s="6" t="str">
        <f aca="false">IF(P498="pass","No","Yes")</f>
        <v>No</v>
      </c>
      <c r="R498" s="6" t="s">
        <v>60</v>
      </c>
      <c r="S498" s="6"/>
      <c r="T498" s="6"/>
      <c r="U498" s="23" t="n">
        <v>2.764</v>
      </c>
      <c r="V498" s="6" t="s">
        <v>8447</v>
      </c>
      <c r="W498" s="6" t="s">
        <v>8448</v>
      </c>
      <c r="X498" s="6" t="s">
        <v>8449</v>
      </c>
      <c r="Y498" s="6" t="s">
        <v>60</v>
      </c>
      <c r="Z498" s="6" t="n">
        <v>0</v>
      </c>
      <c r="AA498" s="6" t="n">
        <v>0</v>
      </c>
      <c r="AB498" s="6" t="n">
        <v>0</v>
      </c>
      <c r="AC498" s="6" t="n">
        <v>0</v>
      </c>
      <c r="AD498" s="6" t="n">
        <v>0</v>
      </c>
      <c r="AE498" s="6" t="n">
        <v>0</v>
      </c>
      <c r="AF498" s="6" t="n">
        <v>0</v>
      </c>
      <c r="AG498" s="6" t="n">
        <v>0</v>
      </c>
      <c r="AH498" s="6" t="n">
        <v>0</v>
      </c>
      <c r="AI498" s="6" t="s">
        <v>84</v>
      </c>
    </row>
    <row r="499" customFormat="false" ht="15" hidden="false" customHeight="false" outlineLevel="0" collapsed="false">
      <c r="A499" s="6" t="n">
        <v>498</v>
      </c>
      <c r="B499" s="6" t="s">
        <v>8450</v>
      </c>
      <c r="C499" s="6" t="n">
        <v>10</v>
      </c>
      <c r="D499" s="6" t="s">
        <v>186</v>
      </c>
      <c r="E499" s="6" t="s">
        <v>123</v>
      </c>
      <c r="F499" s="6" t="n">
        <v>3</v>
      </c>
      <c r="G499" s="6" t="n">
        <v>97</v>
      </c>
      <c r="H499" s="6" t="s">
        <v>8451</v>
      </c>
      <c r="I499" s="22" t="n">
        <v>1185100</v>
      </c>
      <c r="J499" s="22" t="n">
        <v>5000</v>
      </c>
      <c r="K499" s="22" t="n">
        <v>89257.5</v>
      </c>
      <c r="L499" s="22" t="n">
        <v>1279357.5</v>
      </c>
      <c r="M499" s="6" t="s">
        <v>57</v>
      </c>
      <c r="N499" s="6" t="s">
        <v>58</v>
      </c>
      <c r="O499" s="6"/>
      <c r="P499" s="6" t="s">
        <v>69</v>
      </c>
      <c r="Q499" s="6" t="str">
        <f aca="false">IF(P499="pass","No","Yes")</f>
        <v>No</v>
      </c>
      <c r="R499" s="6" t="s">
        <v>60</v>
      </c>
      <c r="S499" s="6"/>
      <c r="T499" s="6"/>
      <c r="U499" s="23" t="n">
        <v>2.88</v>
      </c>
      <c r="V499" s="6" t="s">
        <v>8452</v>
      </c>
      <c r="W499" s="6" t="s">
        <v>8453</v>
      </c>
      <c r="X499" s="6" t="s">
        <v>8454</v>
      </c>
      <c r="Y499" s="6" t="s">
        <v>60</v>
      </c>
      <c r="Z499" s="6" t="n">
        <v>0</v>
      </c>
      <c r="AA499" s="6" t="n">
        <v>0</v>
      </c>
      <c r="AB499" s="6" t="n">
        <v>0</v>
      </c>
      <c r="AC499" s="6" t="n">
        <v>0</v>
      </c>
      <c r="AD499" s="6" t="n">
        <v>0</v>
      </c>
      <c r="AE499" s="6" t="n">
        <v>0</v>
      </c>
      <c r="AF499" s="6" t="n">
        <v>0</v>
      </c>
      <c r="AG499" s="6" t="n">
        <v>0</v>
      </c>
      <c r="AH499" s="6" t="n">
        <v>0</v>
      </c>
      <c r="AI499" s="6" t="s">
        <v>84</v>
      </c>
    </row>
    <row r="500" customFormat="false" ht="15" hidden="false" customHeight="false" outlineLevel="0" collapsed="false">
      <c r="A500" s="6" t="n">
        <v>499</v>
      </c>
      <c r="B500" s="6" t="s">
        <v>8455</v>
      </c>
      <c r="C500" s="6" t="n">
        <v>10</v>
      </c>
      <c r="D500" s="6" t="s">
        <v>191</v>
      </c>
      <c r="E500" s="6" t="s">
        <v>116</v>
      </c>
      <c r="F500" s="6" t="n">
        <v>2</v>
      </c>
      <c r="G500" s="6" t="n">
        <v>21</v>
      </c>
      <c r="H500" s="6" t="s">
        <v>8456</v>
      </c>
      <c r="I500" s="22" t="n">
        <v>224000</v>
      </c>
      <c r="J500" s="22" t="n">
        <v>15000</v>
      </c>
      <c r="K500" s="22" t="n">
        <v>17925</v>
      </c>
      <c r="L500" s="22" t="n">
        <v>256925</v>
      </c>
      <c r="M500" s="6" t="s">
        <v>57</v>
      </c>
      <c r="N500" s="6" t="s">
        <v>58</v>
      </c>
      <c r="O500" s="6"/>
      <c r="P500" s="6" t="s">
        <v>69</v>
      </c>
      <c r="Q500" s="6" t="str">
        <f aca="false">IF(P500="pass","No","Yes")</f>
        <v>No</v>
      </c>
      <c r="R500" s="6" t="s">
        <v>60</v>
      </c>
      <c r="S500" s="6"/>
      <c r="T500" s="6"/>
      <c r="U500" s="23" t="n">
        <v>2.836</v>
      </c>
      <c r="V500" s="6" t="s">
        <v>8457</v>
      </c>
      <c r="W500" s="6" t="s">
        <v>8458</v>
      </c>
      <c r="X500" s="6" t="s">
        <v>8459</v>
      </c>
      <c r="Y500" s="6" t="s">
        <v>60</v>
      </c>
      <c r="Z500" s="6" t="n">
        <v>0</v>
      </c>
      <c r="AA500" s="6" t="n">
        <v>0</v>
      </c>
      <c r="AB500" s="6" t="n">
        <v>0</v>
      </c>
      <c r="AC500" s="6" t="n">
        <v>0</v>
      </c>
      <c r="AD500" s="6" t="n">
        <v>0</v>
      </c>
      <c r="AE500" s="6" t="n">
        <v>0</v>
      </c>
      <c r="AF500" s="6" t="n">
        <v>0</v>
      </c>
      <c r="AG500" s="6" t="n">
        <v>0</v>
      </c>
      <c r="AH500" s="6" t="n">
        <v>0</v>
      </c>
      <c r="AI500" s="6" t="s">
        <v>84</v>
      </c>
    </row>
    <row r="501" customFormat="false" ht="15" hidden="false" customHeight="false" outlineLevel="0" collapsed="false">
      <c r="A501" s="6" t="n">
        <v>500</v>
      </c>
      <c r="B501" s="6" t="s">
        <v>8460</v>
      </c>
      <c r="C501" s="6" t="n">
        <v>10</v>
      </c>
      <c r="D501" s="6" t="s">
        <v>63</v>
      </c>
      <c r="E501" s="6" t="s">
        <v>67</v>
      </c>
      <c r="F501" s="6" t="n">
        <v>2</v>
      </c>
      <c r="G501" s="6" t="n">
        <v>39</v>
      </c>
      <c r="H501" s="6" t="s">
        <v>8461</v>
      </c>
      <c r="I501" s="22" t="n">
        <v>1099800</v>
      </c>
      <c r="J501" s="22" t="n">
        <v>4500</v>
      </c>
      <c r="K501" s="22" t="n">
        <v>82822.5</v>
      </c>
      <c r="L501" s="22" t="n">
        <v>1187122.5</v>
      </c>
      <c r="M501" s="6" t="s">
        <v>57</v>
      </c>
      <c r="N501" s="6" t="s">
        <v>58</v>
      </c>
      <c r="O501" s="6"/>
      <c r="P501" s="6" t="s">
        <v>69</v>
      </c>
      <c r="Q501" s="6" t="str">
        <f aca="false">IF(P501="pass","No","Yes")</f>
        <v>No</v>
      </c>
      <c r="R501" s="6" t="s">
        <v>60</v>
      </c>
      <c r="S501" s="6"/>
      <c r="T501" s="6"/>
      <c r="U501" s="23" t="n">
        <v>2.666</v>
      </c>
      <c r="V501" s="6" t="s">
        <v>8462</v>
      </c>
      <c r="W501" s="6" t="s">
        <v>8463</v>
      </c>
      <c r="X501" s="6" t="s">
        <v>8464</v>
      </c>
      <c r="Y501" s="6" t="s">
        <v>60</v>
      </c>
      <c r="Z501" s="6" t="n">
        <v>0</v>
      </c>
      <c r="AA501" s="6" t="n">
        <v>0</v>
      </c>
      <c r="AB501" s="6" t="n">
        <v>0</v>
      </c>
      <c r="AC501" s="6" t="n">
        <v>0</v>
      </c>
      <c r="AD501" s="6" t="n">
        <v>0</v>
      </c>
      <c r="AE501" s="6" t="n">
        <v>0</v>
      </c>
      <c r="AF501" s="6" t="n">
        <v>0</v>
      </c>
      <c r="AG501" s="6" t="n">
        <v>0</v>
      </c>
      <c r="AH501" s="6" t="n">
        <v>0</v>
      </c>
      <c r="AI501" s="6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2"/>
    <col collapsed="false" customWidth="true" hidden="false" outlineLevel="0" max="6" min="4" style="0" width="14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1" min="10" style="0" width="11"/>
    <col collapsed="false" customWidth="true" hidden="false" outlineLevel="0" max="12" min="12" style="0" width="14"/>
  </cols>
  <sheetData>
    <row r="1" customFormat="false" ht="15" hidden="false" customHeight="false" outlineLevel="0" collapsed="false">
      <c r="A1" s="5" t="s">
        <v>8465</v>
      </c>
    </row>
    <row r="3" customFormat="false" ht="15" hidden="false" customHeight="false" outlineLevel="0" collapsed="false">
      <c r="A3" s="5" t="s">
        <v>3435</v>
      </c>
    </row>
    <row r="4" customFormat="false" ht="15" hidden="false" customHeight="false" outlineLevel="0" collapsed="false">
      <c r="A4" s="7" t="s">
        <v>3436</v>
      </c>
      <c r="B4" s="7" t="s">
        <v>758</v>
      </c>
      <c r="C4" s="7" t="s">
        <v>759</v>
      </c>
      <c r="D4" s="7" t="s">
        <v>760</v>
      </c>
      <c r="E4" s="7" t="s">
        <v>761</v>
      </c>
    </row>
    <row r="5" customFormat="false" ht="15" hidden="false" customHeight="false" outlineLevel="0" collapsed="false">
      <c r="A5" s="24" t="s">
        <v>3437</v>
      </c>
      <c r="B5" s="24" t="n">
        <f aca="false">COUNTIFS('R3 Orders'!$M$2:$M$501,"Clean order (no error)")</f>
        <v>200</v>
      </c>
      <c r="C5" s="24" t="n">
        <f aca="false">COUNTIFS('R3 Orders'!$M$2:$M$501,"Clean order (no error)",'R3 Orders'!$P$2:$P$501,"pass")</f>
        <v>171</v>
      </c>
      <c r="D5" s="24" t="n">
        <f aca="false">COUNTIFS('R3 Orders'!$M$2:$M$501,"Clean order (no error)",'R3 Orders'!$P$2:$P$501,"warn")</f>
        <v>29</v>
      </c>
      <c r="E5" s="24" t="n">
        <f aca="false">COUNTIFS('R3 Orders'!$M$2:$M$501,"Clean order (no error)",'R3 Orders'!$P$2:$P$501,"fail")</f>
        <v>0</v>
      </c>
    </row>
    <row r="6" customFormat="false" ht="15" hidden="false" customHeight="false" outlineLevel="0" collapsed="false">
      <c r="A6" s="24" t="s">
        <v>3438</v>
      </c>
      <c r="B6" s="24" t="n">
        <f aca="false">COUNTIFS('R3 Orders'!$M$2:$M$501,"&lt;&gt;Clean order (no error)",'R3 Orders'!$N$2:$N$501,"Yes")</f>
        <v>240</v>
      </c>
      <c r="C6" s="24" t="n">
        <f aca="false">COUNTIFS('R3 Orders'!$M$2:$M$501,"&lt;&gt;Clean order (no error)",'R3 Orders'!$N$2:$N$501,"Yes",'R3 Orders'!$P$2:$P$501,"pass")</f>
        <v>0</v>
      </c>
      <c r="D6" s="24" t="n">
        <f aca="false">COUNTIFS('R3 Orders'!$M$2:$M$501,"&lt;&gt;Clean order (no error)",'R3 Orders'!$N$2:$N$501,"Yes",'R3 Orders'!$P$2:$P$501,"warn")</f>
        <v>20</v>
      </c>
      <c r="E6" s="24" t="n">
        <f aca="false">COUNTIFS('R3 Orders'!$M$2:$M$501,"&lt;&gt;Clean order (no error)",'R3 Orders'!$N$2:$N$501,"Yes",'R3 Orders'!$P$2:$P$501,"fail")</f>
        <v>220</v>
      </c>
    </row>
    <row r="7" customFormat="false" ht="15" hidden="false" customHeight="false" outlineLevel="0" collapsed="false">
      <c r="A7" s="24" t="s">
        <v>3439</v>
      </c>
      <c r="B7" s="24" t="n">
        <f aca="false">COUNTIFS('R3 Orders'!$M$2:$M$501,"&lt;&gt;Clean order (no error)",'R3 Orders'!$N$2:$N$501,"No")</f>
        <v>60</v>
      </c>
      <c r="C7" s="24" t="n">
        <f aca="false">COUNTIFS('R3 Orders'!$M$2:$M$501,"&lt;&gt;Clean order (no error)",'R3 Orders'!$N$2:$N$501,"No",'R3 Orders'!$P$2:$P$501,"pass")</f>
        <v>35</v>
      </c>
      <c r="D7" s="24" t="n">
        <f aca="false">COUNTIFS('R3 Orders'!$M$2:$M$501,"&lt;&gt;Clean order (no error)",'R3 Orders'!$N$2:$N$501,"No",'R3 Orders'!$P$2:$P$501,"warn")</f>
        <v>25</v>
      </c>
      <c r="E7" s="24" t="n">
        <f aca="false">COUNTIFS('R3 Orders'!$M$2:$M$501,"&lt;&gt;Clean order (no error)",'R3 Orders'!$N$2:$N$501,"No",'R3 Orders'!$P$2:$P$501,"fail")</f>
        <v>0</v>
      </c>
    </row>
    <row r="8" customFormat="false" ht="15" hidden="false" customHeight="false" outlineLevel="0" collapsed="false">
      <c r="A8" s="5" t="s">
        <v>763</v>
      </c>
      <c r="B8" s="5" t="n">
        <f aca="false">SUM(B5:B7)</f>
        <v>500</v>
      </c>
      <c r="C8" s="5" t="n">
        <f aca="false">SUM(C5:C7)</f>
        <v>206</v>
      </c>
      <c r="D8" s="5" t="n">
        <f aca="false">SUM(D5:D7)</f>
        <v>74</v>
      </c>
      <c r="E8" s="5" t="n">
        <f aca="false">SUM(E5:E7)</f>
        <v>220</v>
      </c>
    </row>
    <row r="10" customFormat="false" ht="15" hidden="false" customHeight="false" outlineLevel="0" collapsed="false">
      <c r="A10" s="5" t="s">
        <v>3440</v>
      </c>
    </row>
    <row r="11" customFormat="false" ht="15" hidden="false" customHeight="false" outlineLevel="0" collapsed="false">
      <c r="A11" s="7"/>
      <c r="B11" s="7" t="s">
        <v>46</v>
      </c>
      <c r="C11" s="7" t="s">
        <v>759</v>
      </c>
      <c r="D11" s="7" t="s">
        <v>763</v>
      </c>
    </row>
    <row r="12" customFormat="false" ht="15" hidden="false" customHeight="false" outlineLevel="0" collapsed="false">
      <c r="A12" s="5" t="s">
        <v>774</v>
      </c>
      <c r="B12" s="24" t="n">
        <f aca="false">COUNTIFS('R3 Orders'!$M$2:$M$501,"&lt;&gt;Clean order (no error)",'R3 Orders'!$Q$2:$Q$501,"Yes")</f>
        <v>265</v>
      </c>
      <c r="C12" s="24" t="n">
        <f aca="false">COUNTIFS('R3 Orders'!$M$2:$M$501,"&lt;&gt;Clean order (no error)",'R3 Orders'!$Q$2:$Q$501,"No")</f>
        <v>35</v>
      </c>
      <c r="D12" s="24" t="n">
        <f aca="false">B12+C12</f>
        <v>300</v>
      </c>
    </row>
    <row r="13" customFormat="false" ht="15" hidden="false" customHeight="false" outlineLevel="0" collapsed="false">
      <c r="A13" s="5" t="s">
        <v>775</v>
      </c>
      <c r="B13" s="24" t="n">
        <f aca="false">COUNTIFS('R3 Orders'!$M$2:$M$501,"Clean order (no error)",'R3 Orders'!$Q$2:$Q$501,"Yes")</f>
        <v>29</v>
      </c>
      <c r="C13" s="24" t="n">
        <f aca="false">COUNTIFS('R3 Orders'!$M$2:$M$501,"Clean order (no error)",'R3 Orders'!$Q$2:$Q$501,"No")</f>
        <v>171</v>
      </c>
      <c r="D13" s="24" t="n">
        <f aca="false">B13+C13</f>
        <v>200</v>
      </c>
    </row>
    <row r="15" customFormat="false" ht="15" hidden="false" customHeight="false" outlineLevel="0" collapsed="false">
      <c r="A15" s="7" t="s">
        <v>3441</v>
      </c>
      <c r="B15" s="7" t="s">
        <v>3442</v>
      </c>
      <c r="C15" s="7" t="s">
        <v>3443</v>
      </c>
      <c r="D15" s="7" t="s">
        <v>3444</v>
      </c>
      <c r="E15" s="7" t="s">
        <v>3445</v>
      </c>
    </row>
    <row r="16" customFormat="false" ht="15" hidden="false" customHeight="false" outlineLevel="0" collapsed="false">
      <c r="A16" s="5" t="s">
        <v>776</v>
      </c>
      <c r="B16" s="25" t="n">
        <f aca="false">(B12+C13)/(B12+C12+B13+C13)</f>
        <v>0.872</v>
      </c>
      <c r="C16" s="25" t="n">
        <f aca="false">IF((B12+C12+B13+C13)=0,"",(((B12+C13)/(B12+C12+B13+C13))+1.959964^2/(2*(B12+C12+B13+C13))-1.959964*SQRT(((B12+C13)/(B12+C12+B13+C13))*(1-((B12+C13)/(B12+C12+B13+C13)))/(B12+C12+B13+C13)+1.959964^2/(4*(B12+C12+B13+C13)^2)))/(1+1.959964^2/(B12+C12+B13+C13)))</f>
        <v>0.839854314415864</v>
      </c>
      <c r="D16" s="25" t="n">
        <f aca="false">IF((B12+C12+B13+C13)=0,"",(((B12+C13)/(B12+C12+B13+C13))+1.959964^2/(2*(B12+C12+B13+C13))+1.959964*SQRT(((B12+C13)/(B12+C12+B13+C13))*(1-((B12+C13)/(B12+C12+B13+C13)))/(B12+C12+B13+C13)+1.959964^2/(4*(B12+C12+B13+C13)^2)))/(1+1.959964^2/(B12+C12+B13+C13)))</f>
        <v>0.898473176191936</v>
      </c>
      <c r="E16" s="26" t="s">
        <v>777</v>
      </c>
    </row>
    <row r="17" customFormat="false" ht="15" hidden="false" customHeight="false" outlineLevel="0" collapsed="false">
      <c r="A17" s="5" t="s">
        <v>778</v>
      </c>
      <c r="B17" s="25" t="n">
        <f aca="false">B12/(B12+B13)</f>
        <v>0.901360544217687</v>
      </c>
      <c r="C17" s="25" t="n">
        <f aca="false">IF((B12+B13)=0,"",((B12/(B12+B13))+1.959964^2/(2*(B12+B13))-1.959964*SQRT((B12/(B12+B13))*(1-(B12/(B12+B13)))/(B12+B13)+1.959964^2/(4*(B12+B13)^2)))/(1+1.959964^2/(B12+B13)))</f>
        <v>0.861927181582721</v>
      </c>
      <c r="D17" s="25" t="n">
        <f aca="false">IF((B12+B13)=0,"",((B12/(B12+B13))+1.959964^2/(2*(B12+B13))+1.959964*SQRT((B12/(B12+B13))*(1-(B12/(B12+B13)))/(B12+B13)+1.959964^2/(4*(B12+B13)^2)))/(1+1.959964^2/(B12+B13)))</f>
        <v>0.930440680455106</v>
      </c>
      <c r="E17" s="26" t="s">
        <v>3446</v>
      </c>
    </row>
    <row r="18" customFormat="false" ht="15" hidden="false" customHeight="false" outlineLevel="0" collapsed="false">
      <c r="A18" s="5" t="s">
        <v>780</v>
      </c>
      <c r="B18" s="25" t="n">
        <f aca="false">B12/(B12+C12)</f>
        <v>0.883333333333333</v>
      </c>
      <c r="C18" s="25" t="n">
        <f aca="false">IF((B12+C12)=0,"",((B12/(B12+C12))+1.959964^2/(2*(B12+C12))-1.959964*SQRT((B12/(B12+C12))*(1-(B12/(B12+C12)))/(B12+C12)+1.959964^2/(4*(B12+C12)^2)))/(1+1.959964^2/(B12+C12)))</f>
        <v>0.842066856311687</v>
      </c>
      <c r="D18" s="25" t="n">
        <f aca="false">IF((B12+C12)=0,"",((B12/(B12+C12))+1.959964^2/(2*(B12+C12))+1.959964*SQRT((B12/(B12+C12))*(1-(B12/(B12+C12)))/(B12+C12)+1.959964^2/(4*(B12+C12)^2)))/(1+1.959964^2/(B12+C12)))</f>
        <v>0.914906865598514</v>
      </c>
      <c r="E18" s="26" t="s">
        <v>3447</v>
      </c>
    </row>
    <row r="19" customFormat="false" ht="15" hidden="false" customHeight="false" outlineLevel="0" collapsed="false">
      <c r="A19" s="5" t="s">
        <v>782</v>
      </c>
      <c r="B19" s="25" t="n">
        <f aca="false">C13/(C13+B13)</f>
        <v>0.855</v>
      </c>
      <c r="C19" s="25" t="n">
        <f aca="false">IF((C13+B13)=0,"",((C13/(C13+B13))+1.959964^2/(2*(C13+B13))-1.959964*SQRT((C13/(C13+B13))*(1-(C13/(C13+B13)))/(C13+B13)+1.959964^2/(4*(C13+B13)^2)))/(1+1.959964^2/(C13+B13)))</f>
        <v>0.799513324203886</v>
      </c>
      <c r="D19" s="25" t="n">
        <f aca="false">IF((C13+B13)=0,"",((C13/(C13+B13))+1.959964^2/(2*(C13+B13))+1.959964*SQRT((C13/(C13+B13))*(1-(C13/(C13+B13)))/(C13+B13)+1.959964^2/(4*(C13+B13)^2)))/(1+1.959964^2/(C13+B13)))</f>
        <v>0.89710649386115</v>
      </c>
      <c r="E19" s="26" t="s">
        <v>3448</v>
      </c>
    </row>
    <row r="20" customFormat="false" ht="15" hidden="false" customHeight="false" outlineLevel="0" collapsed="false">
      <c r="A20" s="5" t="s">
        <v>3449</v>
      </c>
      <c r="B20" s="25" t="n">
        <f aca="false">B13/(B13+C13)</f>
        <v>0.145</v>
      </c>
      <c r="C20" s="25" t="n">
        <f aca="false">IF((B13+C13)=0,"",((B13/(B13+C13))+1.959964^2/(2*(B13+C13))-1.959964*SQRT((B13/(B13+C13))*(1-(B13/(B13+C13)))/(B13+C13)+1.959964^2/(4*(B13+C13)^2)))/(1+1.959964^2/(B13+C13)))</f>
        <v>0.10289350613885</v>
      </c>
      <c r="D20" s="25" t="n">
        <f aca="false">IF((B13+C13)=0,"",((B13/(B13+C13))+1.959964^2/(2*(B13+C13))+1.959964*SQRT((B13/(B13+C13))*(1-(B13/(B13+C13)))/(B13+C13)+1.959964^2/(4*(B13+C13)^2)))/(1+1.959964^2/(B13+C13)))</f>
        <v>0.200486675796114</v>
      </c>
      <c r="E20" s="26" t="s">
        <v>3450</v>
      </c>
    </row>
    <row r="21" customFormat="false" ht="15" hidden="false" customHeight="false" outlineLevel="0" collapsed="false">
      <c r="A21" s="5" t="s">
        <v>784</v>
      </c>
      <c r="B21" s="25" t="n">
        <f aca="false">2*B17*B18/(B17+B18)</f>
        <v>0.892255892255892</v>
      </c>
      <c r="E21" s="26" t="s">
        <v>3451</v>
      </c>
    </row>
    <row r="23" customFormat="false" ht="15" hidden="false" customHeight="false" outlineLevel="0" collapsed="false">
      <c r="A23" s="5" t="s">
        <v>3452</v>
      </c>
    </row>
    <row r="24" customFormat="false" ht="15" hidden="false" customHeight="false" outlineLevel="0" collapsed="false">
      <c r="A24" s="7"/>
      <c r="B24" s="7" t="s">
        <v>46</v>
      </c>
      <c r="C24" s="7" t="s">
        <v>759</v>
      </c>
      <c r="D24" s="7" t="s">
        <v>763</v>
      </c>
    </row>
    <row r="25" customFormat="false" ht="15" hidden="false" customHeight="false" outlineLevel="0" collapsed="false">
      <c r="A25" s="5" t="s">
        <v>774</v>
      </c>
      <c r="B25" s="24" t="n">
        <f aca="false">COUNTIFS('R3 Orders'!$M$2:$M$501,"&lt;&gt;Clean order (no error)",'R3 Orders'!$N$2:$N$501,"Yes",'R3 Orders'!$Q$2:$Q$501,"Yes")</f>
        <v>240</v>
      </c>
      <c r="C25" s="24" t="n">
        <f aca="false">COUNTIFS('R3 Orders'!$M$2:$M$501,"&lt;&gt;Clean order (no error)",'R3 Orders'!$N$2:$N$501,"Yes",'R3 Orders'!$Q$2:$Q$501,"No")</f>
        <v>0</v>
      </c>
      <c r="D25" s="24" t="n">
        <f aca="false">B25+C25</f>
        <v>240</v>
      </c>
    </row>
    <row r="26" customFormat="false" ht="15" hidden="false" customHeight="false" outlineLevel="0" collapsed="false">
      <c r="A26" s="5" t="s">
        <v>775</v>
      </c>
      <c r="B26" s="24" t="n">
        <f aca="false">COUNTIFS('R3 Orders'!$M$2:$M$501,"Clean order (no error)",'R3 Orders'!$Q$2:$Q$501,"Yes")</f>
        <v>29</v>
      </c>
      <c r="C26" s="24" t="n">
        <f aca="false">COUNTIFS('R3 Orders'!$M$2:$M$501,"Clean order (no error)",'R3 Orders'!$Q$2:$Q$501,"No")</f>
        <v>171</v>
      </c>
      <c r="D26" s="24" t="n">
        <f aca="false">B26+C26</f>
        <v>200</v>
      </c>
    </row>
    <row r="28" customFormat="false" ht="15" hidden="false" customHeight="false" outlineLevel="0" collapsed="false">
      <c r="A28" s="7" t="s">
        <v>3441</v>
      </c>
      <c r="B28" s="7" t="s">
        <v>3442</v>
      </c>
      <c r="C28" s="7" t="s">
        <v>3443</v>
      </c>
      <c r="D28" s="7" t="s">
        <v>3444</v>
      </c>
      <c r="E28" s="7" t="s">
        <v>3445</v>
      </c>
    </row>
    <row r="29" customFormat="false" ht="15" hidden="false" customHeight="false" outlineLevel="0" collapsed="false">
      <c r="A29" s="5" t="s">
        <v>776</v>
      </c>
      <c r="B29" s="25" t="n">
        <f aca="false">(B25+C26)/(B25+C25+B26+C26)</f>
        <v>0.934090909090909</v>
      </c>
      <c r="C29" s="25" t="n">
        <f aca="false">IF((B25+C25+B26+C26)=0,"",(((B25+C26)/(B25+C25+B26+C26))+1.959964^2/(2*(B25+C25+B26+C26))-1.959964*SQRT(((B25+C26)/(B25+C25+B26+C26))*(1-((B25+C26)/(B25+C25+B26+C26)))/(B25+C25+B26+C26)+1.959964^2/(4*(B25+C25+B26+C26)^2)))/(1+1.959964^2/(B25+C25+B26+C26)))</f>
        <v>0.90694660389731</v>
      </c>
      <c r="D29" s="25" t="n">
        <f aca="false">IF((B25+C25+B26+C26)=0,"",(((B25+C26)/(B25+C25+B26+C26))+1.959964^2/(2*(B25+C25+B26+C26))+1.959964*SQRT(((B25+C26)/(B25+C25+B26+C26))*(1-((B25+C26)/(B25+C25+B26+C26)))/(B25+C25+B26+C26)+1.959964^2/(4*(B25+C25+B26+C26)^2)))/(1+1.959964^2/(B25+C25+B26+C26)))</f>
        <v>0.953721079024498</v>
      </c>
      <c r="E29" s="26" t="s">
        <v>777</v>
      </c>
    </row>
    <row r="30" customFormat="false" ht="15" hidden="false" customHeight="false" outlineLevel="0" collapsed="false">
      <c r="A30" s="5" t="s">
        <v>778</v>
      </c>
      <c r="B30" s="25" t="n">
        <f aca="false">B25/(B25+B26)</f>
        <v>0.892193308550186</v>
      </c>
      <c r="C30" s="25" t="n">
        <f aca="false">IF((B25+B26)=0,"",((B25/(B25+B26))+1.959964^2/(2*(B25+B26))-1.959964*SQRT((B25/(B25+B26))*(1-(B25/(B25+B26)))/(B25+B26)+1.959964^2/(4*(B25+B26)^2)))/(1+1.959964^2/(B25+B26)))</f>
        <v>0.849459681557524</v>
      </c>
      <c r="D30" s="25" t="n">
        <f aca="false">IF((B25+B26)=0,"",((B25/(B25+B26))+1.959964^2/(2*(B25+B26))+1.959964*SQRT((B25/(B25+B26))*(1-(B25/(B25+B26)))/(B25+B26)+1.959964^2/(4*(B25+B26)^2)))/(1+1.959964^2/(B25+B26)))</f>
        <v>0.923883199928089</v>
      </c>
      <c r="E30" s="26" t="s">
        <v>3446</v>
      </c>
    </row>
    <row r="31" customFormat="false" ht="15" hidden="false" customHeight="false" outlineLevel="0" collapsed="false">
      <c r="A31" s="5" t="s">
        <v>780</v>
      </c>
      <c r="B31" s="25" t="n">
        <f aca="false">B25/(B25+C25)</f>
        <v>1</v>
      </c>
      <c r="C31" s="25" t="n">
        <f aca="false">IF((B25+C25)=0,"",((B25/(B25+C25))+1.959964^2/(2*(B25+C25))-1.959964*SQRT((B25/(B25+C25))*(1-(B25/(B25+C25)))/(B25+C25)+1.959964^2/(4*(B25+C25)^2)))/(1+1.959964^2/(B25+C25)))</f>
        <v>0.984246079813827</v>
      </c>
      <c r="D31" s="25" t="n">
        <f aca="false">IF((B25+C25)=0,"",((B25/(B25+C25))+1.959964^2/(2*(B25+C25))+1.959964*SQRT((B25/(B25+C25))*(1-(B25/(B25+C25)))/(B25+C25)+1.959964^2/(4*(B25+C25)^2)))/(1+1.959964^2/(B25+C25)))</f>
        <v>1</v>
      </c>
      <c r="E31" s="26" t="s">
        <v>3447</v>
      </c>
    </row>
    <row r="32" customFormat="false" ht="15" hidden="false" customHeight="false" outlineLevel="0" collapsed="false">
      <c r="A32" s="5" t="s">
        <v>782</v>
      </c>
      <c r="B32" s="25" t="n">
        <f aca="false">C26/(C26+B26)</f>
        <v>0.855</v>
      </c>
      <c r="C32" s="25" t="n">
        <f aca="false">IF((C26+B26)=0,"",((C26/(C26+B26))+1.959964^2/(2*(C26+B26))-1.959964*SQRT((C26/(C26+B26))*(1-(C26/(C26+B26)))/(C26+B26)+1.959964^2/(4*(C26+B26)^2)))/(1+1.959964^2/(C26+B26)))</f>
        <v>0.799513324203886</v>
      </c>
      <c r="D32" s="25" t="n">
        <f aca="false">IF((C26+B26)=0,"",((C26/(C26+B26))+1.959964^2/(2*(C26+B26))+1.959964*SQRT((C26/(C26+B26))*(1-(C26/(C26+B26)))/(C26+B26)+1.959964^2/(4*(C26+B26)^2)))/(1+1.959964^2/(C26+B26)))</f>
        <v>0.89710649386115</v>
      </c>
      <c r="E32" s="26" t="s">
        <v>3448</v>
      </c>
    </row>
    <row r="33" customFormat="false" ht="15" hidden="false" customHeight="false" outlineLevel="0" collapsed="false">
      <c r="A33" s="5" t="s">
        <v>3449</v>
      </c>
      <c r="B33" s="25" t="n">
        <f aca="false">B26/(B26+C26)</f>
        <v>0.145</v>
      </c>
      <c r="C33" s="25" t="n">
        <f aca="false">IF((B26+C26)=0,"",((B26/(B26+C26))+1.959964^2/(2*(B26+C26))-1.959964*SQRT((B26/(B26+C26))*(1-(B26/(B26+C26)))/(B26+C26)+1.959964^2/(4*(B26+C26)^2)))/(1+1.959964^2/(B26+C26)))</f>
        <v>0.10289350613885</v>
      </c>
      <c r="D33" s="25" t="n">
        <f aca="false">IF((B26+C26)=0,"",((B26/(B26+C26))+1.959964^2/(2*(B26+C26))+1.959964*SQRT((B26/(B26+C26))*(1-(B26/(B26+C26)))/(B26+C26)+1.959964^2/(4*(B26+C26)^2)))/(1+1.959964^2/(B26+C26)))</f>
        <v>0.200486675796114</v>
      </c>
      <c r="E33" s="26" t="s">
        <v>3450</v>
      </c>
    </row>
    <row r="34" customFormat="false" ht="15" hidden="false" customHeight="false" outlineLevel="0" collapsed="false">
      <c r="A34" s="5" t="s">
        <v>784</v>
      </c>
      <c r="B34" s="25" t="n">
        <f aca="false">2*B30*B31/(B30+B31)</f>
        <v>0.943025540275049</v>
      </c>
      <c r="E34" s="26" t="s">
        <v>3451</v>
      </c>
    </row>
    <row r="36" customFormat="false" ht="15" hidden="false" customHeight="false" outlineLevel="0" collapsed="false">
      <c r="A36" s="5" t="s">
        <v>3453</v>
      </c>
    </row>
    <row r="37" customFormat="false" ht="26.85" hidden="false" customHeight="false" outlineLevel="0" collapsed="false">
      <c r="A37" s="7" t="s">
        <v>43</v>
      </c>
      <c r="B37" s="7" t="s">
        <v>44</v>
      </c>
      <c r="C37" s="7" t="s">
        <v>849</v>
      </c>
      <c r="D37" s="7" t="s">
        <v>758</v>
      </c>
      <c r="E37" s="7" t="s">
        <v>761</v>
      </c>
      <c r="F37" s="7" t="s">
        <v>760</v>
      </c>
      <c r="G37" s="7" t="s">
        <v>759</v>
      </c>
      <c r="H37" s="7" t="s">
        <v>46</v>
      </c>
      <c r="I37" s="7" t="s">
        <v>764</v>
      </c>
      <c r="J37" s="7" t="s">
        <v>3443</v>
      </c>
      <c r="K37" s="7" t="s">
        <v>3444</v>
      </c>
      <c r="L37" s="7" t="s">
        <v>3454</v>
      </c>
    </row>
    <row r="38" customFormat="false" ht="15" hidden="false" customHeight="false" outlineLevel="0" collapsed="false">
      <c r="A38" s="24" t="s">
        <v>57</v>
      </c>
      <c r="B38" s="24"/>
      <c r="C38" s="24"/>
      <c r="D38" s="24" t="n">
        <f aca="false">COUNTIF('R3 Orders'!$M$2:$M$501,A38)</f>
        <v>200</v>
      </c>
      <c r="E38" s="24" t="n">
        <f aca="false">COUNTIFS('R3 Orders'!$M$2:$M$501,A38,'R3 Orders'!$P$2:$P$501,"fail")</f>
        <v>0</v>
      </c>
      <c r="F38" s="24" t="n">
        <f aca="false">COUNTIFS('R3 Orders'!$M$2:$M$501,A38,'R3 Orders'!$P$2:$P$501,"warn")</f>
        <v>29</v>
      </c>
      <c r="G38" s="24" t="n">
        <f aca="false">COUNTIFS('R3 Orders'!$M$2:$M$501,A38,'R3 Orders'!$P$2:$P$501,"pass")</f>
        <v>171</v>
      </c>
      <c r="H38" s="24" t="n">
        <f aca="false">E38+F38</f>
        <v>29</v>
      </c>
      <c r="I38" s="25" t="n">
        <f aca="false">IF(D38=0,"",H38/D38)</f>
        <v>0.145</v>
      </c>
      <c r="J38" s="25" t="n">
        <f aca="false">IF(D38=0,"",((H38/D38)+1.959964^2/(2*D38)-1.959964*SQRT((H38/D38)*(1-(H38/D38))/D38+1.959964^2/(4*D38^2)))/(1+1.959964^2/D38))</f>
        <v>0.10289350613885</v>
      </c>
      <c r="K38" s="25" t="n">
        <f aca="false">IF(D38=0,"",((H38/D38)+1.959964^2/(2*D38)+1.959964*SQRT((H38/D38)*(1-(H38/D38))/D38+1.959964^2/(4*D38^2)))/(1+1.959964^2/D38))</f>
        <v>0.200486675796114</v>
      </c>
      <c r="L38" s="24"/>
    </row>
    <row r="39" customFormat="false" ht="15" hidden="false" customHeight="false" outlineLevel="0" collapsed="false">
      <c r="A39" s="24" t="s">
        <v>272</v>
      </c>
      <c r="B39" s="24" t="s">
        <v>84</v>
      </c>
      <c r="C39" s="24" t="s">
        <v>879</v>
      </c>
      <c r="D39" s="24" t="n">
        <f aca="false">COUNTIF('R3 Orders'!$M$2:$M$501,A39)</f>
        <v>20</v>
      </c>
      <c r="E39" s="24" t="n">
        <f aca="false">COUNTIFS('R3 Orders'!$M$2:$M$501,A39,'R3 Orders'!$P$2:$P$501,"fail")</f>
        <v>20</v>
      </c>
      <c r="F39" s="24" t="n">
        <f aca="false">COUNTIFS('R3 Orders'!$M$2:$M$501,A39,'R3 Orders'!$P$2:$P$501,"warn")</f>
        <v>0</v>
      </c>
      <c r="G39" s="24" t="n">
        <f aca="false">COUNTIFS('R3 Orders'!$M$2:$M$501,A39,'R3 Orders'!$P$2:$P$501,"pass")</f>
        <v>0</v>
      </c>
      <c r="H39" s="24" t="n">
        <f aca="false">E39+F39</f>
        <v>20</v>
      </c>
      <c r="I39" s="25" t="n">
        <f aca="false">IF(D39=0,"",H39/D39)</f>
        <v>1</v>
      </c>
      <c r="J39" s="25" t="n">
        <f aca="false">IF(D39=0,"",((H39/D39)+1.959964^2/(2*D39)-1.959964*SQRT((H39/D39)*(1-(H39/D39))/D39+1.959964^2/(4*D39^2)))/(1+1.959964^2/D39))</f>
        <v>0.83887483981487</v>
      </c>
      <c r="K39" s="25" t="n">
        <f aca="false">IF(D39=0,"",((H39/D39)+1.959964^2/(2*D39)+1.959964*SQRT((H39/D39)*(1-(H39/D39))/D39+1.959964^2/(4*D39^2)))/(1+1.959964^2/D39))</f>
        <v>1</v>
      </c>
      <c r="L39" s="24" t="n">
        <f aca="false">COUNTIFS('R3 Orders'!$M$2:$M$501,A39,'R3 Orders'!$AA$2:$AA$501,1)</f>
        <v>20</v>
      </c>
    </row>
    <row r="40" customFormat="false" ht="15" hidden="false" customHeight="false" outlineLevel="0" collapsed="false">
      <c r="A40" s="24" t="s">
        <v>132</v>
      </c>
      <c r="B40" s="24" t="s">
        <v>84</v>
      </c>
      <c r="C40" s="24" t="s">
        <v>879</v>
      </c>
      <c r="D40" s="24" t="n">
        <f aca="false">COUNTIF('R3 Orders'!$M$2:$M$501,A40)</f>
        <v>20</v>
      </c>
      <c r="E40" s="24" t="n">
        <f aca="false">COUNTIFS('R3 Orders'!$M$2:$M$501,A40,'R3 Orders'!$P$2:$P$501,"fail")</f>
        <v>20</v>
      </c>
      <c r="F40" s="24" t="n">
        <f aca="false">COUNTIFS('R3 Orders'!$M$2:$M$501,A40,'R3 Orders'!$P$2:$P$501,"warn")</f>
        <v>0</v>
      </c>
      <c r="G40" s="24" t="n">
        <f aca="false">COUNTIFS('R3 Orders'!$M$2:$M$501,A40,'R3 Orders'!$P$2:$P$501,"pass")</f>
        <v>0</v>
      </c>
      <c r="H40" s="24" t="n">
        <f aca="false">E40+F40</f>
        <v>20</v>
      </c>
      <c r="I40" s="25" t="n">
        <f aca="false">IF(D40=0,"",H40/D40)</f>
        <v>1</v>
      </c>
      <c r="J40" s="25" t="n">
        <f aca="false">IF(D40=0,"",((H40/D40)+1.959964^2/(2*D40)-1.959964*SQRT((H40/D40)*(1-(H40/D40))/D40+1.959964^2/(4*D40^2)))/(1+1.959964^2/D40))</f>
        <v>0.83887483981487</v>
      </c>
      <c r="K40" s="25" t="n">
        <f aca="false">IF(D40=0,"",((H40/D40)+1.959964^2/(2*D40)+1.959964*SQRT((H40/D40)*(1-(H40/D40))/D40+1.959964^2/(4*D40^2)))/(1+1.959964^2/D40))</f>
        <v>1</v>
      </c>
      <c r="L40" s="24" t="n">
        <f aca="false">COUNTIFS('R3 Orders'!$M$2:$M$501,A40,'R3 Orders'!$AA$2:$AA$501,1)</f>
        <v>20</v>
      </c>
    </row>
    <row r="41" customFormat="false" ht="15" hidden="false" customHeight="false" outlineLevel="0" collapsed="false">
      <c r="A41" s="24" t="s">
        <v>148</v>
      </c>
      <c r="B41" s="24" t="s">
        <v>84</v>
      </c>
      <c r="C41" s="24" t="s">
        <v>866</v>
      </c>
      <c r="D41" s="24" t="n">
        <f aca="false">COUNTIF('R3 Orders'!$M$2:$M$501,A41)</f>
        <v>20</v>
      </c>
      <c r="E41" s="24" t="n">
        <f aca="false">COUNTIFS('R3 Orders'!$M$2:$M$501,A41,'R3 Orders'!$P$2:$P$501,"fail")</f>
        <v>20</v>
      </c>
      <c r="F41" s="24" t="n">
        <f aca="false">COUNTIFS('R3 Orders'!$M$2:$M$501,A41,'R3 Orders'!$P$2:$P$501,"warn")</f>
        <v>0</v>
      </c>
      <c r="G41" s="24" t="n">
        <f aca="false">COUNTIFS('R3 Orders'!$M$2:$M$501,A41,'R3 Orders'!$P$2:$P$501,"pass")</f>
        <v>0</v>
      </c>
      <c r="H41" s="24" t="n">
        <f aca="false">E41+F41</f>
        <v>20</v>
      </c>
      <c r="I41" s="25" t="n">
        <f aca="false">IF(D41=0,"",H41/D41)</f>
        <v>1</v>
      </c>
      <c r="J41" s="25" t="n">
        <f aca="false">IF(D41=0,"",((H41/D41)+1.959964^2/(2*D41)-1.959964*SQRT((H41/D41)*(1-(H41/D41))/D41+1.959964^2/(4*D41^2)))/(1+1.959964^2/D41))</f>
        <v>0.83887483981487</v>
      </c>
      <c r="K41" s="25" t="n">
        <f aca="false">IF(D41=0,"",((H41/D41)+1.959964^2/(2*D41)+1.959964*SQRT((H41/D41)*(1-(H41/D41))/D41+1.959964^2/(4*D41^2)))/(1+1.959964^2/D41))</f>
        <v>1</v>
      </c>
      <c r="L41" s="24" t="n">
        <f aca="false">COUNTIFS('R3 Orders'!$M$2:$M$501,A41,'R3 Orders'!$Z$2:$Z$501,1)</f>
        <v>20</v>
      </c>
    </row>
    <row r="42" customFormat="false" ht="15" hidden="false" customHeight="false" outlineLevel="0" collapsed="false">
      <c r="A42" s="24" t="s">
        <v>224</v>
      </c>
      <c r="B42" s="24" t="s">
        <v>84</v>
      </c>
      <c r="C42" s="24" t="s">
        <v>866</v>
      </c>
      <c r="D42" s="24" t="n">
        <f aca="false">COUNTIF('R3 Orders'!$M$2:$M$501,A42)</f>
        <v>20</v>
      </c>
      <c r="E42" s="24" t="n">
        <f aca="false">COUNTIFS('R3 Orders'!$M$2:$M$501,A42,'R3 Orders'!$P$2:$P$501,"fail")</f>
        <v>20</v>
      </c>
      <c r="F42" s="24" t="n">
        <f aca="false">COUNTIFS('R3 Orders'!$M$2:$M$501,A42,'R3 Orders'!$P$2:$P$501,"warn")</f>
        <v>0</v>
      </c>
      <c r="G42" s="24" t="n">
        <f aca="false">COUNTIFS('R3 Orders'!$M$2:$M$501,A42,'R3 Orders'!$P$2:$P$501,"pass")</f>
        <v>0</v>
      </c>
      <c r="H42" s="24" t="n">
        <f aca="false">E42+F42</f>
        <v>20</v>
      </c>
      <c r="I42" s="25" t="n">
        <f aca="false">IF(D42=0,"",H42/D42)</f>
        <v>1</v>
      </c>
      <c r="J42" s="25" t="n">
        <f aca="false">IF(D42=0,"",((H42/D42)+1.959964^2/(2*D42)-1.959964*SQRT((H42/D42)*(1-(H42/D42))/D42+1.959964^2/(4*D42^2)))/(1+1.959964^2/D42))</f>
        <v>0.83887483981487</v>
      </c>
      <c r="K42" s="25" t="n">
        <f aca="false">IF(D42=0,"",((H42/D42)+1.959964^2/(2*D42)+1.959964*SQRT((H42/D42)*(1-(H42/D42))/D42+1.959964^2/(4*D42^2)))/(1+1.959964^2/D42))</f>
        <v>1</v>
      </c>
      <c r="L42" s="24" t="n">
        <f aca="false">COUNTIFS('R3 Orders'!$M$2:$M$501,A42,'R3 Orders'!$Z$2:$Z$501,1)</f>
        <v>20</v>
      </c>
    </row>
    <row r="43" customFormat="false" ht="15" hidden="false" customHeight="false" outlineLevel="0" collapsed="false">
      <c r="A43" s="24" t="s">
        <v>94</v>
      </c>
      <c r="B43" s="24" t="s">
        <v>84</v>
      </c>
      <c r="C43" s="24" t="s">
        <v>909</v>
      </c>
      <c r="D43" s="24" t="n">
        <f aca="false">COUNTIF('R3 Orders'!$M$2:$M$501,A43)</f>
        <v>20</v>
      </c>
      <c r="E43" s="24" t="n">
        <f aca="false">COUNTIFS('R3 Orders'!$M$2:$M$501,A43,'R3 Orders'!$P$2:$P$501,"fail")</f>
        <v>20</v>
      </c>
      <c r="F43" s="24" t="n">
        <f aca="false">COUNTIFS('R3 Orders'!$M$2:$M$501,A43,'R3 Orders'!$P$2:$P$501,"warn")</f>
        <v>0</v>
      </c>
      <c r="G43" s="24" t="n">
        <f aca="false">COUNTIFS('R3 Orders'!$M$2:$M$501,A43,'R3 Orders'!$P$2:$P$501,"pass")</f>
        <v>0</v>
      </c>
      <c r="H43" s="24" t="n">
        <f aca="false">E43+F43</f>
        <v>20</v>
      </c>
      <c r="I43" s="25" t="n">
        <f aca="false">IF(D43=0,"",H43/D43)</f>
        <v>1</v>
      </c>
      <c r="J43" s="25" t="n">
        <f aca="false">IF(D43=0,"",((H43/D43)+1.959964^2/(2*D43)-1.959964*SQRT((H43/D43)*(1-(H43/D43))/D43+1.959964^2/(4*D43^2)))/(1+1.959964^2/D43))</f>
        <v>0.83887483981487</v>
      </c>
      <c r="K43" s="25" t="n">
        <f aca="false">IF(D43=0,"",((H43/D43)+1.959964^2/(2*D43)+1.959964*SQRT((H43/D43)*(1-(H43/D43))/D43+1.959964^2/(4*D43^2)))/(1+1.959964^2/D43))</f>
        <v>1</v>
      </c>
      <c r="L43" s="24" t="n">
        <f aca="false">COUNTIFS('R3 Orders'!$M$2:$M$501,A43,'R3 Orders'!$AF$2:$AF$501,1)</f>
        <v>20</v>
      </c>
    </row>
    <row r="44" customFormat="false" ht="15" hidden="false" customHeight="false" outlineLevel="0" collapsed="false">
      <c r="A44" s="24" t="s">
        <v>83</v>
      </c>
      <c r="B44" s="24" t="s">
        <v>84</v>
      </c>
      <c r="C44" s="24" t="s">
        <v>886</v>
      </c>
      <c r="D44" s="24" t="n">
        <f aca="false">COUNTIF('R3 Orders'!$M$2:$M$501,A44)</f>
        <v>20</v>
      </c>
      <c r="E44" s="24" t="n">
        <f aca="false">COUNTIFS('R3 Orders'!$M$2:$M$501,A44,'R3 Orders'!$P$2:$P$501,"fail")</f>
        <v>20</v>
      </c>
      <c r="F44" s="24" t="n">
        <f aca="false">COUNTIFS('R3 Orders'!$M$2:$M$501,A44,'R3 Orders'!$P$2:$P$501,"warn")</f>
        <v>0</v>
      </c>
      <c r="G44" s="24" t="n">
        <f aca="false">COUNTIFS('R3 Orders'!$M$2:$M$501,A44,'R3 Orders'!$P$2:$P$501,"pass")</f>
        <v>0</v>
      </c>
      <c r="H44" s="24" t="n">
        <f aca="false">E44+F44</f>
        <v>20</v>
      </c>
      <c r="I44" s="25" t="n">
        <f aca="false">IF(D44=0,"",H44/D44)</f>
        <v>1</v>
      </c>
      <c r="J44" s="25" t="n">
        <f aca="false">IF(D44=0,"",((H44/D44)+1.959964^2/(2*D44)-1.959964*SQRT((H44/D44)*(1-(H44/D44))/D44+1.959964^2/(4*D44^2)))/(1+1.959964^2/D44))</f>
        <v>0.83887483981487</v>
      </c>
      <c r="K44" s="25" t="n">
        <f aca="false">IF(D44=0,"",((H44/D44)+1.959964^2/(2*D44)+1.959964*SQRT((H44/D44)*(1-(H44/D44))/D44+1.959964^2/(4*D44^2)))/(1+1.959964^2/D44))</f>
        <v>1</v>
      </c>
      <c r="L44" s="24" t="n">
        <f aca="false">COUNTIFS('R3 Orders'!$M$2:$M$501,A44,'R3 Orders'!$AB$2:$AB$501,1)</f>
        <v>20</v>
      </c>
    </row>
    <row r="45" customFormat="false" ht="15" hidden="false" customHeight="false" outlineLevel="0" collapsed="false">
      <c r="A45" s="24" t="s">
        <v>159</v>
      </c>
      <c r="B45" s="24" t="s">
        <v>84</v>
      </c>
      <c r="C45" s="24" t="s">
        <v>886</v>
      </c>
      <c r="D45" s="24" t="n">
        <f aca="false">COUNTIF('R3 Orders'!$M$2:$M$501,A45)</f>
        <v>20</v>
      </c>
      <c r="E45" s="24" t="n">
        <f aca="false">COUNTIFS('R3 Orders'!$M$2:$M$501,A45,'R3 Orders'!$P$2:$P$501,"fail")</f>
        <v>20</v>
      </c>
      <c r="F45" s="24" t="n">
        <f aca="false">COUNTIFS('R3 Orders'!$M$2:$M$501,A45,'R3 Orders'!$P$2:$P$501,"warn")</f>
        <v>0</v>
      </c>
      <c r="G45" s="24" t="n">
        <f aca="false">COUNTIFS('R3 Orders'!$M$2:$M$501,A45,'R3 Orders'!$P$2:$P$501,"pass")</f>
        <v>0</v>
      </c>
      <c r="H45" s="24" t="n">
        <f aca="false">E45+F45</f>
        <v>20</v>
      </c>
      <c r="I45" s="25" t="n">
        <f aca="false">IF(D45=0,"",H45/D45)</f>
        <v>1</v>
      </c>
      <c r="J45" s="25" t="n">
        <f aca="false">IF(D45=0,"",((H45/D45)+1.959964^2/(2*D45)-1.959964*SQRT((H45/D45)*(1-(H45/D45))/D45+1.959964^2/(4*D45^2)))/(1+1.959964^2/D45))</f>
        <v>0.83887483981487</v>
      </c>
      <c r="K45" s="25" t="n">
        <f aca="false">IF(D45=0,"",((H45/D45)+1.959964^2/(2*D45)+1.959964*SQRT((H45/D45)*(1-(H45/D45))/D45+1.959964^2/(4*D45^2)))/(1+1.959964^2/D45))</f>
        <v>1</v>
      </c>
      <c r="L45" s="24" t="n">
        <f aca="false">COUNTIFS('R3 Orders'!$M$2:$M$501,A45,'R3 Orders'!$AB$2:$AB$501,1)</f>
        <v>20</v>
      </c>
    </row>
    <row r="46" customFormat="false" ht="15" hidden="false" customHeight="false" outlineLevel="0" collapsed="false">
      <c r="A46" s="24" t="s">
        <v>152</v>
      </c>
      <c r="B46" s="24" t="s">
        <v>84</v>
      </c>
      <c r="C46" s="24" t="s">
        <v>886</v>
      </c>
      <c r="D46" s="24" t="n">
        <f aca="false">COUNTIF('R3 Orders'!$M$2:$M$501,A46)</f>
        <v>20</v>
      </c>
      <c r="E46" s="24" t="n">
        <f aca="false">COUNTIFS('R3 Orders'!$M$2:$M$501,A46,'R3 Orders'!$P$2:$P$501,"fail")</f>
        <v>20</v>
      </c>
      <c r="F46" s="24" t="n">
        <f aca="false">COUNTIFS('R3 Orders'!$M$2:$M$501,A46,'R3 Orders'!$P$2:$P$501,"warn")</f>
        <v>0</v>
      </c>
      <c r="G46" s="24" t="n">
        <f aca="false">COUNTIFS('R3 Orders'!$M$2:$M$501,A46,'R3 Orders'!$P$2:$P$501,"pass")</f>
        <v>0</v>
      </c>
      <c r="H46" s="24" t="n">
        <f aca="false">E46+F46</f>
        <v>20</v>
      </c>
      <c r="I46" s="25" t="n">
        <f aca="false">IF(D46=0,"",H46/D46)</f>
        <v>1</v>
      </c>
      <c r="J46" s="25" t="n">
        <f aca="false">IF(D46=0,"",((H46/D46)+1.959964^2/(2*D46)-1.959964*SQRT((H46/D46)*(1-(H46/D46))/D46+1.959964^2/(4*D46^2)))/(1+1.959964^2/D46))</f>
        <v>0.83887483981487</v>
      </c>
      <c r="K46" s="25" t="n">
        <f aca="false">IF(D46=0,"",((H46/D46)+1.959964^2/(2*D46)+1.959964*SQRT((H46/D46)*(1-(H46/D46))/D46+1.959964^2/(4*D46^2)))/(1+1.959964^2/D46))</f>
        <v>1</v>
      </c>
      <c r="L46" s="24" t="n">
        <f aca="false">COUNTIFS('R3 Orders'!$M$2:$M$501,A46,'R3 Orders'!$AB$2:$AB$501,1)</f>
        <v>20</v>
      </c>
    </row>
    <row r="47" customFormat="false" ht="15" hidden="false" customHeight="false" outlineLevel="0" collapsed="false">
      <c r="A47" s="24" t="s">
        <v>171</v>
      </c>
      <c r="B47" s="24" t="s">
        <v>84</v>
      </c>
      <c r="C47" s="24" t="s">
        <v>892</v>
      </c>
      <c r="D47" s="24" t="n">
        <f aca="false">COUNTIF('R3 Orders'!$M$2:$M$501,A47)</f>
        <v>20</v>
      </c>
      <c r="E47" s="24" t="n">
        <f aca="false">COUNTIFS('R3 Orders'!$M$2:$M$501,A47,'R3 Orders'!$P$2:$P$501,"fail")</f>
        <v>20</v>
      </c>
      <c r="F47" s="24" t="n">
        <f aca="false">COUNTIFS('R3 Orders'!$M$2:$M$501,A47,'R3 Orders'!$P$2:$P$501,"warn")</f>
        <v>0</v>
      </c>
      <c r="G47" s="24" t="n">
        <f aca="false">COUNTIFS('R3 Orders'!$M$2:$M$501,A47,'R3 Orders'!$P$2:$P$501,"pass")</f>
        <v>0</v>
      </c>
      <c r="H47" s="24" t="n">
        <f aca="false">E47+F47</f>
        <v>20</v>
      </c>
      <c r="I47" s="25" t="n">
        <f aca="false">IF(D47=0,"",H47/D47)</f>
        <v>1</v>
      </c>
      <c r="J47" s="25" t="n">
        <f aca="false">IF(D47=0,"",((H47/D47)+1.959964^2/(2*D47)-1.959964*SQRT((H47/D47)*(1-(H47/D47))/D47+1.959964^2/(4*D47^2)))/(1+1.959964^2/D47))</f>
        <v>0.83887483981487</v>
      </c>
      <c r="K47" s="25" t="n">
        <f aca="false">IF(D47=0,"",((H47/D47)+1.959964^2/(2*D47)+1.959964*SQRT((H47/D47)*(1-(H47/D47))/D47+1.959964^2/(4*D47^2)))/(1+1.959964^2/D47))</f>
        <v>1</v>
      </c>
      <c r="L47" s="24" t="n">
        <f aca="false">COUNTIFS('R3 Orders'!$M$2:$M$501,A47,'R3 Orders'!$AC$2:$AC$501,1)</f>
        <v>20</v>
      </c>
    </row>
    <row r="48" customFormat="false" ht="15" hidden="false" customHeight="false" outlineLevel="0" collapsed="false">
      <c r="A48" s="24" t="s">
        <v>97</v>
      </c>
      <c r="B48" s="24" t="s">
        <v>84</v>
      </c>
      <c r="C48" s="24" t="s">
        <v>1185</v>
      </c>
      <c r="D48" s="24" t="n">
        <f aca="false">COUNTIF('R3 Orders'!$M$2:$M$501,A48)</f>
        <v>20</v>
      </c>
      <c r="E48" s="24" t="n">
        <f aca="false">COUNTIFS('R3 Orders'!$M$2:$M$501,A48,'R3 Orders'!$P$2:$P$501,"fail")</f>
        <v>0</v>
      </c>
      <c r="F48" s="24" t="n">
        <f aca="false">COUNTIFS('R3 Orders'!$M$2:$M$501,A48,'R3 Orders'!$P$2:$P$501,"warn")</f>
        <v>20</v>
      </c>
      <c r="G48" s="24" t="n">
        <f aca="false">COUNTIFS('R3 Orders'!$M$2:$M$501,A48,'R3 Orders'!$P$2:$P$501,"pass")</f>
        <v>0</v>
      </c>
      <c r="H48" s="24" t="n">
        <f aca="false">E48+F48</f>
        <v>20</v>
      </c>
      <c r="I48" s="25" t="n">
        <f aca="false">IF(D48=0,"",H48/D48)</f>
        <v>1</v>
      </c>
      <c r="J48" s="25" t="n">
        <f aca="false">IF(D48=0,"",((H48/D48)+1.959964^2/(2*D48)-1.959964*SQRT((H48/D48)*(1-(H48/D48))/D48+1.959964^2/(4*D48^2)))/(1+1.959964^2/D48))</f>
        <v>0.83887483981487</v>
      </c>
      <c r="K48" s="25" t="n">
        <f aca="false">IF(D48=0,"",((H48/D48)+1.959964^2/(2*D48)+1.959964*SQRT((H48/D48)*(1-(H48/D48))/D48+1.959964^2/(4*D48^2)))/(1+1.959964^2/D48))</f>
        <v>1</v>
      </c>
      <c r="L48" s="24" t="n">
        <f aca="false">COUNTIFS('R3 Orders'!$M$2:$M$501,A48,'R3 Orders'!$AG$2:$AG$501,1)</f>
        <v>20</v>
      </c>
    </row>
    <row r="49" customFormat="false" ht="15" hidden="false" customHeight="false" outlineLevel="0" collapsed="false">
      <c r="A49" s="24" t="s">
        <v>960</v>
      </c>
      <c r="B49" s="24" t="s">
        <v>84</v>
      </c>
      <c r="C49" s="24" t="s">
        <v>961</v>
      </c>
      <c r="D49" s="24" t="n">
        <f aca="false">COUNTIF('R3 Orders'!$M$2:$M$501,A49)</f>
        <v>20</v>
      </c>
      <c r="E49" s="24" t="n">
        <f aca="false">COUNTIFS('R3 Orders'!$M$2:$M$501,A49,'R3 Orders'!$P$2:$P$501,"fail")</f>
        <v>20</v>
      </c>
      <c r="F49" s="24" t="n">
        <f aca="false">COUNTIFS('R3 Orders'!$M$2:$M$501,A49,'R3 Orders'!$P$2:$P$501,"warn")</f>
        <v>0</v>
      </c>
      <c r="G49" s="24" t="n">
        <f aca="false">COUNTIFS('R3 Orders'!$M$2:$M$501,A49,'R3 Orders'!$P$2:$P$501,"pass")</f>
        <v>0</v>
      </c>
      <c r="H49" s="24" t="n">
        <f aca="false">E49+F49</f>
        <v>20</v>
      </c>
      <c r="I49" s="25" t="n">
        <f aca="false">IF(D49=0,"",H49/D49)</f>
        <v>1</v>
      </c>
      <c r="J49" s="25" t="n">
        <f aca="false">IF(D49=0,"",((H49/D49)+1.959964^2/(2*D49)-1.959964*SQRT((H49/D49)*(1-(H49/D49))/D49+1.959964^2/(4*D49^2)))/(1+1.959964^2/D49))</f>
        <v>0.83887483981487</v>
      </c>
      <c r="K49" s="25" t="n">
        <f aca="false">IF(D49=0,"",((H49/D49)+1.959964^2/(2*D49)+1.959964*SQRT((H49/D49)*(1-(H49/D49))/D49+1.959964^2/(4*D49^2)))/(1+1.959964^2/D49))</f>
        <v>1</v>
      </c>
      <c r="L49" s="24" t="n">
        <f aca="false">COUNTIFS('R3 Orders'!$M$2:$M$501,A49,'R3 Orders'!$AD$2:$AD$501,1)</f>
        <v>20</v>
      </c>
    </row>
    <row r="50" customFormat="false" ht="15" hidden="false" customHeight="false" outlineLevel="0" collapsed="false">
      <c r="A50" s="24" t="s">
        <v>984</v>
      </c>
      <c r="B50" s="24" t="s">
        <v>84</v>
      </c>
      <c r="C50" s="24" t="s">
        <v>985</v>
      </c>
      <c r="D50" s="24" t="n">
        <f aca="false">COUNTIF('R3 Orders'!$M$2:$M$501,A50)</f>
        <v>20</v>
      </c>
      <c r="E50" s="24" t="n">
        <f aca="false">COUNTIFS('R3 Orders'!$M$2:$M$501,A50,'R3 Orders'!$P$2:$P$501,"fail")</f>
        <v>20</v>
      </c>
      <c r="F50" s="24" t="n">
        <f aca="false">COUNTIFS('R3 Orders'!$M$2:$M$501,A50,'R3 Orders'!$P$2:$P$501,"warn")</f>
        <v>0</v>
      </c>
      <c r="G50" s="24" t="n">
        <f aca="false">COUNTIFS('R3 Orders'!$M$2:$M$501,A50,'R3 Orders'!$P$2:$P$501,"pass")</f>
        <v>0</v>
      </c>
      <c r="H50" s="24" t="n">
        <f aca="false">E50+F50</f>
        <v>20</v>
      </c>
      <c r="I50" s="25" t="n">
        <f aca="false">IF(D50=0,"",H50/D50)</f>
        <v>1</v>
      </c>
      <c r="J50" s="25" t="n">
        <f aca="false">IF(D50=0,"",((H50/D50)+1.959964^2/(2*D50)-1.959964*SQRT((H50/D50)*(1-(H50/D50))/D50+1.959964^2/(4*D50^2)))/(1+1.959964^2/D50))</f>
        <v>0.83887483981487</v>
      </c>
      <c r="K50" s="25" t="n">
        <f aca="false">IF(D50=0,"",((H50/D50)+1.959964^2/(2*D50)+1.959964*SQRT((H50/D50)*(1-(H50/D50))/D50+1.959964^2/(4*D50^2)))/(1+1.959964^2/D50))</f>
        <v>1</v>
      </c>
      <c r="L50" s="24" t="n">
        <f aca="false">COUNTIFS('R3 Orders'!$M$2:$M$501,A50,'R3 Orders'!$AE$2:$AE$501,1)</f>
        <v>20</v>
      </c>
    </row>
    <row r="51" customFormat="false" ht="15" hidden="false" customHeight="false" outlineLevel="0" collapsed="false">
      <c r="A51" s="24" t="s">
        <v>1009</v>
      </c>
      <c r="B51" s="24" t="s">
        <v>58</v>
      </c>
      <c r="C51" s="24"/>
      <c r="D51" s="24" t="n">
        <f aca="false">COUNTIF('R3 Orders'!$M$2:$M$501,A51)</f>
        <v>20</v>
      </c>
      <c r="E51" s="24" t="n">
        <f aca="false">COUNTIFS('R3 Orders'!$M$2:$M$501,A51,'R3 Orders'!$P$2:$P$501,"fail")</f>
        <v>0</v>
      </c>
      <c r="F51" s="24" t="n">
        <f aca="false">COUNTIFS('R3 Orders'!$M$2:$M$501,A51,'R3 Orders'!$P$2:$P$501,"warn")</f>
        <v>3</v>
      </c>
      <c r="G51" s="24" t="n">
        <f aca="false">COUNTIFS('R3 Orders'!$M$2:$M$501,A51,'R3 Orders'!$P$2:$P$501,"pass")</f>
        <v>17</v>
      </c>
      <c r="H51" s="24" t="n">
        <f aca="false">E51+F51</f>
        <v>3</v>
      </c>
      <c r="I51" s="25" t="n">
        <f aca="false">IF(D51=0,"",H51/D51)</f>
        <v>0.15</v>
      </c>
      <c r="J51" s="25" t="n">
        <f aca="false">IF(D51=0,"",((H51/D51)+1.959964^2/(2*D51)-1.959964*SQRT((H51/D51)*(1-(H51/D51))/D51+1.959964^2/(4*D51^2)))/(1+1.959964^2/D51))</f>
        <v>0.0523687454867265</v>
      </c>
      <c r="K51" s="25" t="n">
        <f aca="false">IF(D51=0,"",((H51/D51)+1.959964^2/(2*D51)+1.959964*SQRT((H51/D51)*(1-(H51/D51))/D51+1.959964^2/(4*D51^2)))/(1+1.959964^2/D51))</f>
        <v>0.360418866642864</v>
      </c>
      <c r="L51" s="24"/>
    </row>
    <row r="52" customFormat="false" ht="15" hidden="false" customHeight="false" outlineLevel="0" collapsed="false">
      <c r="A52" s="24" t="s">
        <v>927</v>
      </c>
      <c r="B52" s="24" t="s">
        <v>58</v>
      </c>
      <c r="C52" s="24"/>
      <c r="D52" s="24" t="n">
        <f aca="false">COUNTIF('R3 Orders'!$M$2:$M$501,A52)</f>
        <v>20</v>
      </c>
      <c r="E52" s="24" t="n">
        <f aca="false">COUNTIFS('R3 Orders'!$M$2:$M$501,A52,'R3 Orders'!$P$2:$P$501,"fail")</f>
        <v>0</v>
      </c>
      <c r="F52" s="24" t="n">
        <f aca="false">COUNTIFS('R3 Orders'!$M$2:$M$501,A52,'R3 Orders'!$P$2:$P$501,"warn")</f>
        <v>19</v>
      </c>
      <c r="G52" s="24" t="n">
        <f aca="false">COUNTIFS('R3 Orders'!$M$2:$M$501,A52,'R3 Orders'!$P$2:$P$501,"pass")</f>
        <v>1</v>
      </c>
      <c r="H52" s="24" t="n">
        <f aca="false">E52+F52</f>
        <v>19</v>
      </c>
      <c r="I52" s="25" t="n">
        <f aca="false">IF(D52=0,"",H52/D52)</f>
        <v>0.95</v>
      </c>
      <c r="J52" s="25" t="n">
        <f aca="false">IF(D52=0,"",((H52/D52)+1.959964^2/(2*D52)-1.959964*SQRT((H52/D52)*(1-(H52/D52))/D52+1.959964^2/(4*D52^2)))/(1+1.959964^2/D52))</f>
        <v>0.763868804535719</v>
      </c>
      <c r="K52" s="25" t="n">
        <f aca="false">IF(D52=0,"",((H52/D52)+1.959964^2/(2*D52)+1.959964*SQRT((H52/D52)*(1-(H52/D52))/D52+1.959964^2/(4*D52^2)))/(1+1.959964^2/D52))</f>
        <v>0.991118551297665</v>
      </c>
      <c r="L52" s="24"/>
    </row>
    <row r="53" customFormat="false" ht="15" hidden="false" customHeight="false" outlineLevel="0" collapsed="false">
      <c r="A53" s="24" t="s">
        <v>1042</v>
      </c>
      <c r="B53" s="24" t="s">
        <v>58</v>
      </c>
      <c r="C53" s="24"/>
      <c r="D53" s="24" t="n">
        <f aca="false">COUNTIF('R3 Orders'!$M$2:$M$501,A53)</f>
        <v>20</v>
      </c>
      <c r="E53" s="24" t="n">
        <f aca="false">COUNTIFS('R3 Orders'!$M$2:$M$501,A53,'R3 Orders'!$P$2:$P$501,"fail")</f>
        <v>0</v>
      </c>
      <c r="F53" s="24" t="n">
        <f aca="false">COUNTIFS('R3 Orders'!$M$2:$M$501,A53,'R3 Orders'!$P$2:$P$501,"warn")</f>
        <v>3</v>
      </c>
      <c r="G53" s="24" t="n">
        <f aca="false">COUNTIFS('R3 Orders'!$M$2:$M$501,A53,'R3 Orders'!$P$2:$P$501,"pass")</f>
        <v>17</v>
      </c>
      <c r="H53" s="24" t="n">
        <f aca="false">E53+F53</f>
        <v>3</v>
      </c>
      <c r="I53" s="25" t="n">
        <f aca="false">IF(D53=0,"",H53/D53)</f>
        <v>0.15</v>
      </c>
      <c r="J53" s="25" t="n">
        <f aca="false">IF(D53=0,"",((H53/D53)+1.959964^2/(2*D53)-1.959964*SQRT((H53/D53)*(1-(H53/D53))/D53+1.959964^2/(4*D53^2)))/(1+1.959964^2/D53))</f>
        <v>0.0523687454867265</v>
      </c>
      <c r="K53" s="25" t="n">
        <f aca="false">IF(D53=0,"",((H53/D53)+1.959964^2/(2*D53)+1.959964*SQRT((H53/D53)*(1-(H53/D53))/D53+1.959964^2/(4*D53^2)))/(1+1.959964^2/D53))</f>
        <v>0.360418866642864</v>
      </c>
      <c r="L53" s="24"/>
    </row>
    <row r="54" customFormat="false" ht="15" hidden="false" customHeight="false" outlineLevel="0" collapsed="false">
      <c r="A54" s="26" t="s">
        <v>3455</v>
      </c>
    </row>
    <row r="56" customFormat="false" ht="15" hidden="false" customHeight="false" outlineLevel="0" collapsed="false">
      <c r="A56" s="5" t="s">
        <v>3456</v>
      </c>
    </row>
    <row r="57" customFormat="false" ht="39.55" hidden="false" customHeight="false" outlineLevel="0" collapsed="false">
      <c r="A57" s="7" t="s">
        <v>3457</v>
      </c>
      <c r="B57" s="7" t="s">
        <v>788</v>
      </c>
      <c r="C57" s="7" t="s">
        <v>789</v>
      </c>
      <c r="D57" s="7" t="s">
        <v>791</v>
      </c>
      <c r="E57" s="7" t="s">
        <v>3458</v>
      </c>
      <c r="F57" s="7" t="s">
        <v>3443</v>
      </c>
      <c r="G57" s="7" t="s">
        <v>3444</v>
      </c>
    </row>
    <row r="58" customFormat="false" ht="15" hidden="false" customHeight="false" outlineLevel="0" collapsed="false">
      <c r="A58" s="24" t="s">
        <v>149</v>
      </c>
      <c r="B58" s="24" t="s">
        <v>794</v>
      </c>
      <c r="C58" s="24" t="n">
        <f aca="false">SUM('R3 Orders'!$Z$2:$Z$501)</f>
        <v>40</v>
      </c>
      <c r="D58" s="24" t="n">
        <f aca="false">COUNTIFS('R3 Orders'!$M$2:$M$501,"Clean order (no error)",'R3 Orders'!$Z$2:$Z$501,1)</f>
        <v>0</v>
      </c>
      <c r="E58" s="25" t="n">
        <f aca="false">D58/COUNTIF('R3 Orders'!$M$2:$M$501,"Clean order (no error)")</f>
        <v>0</v>
      </c>
      <c r="F58" s="25" t="n">
        <f aca="false">IF(COUNTIF('R3 Orders'!$M$2:$M$501,"Clean order (no error)")=0,"",((D58/COUNTIF('R3 Orders'!$M$2:$M$501,"Clean order (no error)"))+1.959964^2/(2*COUNTIF('R3 Orders'!$M$2:$M$501,"Clean order (no error)"))-1.959964*SQRT((D58/COUNTIF('R3 Orders'!$M$2:$M$501,"Clean order (no error)"))*(1-(D58/COUNTIF('R3 Orders'!$M$2:$M$501,"Clean order (no error)")))/COUNTIF('R3 Orders'!$M$2:$M$501,"Clean order (no error)")+1.959964^2/(4*COUNTIF('R3 Orders'!$M$2:$M$501,"Clean order (no error)")^2)))/(1+1.959964^2/COUNTIF('R3 Orders'!$M$2:$M$501,"Clean order (no error)")))</f>
        <v>0</v>
      </c>
      <c r="G58" s="25" t="n">
        <f aca="false">IF(COUNTIF('R3 Orders'!$M$2:$M$501,"Clean order (no error)")=0,"",((D58/COUNTIF('R3 Orders'!$M$2:$M$501,"Clean order (no error)"))+1.959964^2/(2*COUNTIF('R3 Orders'!$M$2:$M$501,"Clean order (no error)"))+1.959964*SQRT((D58/COUNTIF('R3 Orders'!$M$2:$M$501,"Clean order (no error)"))*(1-(D58/COUNTIF('R3 Orders'!$M$2:$M$501,"Clean order (no error)")))/COUNTIF('R3 Orders'!$M$2:$M$501,"Clean order (no error)")+1.959964^2/(4*COUNTIF('R3 Orders'!$M$2:$M$501,"Clean order (no error)")^2)))/(1+1.959964^2/COUNTIF('R3 Orders'!$M$2:$M$501,"Clean order (no error)")))</f>
        <v>0.0188453266689629</v>
      </c>
    </row>
    <row r="59" customFormat="false" ht="15" hidden="false" customHeight="false" outlineLevel="0" collapsed="false">
      <c r="A59" s="24" t="s">
        <v>3459</v>
      </c>
      <c r="B59" s="24" t="s">
        <v>794</v>
      </c>
      <c r="C59" s="24" t="n">
        <f aca="false">SUM('R3 Orders'!$AA$2:$AA$501)</f>
        <v>40</v>
      </c>
      <c r="D59" s="24" t="n">
        <f aca="false">COUNTIFS('R3 Orders'!$M$2:$M$501,"Clean order (no error)",'R3 Orders'!$AA$2:$AA$501,1)</f>
        <v>0</v>
      </c>
      <c r="E59" s="25" t="n">
        <f aca="false">D59/COUNTIF('R3 Orders'!$M$2:$M$501,"Clean order (no error)")</f>
        <v>0</v>
      </c>
      <c r="F59" s="25" t="n">
        <f aca="false">IF(COUNTIF('R3 Orders'!$M$2:$M$501,"Clean order (no error)")=0,"",((D59/COUNTIF('R3 Orders'!$M$2:$M$501,"Clean order (no error)"))+1.959964^2/(2*COUNTIF('R3 Orders'!$M$2:$M$501,"Clean order (no error)"))-1.959964*SQRT((D59/COUNTIF('R3 Orders'!$M$2:$M$501,"Clean order (no error)"))*(1-(D59/COUNTIF('R3 Orders'!$M$2:$M$501,"Clean order (no error)")))/COUNTIF('R3 Orders'!$M$2:$M$501,"Clean order (no error)")+1.959964^2/(4*COUNTIF('R3 Orders'!$M$2:$M$501,"Clean order (no error)")^2)))/(1+1.959964^2/COUNTIF('R3 Orders'!$M$2:$M$501,"Clean order (no error)")))</f>
        <v>0</v>
      </c>
      <c r="G59" s="25" t="n">
        <f aca="false">IF(COUNTIF('R3 Orders'!$M$2:$M$501,"Clean order (no error)")=0,"",((D59/COUNTIF('R3 Orders'!$M$2:$M$501,"Clean order (no error)"))+1.959964^2/(2*COUNTIF('R3 Orders'!$M$2:$M$501,"Clean order (no error)"))+1.959964*SQRT((D59/COUNTIF('R3 Orders'!$M$2:$M$501,"Clean order (no error)"))*(1-(D59/COUNTIF('R3 Orders'!$M$2:$M$501,"Clean order (no error)")))/COUNTIF('R3 Orders'!$M$2:$M$501,"Clean order (no error)")+1.959964^2/(4*COUNTIF('R3 Orders'!$M$2:$M$501,"Clean order (no error)")^2)))/(1+1.959964^2/COUNTIF('R3 Orders'!$M$2:$M$501,"Clean order (no error)")))</f>
        <v>0.0188453266689629</v>
      </c>
    </row>
    <row r="60" customFormat="false" ht="15" hidden="false" customHeight="false" outlineLevel="0" collapsed="false">
      <c r="A60" s="24" t="s">
        <v>87</v>
      </c>
      <c r="B60" s="24" t="s">
        <v>794</v>
      </c>
      <c r="C60" s="24" t="n">
        <f aca="false">SUM('R3 Orders'!$AB$2:$AB$501)</f>
        <v>60</v>
      </c>
      <c r="D60" s="24" t="n">
        <f aca="false">COUNTIFS('R3 Orders'!$M$2:$M$501,"Clean order (no error)",'R3 Orders'!$AB$2:$AB$501,1)</f>
        <v>0</v>
      </c>
      <c r="E60" s="25" t="n">
        <f aca="false">D60/COUNTIF('R3 Orders'!$M$2:$M$501,"Clean order (no error)")</f>
        <v>0</v>
      </c>
      <c r="F60" s="25" t="n">
        <f aca="false">IF(COUNTIF('R3 Orders'!$M$2:$M$501,"Clean order (no error)")=0,"",((D60/COUNTIF('R3 Orders'!$M$2:$M$501,"Clean order (no error)"))+1.959964^2/(2*COUNTIF('R3 Orders'!$M$2:$M$501,"Clean order (no error)"))-1.959964*SQRT((D60/COUNTIF('R3 Orders'!$M$2:$M$501,"Clean order (no error)"))*(1-(D60/COUNTIF('R3 Orders'!$M$2:$M$501,"Clean order (no error)")))/COUNTIF('R3 Orders'!$M$2:$M$501,"Clean order (no error)")+1.959964^2/(4*COUNTIF('R3 Orders'!$M$2:$M$501,"Clean order (no error)")^2)))/(1+1.959964^2/COUNTIF('R3 Orders'!$M$2:$M$501,"Clean order (no error)")))</f>
        <v>0</v>
      </c>
      <c r="G60" s="25" t="n">
        <f aca="false">IF(COUNTIF('R3 Orders'!$M$2:$M$501,"Clean order (no error)")=0,"",((D60/COUNTIF('R3 Orders'!$M$2:$M$501,"Clean order (no error)"))+1.959964^2/(2*COUNTIF('R3 Orders'!$M$2:$M$501,"Clean order (no error)"))+1.959964*SQRT((D60/COUNTIF('R3 Orders'!$M$2:$M$501,"Clean order (no error)"))*(1-(D60/COUNTIF('R3 Orders'!$M$2:$M$501,"Clean order (no error)")))/COUNTIF('R3 Orders'!$M$2:$M$501,"Clean order (no error)")+1.959964^2/(4*COUNTIF('R3 Orders'!$M$2:$M$501,"Clean order (no error)")^2)))/(1+1.959964^2/COUNTIF('R3 Orders'!$M$2:$M$501,"Clean order (no error)")))</f>
        <v>0.0188453266689629</v>
      </c>
    </row>
    <row r="61" customFormat="false" ht="15" hidden="false" customHeight="false" outlineLevel="0" collapsed="false">
      <c r="A61" s="24" t="s">
        <v>209</v>
      </c>
      <c r="B61" s="24" t="s">
        <v>794</v>
      </c>
      <c r="C61" s="24" t="n">
        <f aca="false">SUM('R3 Orders'!$AC$2:$AC$501)</f>
        <v>60</v>
      </c>
      <c r="D61" s="24" t="n">
        <f aca="false">COUNTIFS('R3 Orders'!$M$2:$M$501,"Clean order (no error)",'R3 Orders'!$AC$2:$AC$501,1)</f>
        <v>0</v>
      </c>
      <c r="E61" s="25" t="n">
        <f aca="false">D61/COUNTIF('R3 Orders'!$M$2:$M$501,"Clean order (no error)")</f>
        <v>0</v>
      </c>
      <c r="F61" s="25" t="n">
        <f aca="false">IF(COUNTIF('R3 Orders'!$M$2:$M$501,"Clean order (no error)")=0,"",((D61/COUNTIF('R3 Orders'!$M$2:$M$501,"Clean order (no error)"))+1.959964^2/(2*COUNTIF('R3 Orders'!$M$2:$M$501,"Clean order (no error)"))-1.959964*SQRT((D61/COUNTIF('R3 Orders'!$M$2:$M$501,"Clean order (no error)"))*(1-(D61/COUNTIF('R3 Orders'!$M$2:$M$501,"Clean order (no error)")))/COUNTIF('R3 Orders'!$M$2:$M$501,"Clean order (no error)")+1.959964^2/(4*COUNTIF('R3 Orders'!$M$2:$M$501,"Clean order (no error)")^2)))/(1+1.959964^2/COUNTIF('R3 Orders'!$M$2:$M$501,"Clean order (no error)")))</f>
        <v>0</v>
      </c>
      <c r="G61" s="25" t="n">
        <f aca="false">IF(COUNTIF('R3 Orders'!$M$2:$M$501,"Clean order (no error)")=0,"",((D61/COUNTIF('R3 Orders'!$M$2:$M$501,"Clean order (no error)"))+1.959964^2/(2*COUNTIF('R3 Orders'!$M$2:$M$501,"Clean order (no error)"))+1.959964*SQRT((D61/COUNTIF('R3 Orders'!$M$2:$M$501,"Clean order (no error)"))*(1-(D61/COUNTIF('R3 Orders'!$M$2:$M$501,"Clean order (no error)")))/COUNTIF('R3 Orders'!$M$2:$M$501,"Clean order (no error)")+1.959964^2/(4*COUNTIF('R3 Orders'!$M$2:$M$501,"Clean order (no error)")^2)))/(1+1.959964^2/COUNTIF('R3 Orders'!$M$2:$M$501,"Clean order (no error)")))</f>
        <v>0.0188453266689629</v>
      </c>
    </row>
    <row r="62" customFormat="false" ht="15" hidden="false" customHeight="false" outlineLevel="0" collapsed="false">
      <c r="A62" s="24" t="s">
        <v>3460</v>
      </c>
      <c r="B62" s="24" t="s">
        <v>794</v>
      </c>
      <c r="C62" s="24" t="n">
        <f aca="false">SUM('R3 Orders'!$AD$2:$AD$501)</f>
        <v>20</v>
      </c>
      <c r="D62" s="24" t="n">
        <f aca="false">COUNTIFS('R3 Orders'!$M$2:$M$501,"Clean order (no error)",'R3 Orders'!$AD$2:$AD$501,1)</f>
        <v>0</v>
      </c>
      <c r="E62" s="25" t="n">
        <f aca="false">D62/COUNTIF('R3 Orders'!$M$2:$M$501,"Clean order (no error)")</f>
        <v>0</v>
      </c>
      <c r="F62" s="25" t="n">
        <f aca="false">IF(COUNTIF('R3 Orders'!$M$2:$M$501,"Clean order (no error)")=0,"",((D62/COUNTIF('R3 Orders'!$M$2:$M$501,"Clean order (no error)"))+1.959964^2/(2*COUNTIF('R3 Orders'!$M$2:$M$501,"Clean order (no error)"))-1.959964*SQRT((D62/COUNTIF('R3 Orders'!$M$2:$M$501,"Clean order (no error)"))*(1-(D62/COUNTIF('R3 Orders'!$M$2:$M$501,"Clean order (no error)")))/COUNTIF('R3 Orders'!$M$2:$M$501,"Clean order (no error)")+1.959964^2/(4*COUNTIF('R3 Orders'!$M$2:$M$501,"Clean order (no error)")^2)))/(1+1.959964^2/COUNTIF('R3 Orders'!$M$2:$M$501,"Clean order (no error)")))</f>
        <v>0</v>
      </c>
      <c r="G62" s="25" t="n">
        <f aca="false">IF(COUNTIF('R3 Orders'!$M$2:$M$501,"Clean order (no error)")=0,"",((D62/COUNTIF('R3 Orders'!$M$2:$M$501,"Clean order (no error)"))+1.959964^2/(2*COUNTIF('R3 Orders'!$M$2:$M$501,"Clean order (no error)"))+1.959964*SQRT((D62/COUNTIF('R3 Orders'!$M$2:$M$501,"Clean order (no error)"))*(1-(D62/COUNTIF('R3 Orders'!$M$2:$M$501,"Clean order (no error)")))/COUNTIF('R3 Orders'!$M$2:$M$501,"Clean order (no error)")+1.959964^2/(4*COUNTIF('R3 Orders'!$M$2:$M$501,"Clean order (no error)")^2)))/(1+1.959964^2/COUNTIF('R3 Orders'!$M$2:$M$501,"Clean order (no error)")))</f>
        <v>0.0188453266689629</v>
      </c>
    </row>
    <row r="63" customFormat="false" ht="15" hidden="false" customHeight="false" outlineLevel="0" collapsed="false">
      <c r="A63" s="24" t="s">
        <v>3461</v>
      </c>
      <c r="B63" s="24" t="s">
        <v>794</v>
      </c>
      <c r="C63" s="24" t="n">
        <f aca="false">SUM('R3 Orders'!$AE$2:$AE$501)</f>
        <v>20</v>
      </c>
      <c r="D63" s="24" t="n">
        <f aca="false">COUNTIFS('R3 Orders'!$M$2:$M$501,"Clean order (no error)",'R3 Orders'!$AE$2:$AE$501,1)</f>
        <v>0</v>
      </c>
      <c r="E63" s="25" t="n">
        <f aca="false">D63/COUNTIF('R3 Orders'!$M$2:$M$501,"Clean order (no error)")</f>
        <v>0</v>
      </c>
      <c r="F63" s="25" t="n">
        <f aca="false">IF(COUNTIF('R3 Orders'!$M$2:$M$501,"Clean order (no error)")=0,"",((D63/COUNTIF('R3 Orders'!$M$2:$M$501,"Clean order (no error)"))+1.959964^2/(2*COUNTIF('R3 Orders'!$M$2:$M$501,"Clean order (no error)"))-1.959964*SQRT((D63/COUNTIF('R3 Orders'!$M$2:$M$501,"Clean order (no error)"))*(1-(D63/COUNTIF('R3 Orders'!$M$2:$M$501,"Clean order (no error)")))/COUNTIF('R3 Orders'!$M$2:$M$501,"Clean order (no error)")+1.959964^2/(4*COUNTIF('R3 Orders'!$M$2:$M$501,"Clean order (no error)")^2)))/(1+1.959964^2/COUNTIF('R3 Orders'!$M$2:$M$501,"Clean order (no error)")))</f>
        <v>0</v>
      </c>
      <c r="G63" s="25" t="n">
        <f aca="false">IF(COUNTIF('R3 Orders'!$M$2:$M$501,"Clean order (no error)")=0,"",((D63/COUNTIF('R3 Orders'!$M$2:$M$501,"Clean order (no error)"))+1.959964^2/(2*COUNTIF('R3 Orders'!$M$2:$M$501,"Clean order (no error)"))+1.959964*SQRT((D63/COUNTIF('R3 Orders'!$M$2:$M$501,"Clean order (no error)"))*(1-(D63/COUNTIF('R3 Orders'!$M$2:$M$501,"Clean order (no error)")))/COUNTIF('R3 Orders'!$M$2:$M$501,"Clean order (no error)")+1.959964^2/(4*COUNTIF('R3 Orders'!$M$2:$M$501,"Clean order (no error)")^2)))/(1+1.959964^2/COUNTIF('R3 Orders'!$M$2:$M$501,"Clean order (no error)")))</f>
        <v>0.0188453266689629</v>
      </c>
    </row>
    <row r="64" customFormat="false" ht="15" hidden="false" customHeight="false" outlineLevel="0" collapsed="false">
      <c r="A64" s="24" t="s">
        <v>3462</v>
      </c>
      <c r="B64" s="24" t="s">
        <v>794</v>
      </c>
      <c r="C64" s="24" t="n">
        <f aca="false">SUM('R3 Orders'!$AF$2:$AF$501)</f>
        <v>20</v>
      </c>
      <c r="D64" s="24" t="n">
        <f aca="false">COUNTIFS('R3 Orders'!$M$2:$M$501,"Clean order (no error)",'R3 Orders'!$AF$2:$AF$501,1)</f>
        <v>0</v>
      </c>
      <c r="E64" s="25" t="n">
        <f aca="false">D64/COUNTIF('R3 Orders'!$M$2:$M$501,"Clean order (no error)")</f>
        <v>0</v>
      </c>
      <c r="F64" s="25" t="n">
        <f aca="false">IF(COUNTIF('R3 Orders'!$M$2:$M$501,"Clean order (no error)")=0,"",((D64/COUNTIF('R3 Orders'!$M$2:$M$501,"Clean order (no error)"))+1.959964^2/(2*COUNTIF('R3 Orders'!$M$2:$M$501,"Clean order (no error)"))-1.959964*SQRT((D64/COUNTIF('R3 Orders'!$M$2:$M$501,"Clean order (no error)"))*(1-(D64/COUNTIF('R3 Orders'!$M$2:$M$501,"Clean order (no error)")))/COUNTIF('R3 Orders'!$M$2:$M$501,"Clean order (no error)")+1.959964^2/(4*COUNTIF('R3 Orders'!$M$2:$M$501,"Clean order (no error)")^2)))/(1+1.959964^2/COUNTIF('R3 Orders'!$M$2:$M$501,"Clean order (no error)")))</f>
        <v>0</v>
      </c>
      <c r="G64" s="25" t="n">
        <f aca="false">IF(COUNTIF('R3 Orders'!$M$2:$M$501,"Clean order (no error)")=0,"",((D64/COUNTIF('R3 Orders'!$M$2:$M$501,"Clean order (no error)"))+1.959964^2/(2*COUNTIF('R3 Orders'!$M$2:$M$501,"Clean order (no error)"))+1.959964*SQRT((D64/COUNTIF('R3 Orders'!$M$2:$M$501,"Clean order (no error)"))*(1-(D64/COUNTIF('R3 Orders'!$M$2:$M$501,"Clean order (no error)")))/COUNTIF('R3 Orders'!$M$2:$M$501,"Clean order (no error)")+1.959964^2/(4*COUNTIF('R3 Orders'!$M$2:$M$501,"Clean order (no error)")^2)))/(1+1.959964^2/COUNTIF('R3 Orders'!$M$2:$M$501,"Clean order (no error)")))</f>
        <v>0.0188453266689629</v>
      </c>
    </row>
    <row r="65" customFormat="false" ht="15" hidden="false" customHeight="false" outlineLevel="0" collapsed="false">
      <c r="A65" s="24" t="s">
        <v>97</v>
      </c>
      <c r="B65" s="24" t="s">
        <v>793</v>
      </c>
      <c r="C65" s="24" t="n">
        <f aca="false">SUM('R3 Orders'!$AG$2:$AG$501)</f>
        <v>22</v>
      </c>
      <c r="D65" s="24" t="n">
        <f aca="false">COUNTIFS('R3 Orders'!$M$2:$M$501,"Clean order (no error)",'R3 Orders'!$AG$2:$AG$501,1)</f>
        <v>1</v>
      </c>
      <c r="E65" s="25" t="n">
        <f aca="false">D65/COUNTIF('R3 Orders'!$M$2:$M$501,"Clean order (no error)")</f>
        <v>0.005</v>
      </c>
      <c r="F65" s="25" t="n">
        <f aca="false">IF(COUNTIF('R3 Orders'!$M$2:$M$501,"Clean order (no error)")=0,"",((D65/COUNTIF('R3 Orders'!$M$2:$M$501,"Clean order (no error)"))+1.959964^2/(2*COUNTIF('R3 Orders'!$M$2:$M$501,"Clean order (no error)"))-1.959964*SQRT((D65/COUNTIF('R3 Orders'!$M$2:$M$501,"Clean order (no error)"))*(1-(D65/COUNTIF('R3 Orders'!$M$2:$M$501,"Clean order (no error)")))/COUNTIF('R3 Orders'!$M$2:$M$501,"Clean order (no error)")+1.959964^2/(4*COUNTIF('R3 Orders'!$M$2:$M$501,"Clean order (no error)")^2)))/(1+1.959964^2/COUNTIF('R3 Orders'!$M$2:$M$501,"Clean order (no error)")))</f>
        <v>0.000883168705845376</v>
      </c>
      <c r="G65" s="25" t="n">
        <f aca="false">IF(COUNTIF('R3 Orders'!$M$2:$M$501,"Clean order (no error)")=0,"",((D65/COUNTIF('R3 Orders'!$M$2:$M$501,"Clean order (no error)"))+1.959964^2/(2*COUNTIF('R3 Orders'!$M$2:$M$501,"Clean order (no error)"))+1.959964*SQRT((D65/COUNTIF('R3 Orders'!$M$2:$M$501,"Clean order (no error)"))*(1-(D65/COUNTIF('R3 Orders'!$M$2:$M$501,"Clean order (no error)")))/COUNTIF('R3 Orders'!$M$2:$M$501,"Clean order (no error)")+1.959964^2/(4*COUNTIF('R3 Orders'!$M$2:$M$501,"Clean order (no error)")^2)))/(1+1.959964^2/COUNTIF('R3 Orders'!$M$2:$M$501,"Clean order (no error)")))</f>
        <v>0.0277737046964279</v>
      </c>
    </row>
    <row r="66" customFormat="false" ht="15" hidden="false" customHeight="false" outlineLevel="0" collapsed="false">
      <c r="A66" s="24" t="s">
        <v>61</v>
      </c>
      <c r="B66" s="24" t="s">
        <v>793</v>
      </c>
      <c r="C66" s="24" t="n">
        <f aca="false">SUM('R3 Orders'!$AH$2:$AH$501)</f>
        <v>100</v>
      </c>
      <c r="D66" s="24" t="n">
        <f aca="false">COUNTIFS('R3 Orders'!$M$2:$M$501,"Clean order (no error)",'R3 Orders'!$AH$2:$AH$501,1)</f>
        <v>28</v>
      </c>
      <c r="E66" s="25" t="n">
        <f aca="false">D66/COUNTIF('R3 Orders'!$M$2:$M$501,"Clean order (no error)")</f>
        <v>0.14</v>
      </c>
      <c r="F66" s="25" t="n">
        <f aca="false">IF(COUNTIF('R3 Orders'!$M$2:$M$501,"Clean order (no error)")=0,"",((D66/COUNTIF('R3 Orders'!$M$2:$M$501,"Clean order (no error)"))+1.959964^2/(2*COUNTIF('R3 Orders'!$M$2:$M$501,"Clean order (no error)"))-1.959964*SQRT((D66/COUNTIF('R3 Orders'!$M$2:$M$501,"Clean order (no error)"))*(1-(D66/COUNTIF('R3 Orders'!$M$2:$M$501,"Clean order (no error)")))/COUNTIF('R3 Orders'!$M$2:$M$501,"Clean order (no error)")+1.959964^2/(4*COUNTIF('R3 Orders'!$M$2:$M$501,"Clean order (no error)")^2)))/(1+1.959964^2/COUNTIF('R3 Orders'!$M$2:$M$501,"Clean order (no error)")))</f>
        <v>0.0986698260597948</v>
      </c>
      <c r="G66" s="25" t="n">
        <f aca="false">IF(COUNTIF('R3 Orders'!$M$2:$M$501,"Clean order (no error)")=0,"",((D66/COUNTIF('R3 Orders'!$M$2:$M$501,"Clean order (no error)"))+1.959964^2/(2*COUNTIF('R3 Orders'!$M$2:$M$501,"Clean order (no error)"))+1.959964*SQRT((D66/COUNTIF('R3 Orders'!$M$2:$M$501,"Clean order (no error)"))*(1-(D66/COUNTIF('R3 Orders'!$M$2:$M$501,"Clean order (no error)")))/COUNTIF('R3 Orders'!$M$2:$M$501,"Clean order (no error)")+1.959964^2/(4*COUNTIF('R3 Orders'!$M$2:$M$501,"Clean order (no error)")^2)))/(1+1.959964^2/COUNTIF('R3 Orders'!$M$2:$M$501,"Clean order (no error)")))</f>
        <v>0.194898809141859</v>
      </c>
    </row>
    <row r="68" customFormat="false" ht="15" hidden="false" customHeight="false" outlineLevel="0" collapsed="false">
      <c r="A68" s="5" t="s">
        <v>3463</v>
      </c>
    </row>
    <row r="69" customFormat="false" ht="15" hidden="false" customHeight="false" outlineLevel="0" collapsed="false">
      <c r="A69" s="7" t="s">
        <v>796</v>
      </c>
      <c r="B69" s="7" t="s">
        <v>3442</v>
      </c>
    </row>
    <row r="70" customFormat="false" ht="15" hidden="false" customHeight="false" outlineLevel="0" collapsed="false">
      <c r="A70" s="24" t="s">
        <v>797</v>
      </c>
      <c r="B70" s="27" t="n">
        <f aca="false">COUNT('R3 Orders'!$U$2:$U$501)</f>
        <v>500</v>
      </c>
    </row>
    <row r="71" customFormat="false" ht="15" hidden="false" customHeight="false" outlineLevel="0" collapsed="false">
      <c r="A71" s="24" t="s">
        <v>798</v>
      </c>
      <c r="B71" s="28" t="n">
        <f aca="false">AVERAGE('R3 Orders'!$U$2:$U$501)</f>
        <v>2.325302</v>
      </c>
    </row>
    <row r="72" customFormat="false" ht="15" hidden="false" customHeight="false" outlineLevel="0" collapsed="false">
      <c r="A72" s="24" t="s">
        <v>3464</v>
      </c>
      <c r="B72" s="28" t="n">
        <f aca="false">_xlfn.STDEV.S('R3 Orders'!$U$2:$U$501)</f>
        <v>0.34922600189103</v>
      </c>
    </row>
    <row r="73" customFormat="false" ht="15" hidden="false" customHeight="false" outlineLevel="0" collapsed="false">
      <c r="A73" s="24" t="s">
        <v>799</v>
      </c>
      <c r="B73" s="28" t="n">
        <f aca="false">MEDIAN('R3 Orders'!$U$2:$U$501)</f>
        <v>2.339</v>
      </c>
    </row>
    <row r="74" customFormat="false" ht="15" hidden="false" customHeight="false" outlineLevel="0" collapsed="false">
      <c r="A74" s="24" t="s">
        <v>3465</v>
      </c>
      <c r="B74" s="28" t="n">
        <f aca="false">_xlfn.PERCENTILE.INC('R3 Orders'!$U$2:$U$501,0.95)</f>
        <v>2.8362</v>
      </c>
    </row>
    <row r="75" customFormat="false" ht="15" hidden="false" customHeight="false" outlineLevel="0" collapsed="false">
      <c r="A75" s="24" t="s">
        <v>801</v>
      </c>
      <c r="B75" s="28" t="n">
        <f aca="false">MIN('R3 Orders'!$U$2:$U$501)</f>
        <v>1.14</v>
      </c>
    </row>
    <row r="76" customFormat="false" ht="15" hidden="false" customHeight="false" outlineLevel="0" collapsed="false">
      <c r="A76" s="24" t="s">
        <v>802</v>
      </c>
      <c r="B76" s="28" t="n">
        <f aca="false">MAX('R3 Orders'!$U$2:$U$501)</f>
        <v>3.427</v>
      </c>
    </row>
    <row r="77" customFormat="false" ht="15" hidden="false" customHeight="false" outlineLevel="0" collapsed="false">
      <c r="A77" s="5" t="s">
        <v>3466</v>
      </c>
      <c r="B77" s="28" t="n">
        <f aca="false">AVERAGE('R3 Orders'!$U$2:$U$101)</f>
        <v>2.08317</v>
      </c>
      <c r="C77" s="28" t="n">
        <f aca="false">AVERAGE('R3 Orders'!$U$102:$U$201)</f>
        <v>2.20224</v>
      </c>
      <c r="D77" s="28" t="n">
        <f aca="false">AVERAGE('R3 Orders'!$U$202:$U$301)</f>
        <v>2.34558</v>
      </c>
      <c r="E77" s="28" t="n">
        <f aca="false">AVERAGE('R3 Orders'!$U$302:$U$401)</f>
        <v>2.45336</v>
      </c>
      <c r="F77" s="28" t="n">
        <f aca="false">AVERAGE('R3 Orders'!$U$402:$U$501)</f>
        <v>2.54216</v>
      </c>
    </row>
    <row r="79" customFormat="false" ht="15" hidden="false" customHeight="false" outlineLevel="0" collapsed="false">
      <c r="A79" s="5" t="s">
        <v>3467</v>
      </c>
    </row>
    <row r="80" customFormat="false" ht="15" hidden="false" customHeight="false" outlineLevel="0" collapsed="false">
      <c r="A80" s="24" t="s">
        <v>3468</v>
      </c>
      <c r="B80" s="24" t="n">
        <f aca="false">COUNTIF('R3 Orders'!$R$2:$R$501,"pending_approval")</f>
        <v>259</v>
      </c>
    </row>
    <row r="81" customFormat="false" ht="15" hidden="false" customHeight="false" outlineLevel="0" collapsed="false">
      <c r="A81" s="24" t="s">
        <v>3469</v>
      </c>
      <c r="B81" s="24" t="n">
        <f aca="false">COUNTIFS('R3 Orders'!$R$2:$R$501,"pending_approval",'R3 Orders'!$E$2:$E$501,"&lt;&gt;(none)",'R3 Orders'!$F$2:$F$501,"&gt;0",'R3 Orders'!$AI$2:$AI$501,"Yes")</f>
        <v>259</v>
      </c>
    </row>
    <row r="82" customFormat="false" ht="15" hidden="false" customHeight="false" outlineLevel="0" collapsed="false">
      <c r="A82" s="24" t="s">
        <v>3470</v>
      </c>
      <c r="B82" s="25" t="n">
        <f aca="false">B81/B80</f>
        <v>1</v>
      </c>
      <c r="C82" s="25" t="n">
        <f aca="false">IF(B80=0,"",((B81/B80)+1.959964^2/(2*B80)-1.959964*SQRT((B81/B80)*(1-(B81/B80))/B80+1.959964^2/(4*B80^2)))/(1+1.959964^2/B80))</f>
        <v>0.98538488221133</v>
      </c>
      <c r="D82" s="25" t="n">
        <f aca="false">IF(B80=0,"",((B81/B80)+1.959964^2/(2*B80)+1.959964*SQRT((B81/B80)*(1-(B81/B80))/B80+1.959964^2/(4*B80^2)))/(1+1.959964^2/B80))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4" min="3" style="0" width="14"/>
    <col collapsed="false" customWidth="true" hidden="false" outlineLevel="0" max="6" min="5" style="0" width="12"/>
  </cols>
  <sheetData>
    <row r="1" customFormat="false" ht="15" hidden="false" customHeight="false" outlineLevel="0" collapsed="false">
      <c r="A1" s="5" t="s">
        <v>8466</v>
      </c>
    </row>
    <row r="3" customFormat="false" ht="26.85" hidden="false" customHeight="false" outlineLevel="0" collapsed="false">
      <c r="A3" s="7" t="s">
        <v>3441</v>
      </c>
      <c r="B3" s="7" t="s">
        <v>8467</v>
      </c>
      <c r="C3" s="7" t="s">
        <v>8468</v>
      </c>
      <c r="D3" s="7" t="s">
        <v>8469</v>
      </c>
      <c r="E3" s="7" t="s">
        <v>801</v>
      </c>
      <c r="F3" s="7" t="s">
        <v>802</v>
      </c>
    </row>
    <row r="4" customFormat="false" ht="15" hidden="false" customHeight="false" outlineLevel="0" collapsed="false">
      <c r="A4" s="24" t="s">
        <v>8470</v>
      </c>
      <c r="B4" s="25" t="n">
        <f aca="false">'R1 Summary'!B16</f>
        <v>0.872</v>
      </c>
      <c r="C4" s="25" t="n">
        <f aca="false">'R2 Summary'!B16</f>
        <v>0.868</v>
      </c>
      <c r="D4" s="25" t="n">
        <f aca="false">'R3 Summary'!B16</f>
        <v>0.872</v>
      </c>
      <c r="E4" s="25" t="n">
        <f aca="false">MIN(B4:D4)</f>
        <v>0.868</v>
      </c>
      <c r="F4" s="25" t="n">
        <f aca="false">MAX(B4:D4)</f>
        <v>0.872</v>
      </c>
    </row>
    <row r="5" customFormat="false" ht="15" hidden="false" customHeight="false" outlineLevel="0" collapsed="false">
      <c r="A5" s="24" t="s">
        <v>8471</v>
      </c>
      <c r="B5" s="25" t="n">
        <f aca="false">'R1 Summary'!B17</f>
        <v>0.904109589041096</v>
      </c>
      <c r="C5" s="25" t="n">
        <f aca="false">'R2 Summary'!B17</f>
        <v>0.89527027027027</v>
      </c>
      <c r="D5" s="25" t="n">
        <f aca="false">'R3 Summary'!B17</f>
        <v>0.901360544217687</v>
      </c>
      <c r="E5" s="25" t="n">
        <f aca="false">MIN(B5:D5)</f>
        <v>0.89527027027027</v>
      </c>
      <c r="F5" s="25" t="n">
        <f aca="false">MAX(B5:D5)</f>
        <v>0.904109589041096</v>
      </c>
    </row>
    <row r="6" customFormat="false" ht="15" hidden="false" customHeight="false" outlineLevel="0" collapsed="false">
      <c r="A6" s="24" t="s">
        <v>8472</v>
      </c>
      <c r="B6" s="25" t="n">
        <f aca="false">'R1 Summary'!B18</f>
        <v>0.88</v>
      </c>
      <c r="C6" s="25" t="n">
        <f aca="false">'R2 Summary'!B18</f>
        <v>0.883333333333333</v>
      </c>
      <c r="D6" s="25" t="n">
        <f aca="false">'R3 Summary'!B18</f>
        <v>0.883333333333333</v>
      </c>
      <c r="E6" s="25" t="n">
        <f aca="false">MIN(B6:D6)</f>
        <v>0.88</v>
      </c>
      <c r="F6" s="25" t="n">
        <f aca="false">MAX(B6:D6)</f>
        <v>0.883333333333333</v>
      </c>
    </row>
    <row r="7" customFormat="false" ht="15" hidden="false" customHeight="false" outlineLevel="0" collapsed="false">
      <c r="A7" s="24" t="s">
        <v>782</v>
      </c>
      <c r="B7" s="25" t="n">
        <f aca="false">'R1 Summary'!B19</f>
        <v>0.86</v>
      </c>
      <c r="C7" s="25" t="n">
        <f aca="false">'R2 Summary'!B19</f>
        <v>0.845</v>
      </c>
      <c r="D7" s="25" t="n">
        <f aca="false">'R3 Summary'!B19</f>
        <v>0.855</v>
      </c>
      <c r="E7" s="25" t="n">
        <f aca="false">MIN(B7:D7)</f>
        <v>0.845</v>
      </c>
      <c r="F7" s="25" t="n">
        <f aca="false">MAX(B7:D7)</f>
        <v>0.86</v>
      </c>
    </row>
    <row r="8" customFormat="false" ht="15" hidden="false" customHeight="false" outlineLevel="0" collapsed="false">
      <c r="A8" s="24" t="s">
        <v>3449</v>
      </c>
      <c r="B8" s="25" t="n">
        <f aca="false">'R1 Summary'!B20</f>
        <v>0.14</v>
      </c>
      <c r="C8" s="25" t="n">
        <f aca="false">'R2 Summary'!B20</f>
        <v>0.155</v>
      </c>
      <c r="D8" s="25" t="n">
        <f aca="false">'R3 Summary'!B20</f>
        <v>0.145</v>
      </c>
      <c r="E8" s="25" t="n">
        <f aca="false">MIN(B8:D8)</f>
        <v>0.14</v>
      </c>
      <c r="F8" s="25" t="n">
        <f aca="false">MAX(B8:D8)</f>
        <v>0.155</v>
      </c>
    </row>
    <row r="9" customFormat="false" ht="15" hidden="false" customHeight="false" outlineLevel="0" collapsed="false">
      <c r="A9" s="24" t="s">
        <v>8473</v>
      </c>
      <c r="B9" s="25" t="n">
        <f aca="false">'R1 Summary'!B21</f>
        <v>0.891891891891892</v>
      </c>
      <c r="C9" s="25" t="n">
        <f aca="false">'R2 Summary'!B21</f>
        <v>0.889261744966443</v>
      </c>
      <c r="D9" s="25" t="n">
        <f aca="false">'R3 Summary'!B21</f>
        <v>0.892255892255892</v>
      </c>
      <c r="E9" s="25" t="n">
        <f aca="false">MIN(B9:D9)</f>
        <v>0.889261744966443</v>
      </c>
      <c r="F9" s="25" t="n">
        <f aca="false">MAX(B9:D9)</f>
        <v>0.892255892255892</v>
      </c>
    </row>
    <row r="10" customFormat="false" ht="15" hidden="false" customHeight="false" outlineLevel="0" collapsed="false">
      <c r="A10" s="24" t="s">
        <v>8474</v>
      </c>
      <c r="B10" s="25" t="n">
        <f aca="false">'R1 Summary'!B29</f>
        <v>0.936363636363636</v>
      </c>
      <c r="C10" s="25" t="n">
        <f aca="false">'R2 Summary'!B29</f>
        <v>0.929545454545455</v>
      </c>
      <c r="D10" s="25" t="n">
        <f aca="false">'R3 Summary'!B29</f>
        <v>0.934090909090909</v>
      </c>
      <c r="E10" s="25" t="n">
        <f aca="false">MIN(B10:D10)</f>
        <v>0.929545454545455</v>
      </c>
      <c r="F10" s="25" t="n">
        <f aca="false">MAX(B10:D10)</f>
        <v>0.936363636363636</v>
      </c>
    </row>
    <row r="11" customFormat="false" ht="15" hidden="false" customHeight="false" outlineLevel="0" collapsed="false">
      <c r="A11" s="24" t="s">
        <v>8475</v>
      </c>
      <c r="B11" s="25" t="n">
        <f aca="false">'R1 Summary'!B30</f>
        <v>0.895522388059702</v>
      </c>
      <c r="C11" s="25" t="n">
        <f aca="false">'R2 Summary'!B30</f>
        <v>0.885608856088561</v>
      </c>
      <c r="D11" s="25" t="n">
        <f aca="false">'R3 Summary'!B30</f>
        <v>0.892193308550186</v>
      </c>
      <c r="E11" s="25" t="n">
        <f aca="false">MIN(B11:D11)</f>
        <v>0.885608856088561</v>
      </c>
      <c r="F11" s="25" t="n">
        <f aca="false">MAX(B11:D11)</f>
        <v>0.895522388059702</v>
      </c>
    </row>
    <row r="12" customFormat="false" ht="15" hidden="false" customHeight="false" outlineLevel="0" collapsed="false">
      <c r="A12" s="24" t="s">
        <v>8476</v>
      </c>
      <c r="B12" s="25" t="n">
        <f aca="false">'R1 Summary'!B31</f>
        <v>1</v>
      </c>
      <c r="C12" s="25" t="n">
        <f aca="false">'R2 Summary'!B31</f>
        <v>1</v>
      </c>
      <c r="D12" s="25" t="n">
        <f aca="false">'R3 Summary'!B31</f>
        <v>1</v>
      </c>
      <c r="E12" s="25" t="n">
        <f aca="false">MIN(B12:D12)</f>
        <v>1</v>
      </c>
      <c r="F12" s="25" t="n">
        <f aca="false">MAX(B12:D12)</f>
        <v>1</v>
      </c>
    </row>
    <row r="13" customFormat="false" ht="15" hidden="false" customHeight="false" outlineLevel="0" collapsed="false">
      <c r="A13" s="24" t="s">
        <v>8477</v>
      </c>
      <c r="B13" s="25" t="n">
        <f aca="false">'R1 Summary'!B34</f>
        <v>0.94488188976378</v>
      </c>
      <c r="C13" s="25" t="n">
        <f aca="false">'R2 Summary'!B34</f>
        <v>0.939334637964775</v>
      </c>
      <c r="D13" s="25" t="n">
        <f aca="false">'R3 Summary'!B34</f>
        <v>0.943025540275049</v>
      </c>
      <c r="E13" s="25" t="n">
        <f aca="false">MIN(B13:D13)</f>
        <v>0.939334637964775</v>
      </c>
      <c r="F13" s="25" t="n">
        <f aca="false">MAX(B13:D13)</f>
        <v>0.94488188976378</v>
      </c>
    </row>
    <row r="14" customFormat="false" ht="15" hidden="false" customHeight="false" outlineLevel="0" collapsed="false">
      <c r="A14" s="24" t="s">
        <v>8478</v>
      </c>
      <c r="B14" s="28" t="n">
        <f aca="false">'R1 Summary'!B71</f>
        <v>28.722788</v>
      </c>
      <c r="C14" s="28" t="n">
        <f aca="false">'R2 Summary'!B71</f>
        <v>29.843684</v>
      </c>
      <c r="D14" s="28" t="n">
        <f aca="false">'R3 Summary'!B71</f>
        <v>2.325302</v>
      </c>
      <c r="E14" s="28" t="n">
        <f aca="false">MIN(B14:D14)</f>
        <v>2.325302</v>
      </c>
      <c r="F14" s="28" t="n">
        <f aca="false">MAX(B14:D14)</f>
        <v>29.843684</v>
      </c>
    </row>
    <row r="15" customFormat="false" ht="15" hidden="false" customHeight="false" outlineLevel="0" collapsed="false">
      <c r="A15" s="24" t="s">
        <v>8479</v>
      </c>
      <c r="B15" s="28" t="n">
        <f aca="false">'R1 Summary'!B73</f>
        <v>22.155</v>
      </c>
      <c r="C15" s="28" t="n">
        <f aca="false">'R2 Summary'!B73</f>
        <v>22.877</v>
      </c>
      <c r="D15" s="28" t="n">
        <f aca="false">'R3 Summary'!B73</f>
        <v>2.339</v>
      </c>
      <c r="E15" s="28" t="n">
        <f aca="false">MIN(B15:D15)</f>
        <v>2.339</v>
      </c>
      <c r="F15" s="28" t="n">
        <f aca="false">MAX(B15:D15)</f>
        <v>22.877</v>
      </c>
    </row>
    <row r="16" customFormat="false" ht="15" hidden="false" customHeight="false" outlineLevel="0" collapsed="false">
      <c r="A16" s="24" t="s">
        <v>8480</v>
      </c>
      <c r="B16" s="28" t="n">
        <f aca="false">'R1 Summary'!B74</f>
        <v>74.7244</v>
      </c>
      <c r="C16" s="28" t="n">
        <f aca="false">'R2 Summary'!B74</f>
        <v>78.9226</v>
      </c>
      <c r="D16" s="28" t="n">
        <f aca="false">'R3 Summary'!B74</f>
        <v>2.8362</v>
      </c>
      <c r="E16" s="28" t="n">
        <f aca="false">MIN(B16:D16)</f>
        <v>2.8362</v>
      </c>
      <c r="F16" s="28" t="n">
        <f aca="false">MAX(B16:D16)</f>
        <v>78.9226</v>
      </c>
    </row>
    <row r="17" customFormat="false" ht="15" hidden="false" customHeight="false" outlineLevel="0" collapsed="false">
      <c r="A17" s="24" t="s">
        <v>8481</v>
      </c>
      <c r="B17" s="28" t="n">
        <f aca="false">'R1 Summary'!B72</f>
        <v>23.2700739542169</v>
      </c>
      <c r="C17" s="28" t="n">
        <f aca="false">'R2 Summary'!B72</f>
        <v>24.2853001713582</v>
      </c>
      <c r="D17" s="28" t="n">
        <f aca="false">'R3 Summary'!B72</f>
        <v>0.34922600189103</v>
      </c>
      <c r="E17" s="28" t="n">
        <f aca="false">MIN(B17:D17)</f>
        <v>0.34922600189103</v>
      </c>
      <c r="F17" s="28" t="n">
        <f aca="false">MAX(B17:D17)</f>
        <v>24.2853001713582</v>
      </c>
    </row>
    <row r="18" customFormat="false" ht="15" hidden="false" customHeight="false" outlineLevel="0" collapsed="false">
      <c r="A18" s="24" t="s">
        <v>8482</v>
      </c>
      <c r="B18" s="25" t="n">
        <f aca="false">'R1 Summary'!B82</f>
        <v>1</v>
      </c>
      <c r="C18" s="25" t="n">
        <f aca="false">'R2 Summary'!B82</f>
        <v>1</v>
      </c>
      <c r="D18" s="25" t="n">
        <f aca="false">'R3 Summary'!B82</f>
        <v>1</v>
      </c>
      <c r="E18" s="25" t="n">
        <f aca="false">MIN(B18:D18)</f>
        <v>1</v>
      </c>
      <c r="F18" s="25" t="n">
        <f aca="false">MAX(B18:D18)</f>
        <v>1</v>
      </c>
    </row>
    <row r="19" customFormat="false" ht="15" hidden="false" customHeight="false" outlineLevel="0" collapsed="false">
      <c r="A19" s="24" t="s">
        <v>8483</v>
      </c>
      <c r="B19" s="25" t="n">
        <f aca="false">('R1 Summary'!D7+'R1 Summary'!E7)/'R1 Summary'!B7</f>
        <v>0.4</v>
      </c>
      <c r="C19" s="25" t="n">
        <f aca="false">('R2 Summary'!D7+'R2 Summary'!E7)/'R2 Summary'!B7</f>
        <v>0.416666666666667</v>
      </c>
      <c r="D19" s="25" t="n">
        <f aca="false">('R3 Summary'!D7+'R3 Summary'!E7)/'R3 Summary'!B7</f>
        <v>0.416666666666667</v>
      </c>
      <c r="E19" s="25" t="n">
        <f aca="false">MIN(B19:D19)</f>
        <v>0.4</v>
      </c>
      <c r="F19" s="25" t="n">
        <f aca="false">MAX(B19:D19)</f>
        <v>0.416666666666667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2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9" min="8" style="0" width="10"/>
    <col collapsed="false" customWidth="true" hidden="false" outlineLevel="0" max="11" min="10" style="0" width="9"/>
    <col collapsed="false" customWidth="true" hidden="false" outlineLevel="0" max="12" min="12" style="0" width="11"/>
    <col collapsed="false" customWidth="true" hidden="false" outlineLevel="0" max="14" min="13" style="0" width="10"/>
    <col collapsed="false" customWidth="true" hidden="false" outlineLevel="0" max="15" min="15" style="0" width="12"/>
  </cols>
  <sheetData>
    <row r="1" customFormat="false" ht="15" hidden="false" customHeight="false" outlineLevel="0" collapsed="false">
      <c r="A1" s="5" t="s">
        <v>8484</v>
      </c>
    </row>
    <row r="3" customFormat="false" ht="52.2" hidden="false" customHeight="false" outlineLevel="0" collapsed="false">
      <c r="A3" s="7" t="s">
        <v>8485</v>
      </c>
      <c r="B3" s="7" t="s">
        <v>8486</v>
      </c>
      <c r="C3" s="7" t="s">
        <v>8487</v>
      </c>
      <c r="D3" s="7" t="s">
        <v>3437</v>
      </c>
      <c r="E3" s="7" t="s">
        <v>8488</v>
      </c>
      <c r="F3" s="7" t="s">
        <v>8489</v>
      </c>
      <c r="G3" s="7" t="s">
        <v>3449</v>
      </c>
      <c r="H3" s="7" t="s">
        <v>3443</v>
      </c>
      <c r="I3" s="7" t="s">
        <v>3444</v>
      </c>
      <c r="J3" s="7" t="s">
        <v>8490</v>
      </c>
      <c r="K3" s="7" t="s">
        <v>8491</v>
      </c>
      <c r="L3" s="7" t="s">
        <v>8492</v>
      </c>
      <c r="M3" s="7" t="s">
        <v>3443</v>
      </c>
      <c r="N3" s="7" t="s">
        <v>3444</v>
      </c>
      <c r="O3" s="7" t="s">
        <v>8493</v>
      </c>
    </row>
    <row r="4" customFormat="false" ht="15" hidden="false" customHeight="false" outlineLevel="0" collapsed="false">
      <c r="A4" s="24" t="n">
        <v>8</v>
      </c>
      <c r="B4" s="24" t="n">
        <v>3</v>
      </c>
      <c r="C4" s="24" t="n">
        <v>4</v>
      </c>
      <c r="D4" s="24" t="n">
        <v>200</v>
      </c>
      <c r="E4" s="24" t="n">
        <v>27</v>
      </c>
      <c r="F4" s="24" t="n">
        <v>28</v>
      </c>
      <c r="G4" s="25" t="n">
        <f aca="false">F4/D4</f>
        <v>0.14</v>
      </c>
      <c r="H4" s="25" t="n">
        <f aca="false">IF(D4=0,"",((F4/D4)+1.959964^2/(2*D4)-1.959964*SQRT((F4/D4)*(1-(F4/D4))/D4+1.959964^2/(4*D4^2)))/(1+1.959964^2/D4))</f>
        <v>0.0986698260597948</v>
      </c>
      <c r="I4" s="25" t="n">
        <f aca="false">IF(D4=0,"",((F4/D4)+1.959964^2/(2*D4)+1.959964*SQRT((F4/D4)*(1-(F4/D4))/D4+1.959964^2/(4*D4^2)))/(1+1.959964^2/D4))</f>
        <v>0.194898809141859</v>
      </c>
      <c r="J4" s="24" t="n">
        <v>20</v>
      </c>
      <c r="K4" s="24" t="n">
        <v>14</v>
      </c>
      <c r="L4" s="25" t="n">
        <f aca="false">K4/J4</f>
        <v>0.7</v>
      </c>
      <c r="M4" s="25" t="n">
        <f aca="false">IF(J4=0,"",((K4/J4)+1.959964^2/(2*J4)-1.959964*SQRT((K4/J4)*(1-(K4/J4))/J4+1.959964^2/(4*J4^2)))/(1+1.959964^2/J4))</f>
        <v>0.481027179947521</v>
      </c>
      <c r="N4" s="25" t="n">
        <f aca="false">IF(J4=0,"",((K4/J4)+1.959964^2/(2*J4)+1.959964*SQRT((K4/J4)*(1-(K4/J4))/J4+1.959964^2/(4*J4^2)))/(1+1.959964^2/J4))</f>
        <v>0.854522755978427</v>
      </c>
      <c r="O4" s="24" t="n">
        <v>28.8</v>
      </c>
    </row>
    <row r="5" customFormat="false" ht="15" hidden="false" customHeight="false" outlineLevel="0" collapsed="false">
      <c r="A5" s="24" t="n">
        <v>9</v>
      </c>
      <c r="B5" s="24" t="n">
        <v>4</v>
      </c>
      <c r="C5" s="24" t="n">
        <v>4</v>
      </c>
      <c r="D5" s="24" t="n">
        <v>200</v>
      </c>
      <c r="E5" s="24" t="n">
        <v>19</v>
      </c>
      <c r="F5" s="24" t="n">
        <v>20</v>
      </c>
      <c r="G5" s="25" t="n">
        <f aca="false">F5/D5</f>
        <v>0.1</v>
      </c>
      <c r="H5" s="25" t="n">
        <f aca="false">IF(D5=0,"",((F5/D5)+1.959964^2/(2*D5)-1.959964*SQRT((F5/D5)*(1-(F5/D5))/D5+1.959964^2/(4*D5^2)))/(1+1.959964^2/D5))</f>
        <v>0.0656704484512473</v>
      </c>
      <c r="I5" s="25" t="n">
        <f aca="false">IF(D5=0,"",((F5/D5)+1.959964^2/(2*D5)+1.959964*SQRT((F5/D5)*(1-(F5/D5))/D5+1.959964^2/(4*D5^2)))/(1+1.959964^2/D5))</f>
        <v>0.149405812883923</v>
      </c>
      <c r="J5" s="24" t="n">
        <v>20</v>
      </c>
      <c r="K5" s="24" t="n">
        <v>12</v>
      </c>
      <c r="L5" s="25" t="n">
        <f aca="false">K5/J5</f>
        <v>0.6</v>
      </c>
      <c r="M5" s="25" t="n">
        <f aca="false">IF(J5=0,"",((K5/J5)+1.959964^2/(2*J5)-1.959964*SQRT((K5/J5)*(1-(K5/J5))/J5+1.959964^2/(4*J5^2)))/(1+1.959964^2/J5))</f>
        <v>0.386581499234754</v>
      </c>
      <c r="N5" s="25" t="n">
        <f aca="false">IF(J5=0,"",((K5/J5)+1.959964^2/(2*J5)+1.959964*SQRT((K5/J5)*(1-(K5/J5))/J5+1.959964^2/(4*J5^2)))/(1+1.959964^2/J5))</f>
        <v>0.78119346872822</v>
      </c>
      <c r="O5" s="24" t="n">
        <v>28.88</v>
      </c>
    </row>
    <row r="6" customFormat="false" ht="15" hidden="false" customHeight="false" outlineLevel="0" collapsed="false">
      <c r="A6" s="24" t="n">
        <v>10</v>
      </c>
      <c r="B6" s="24" t="n">
        <v>5</v>
      </c>
      <c r="C6" s="24" t="n">
        <v>4</v>
      </c>
      <c r="D6" s="24" t="n">
        <v>200</v>
      </c>
      <c r="E6" s="24" t="n">
        <v>16</v>
      </c>
      <c r="F6" s="24" t="n">
        <v>17</v>
      </c>
      <c r="G6" s="25" t="n">
        <f aca="false">F6/D6</f>
        <v>0.085</v>
      </c>
      <c r="H6" s="25" t="n">
        <f aca="false">IF(D6=0,"",((F6/D6)+1.959964^2/(2*D6)-1.959964*SQRT((F6/D6)*(1-(F6/D6))/D6+1.959964^2/(4*D6^2)))/(1+1.959964^2/D6))</f>
        <v>0.0537457499840046</v>
      </c>
      <c r="I6" s="25" t="n">
        <f aca="false">IF(D6=0,"",((F6/D6)+1.959964^2/(2*D6)+1.959964*SQRT((F6/D6)*(1-(F6/D6))/D6+1.959964^2/(4*D6^2)))/(1+1.959964^2/D6))</f>
        <v>0.131895871151235</v>
      </c>
      <c r="J6" s="24" t="n">
        <v>20</v>
      </c>
      <c r="K6" s="24" t="n">
        <v>11</v>
      </c>
      <c r="L6" s="25" t="n">
        <f aca="false">K6/J6</f>
        <v>0.55</v>
      </c>
      <c r="M6" s="25" t="n">
        <f aca="false">IF(J6=0,"",((K6/J6)+1.959964^2/(2*J6)-1.959964*SQRT((K6/J6)*(1-(K6/J6))/J6+1.959964^2/(4*J6^2)))/(1+1.959964^2/J6))</f>
        <v>0.342085341019127</v>
      </c>
      <c r="N6" s="25" t="n">
        <f aca="false">IF(J6=0,"",((K6/J6)+1.959964^2/(2*J6)+1.959964*SQRT((K6/J6)*(1-(K6/J6))/J6+1.959964^2/(4*J6^2)))/(1+1.959964^2/J6))</f>
        <v>0.74180214296236</v>
      </c>
      <c r="O6" s="24" t="n">
        <v>2.28</v>
      </c>
    </row>
    <row r="7" customFormat="false" ht="15" hidden="false" customHeight="false" outlineLevel="0" collapsed="false">
      <c r="A7" s="24" t="n">
        <v>11</v>
      </c>
      <c r="B7" s="24" t="n">
        <v>3</v>
      </c>
      <c r="C7" s="24" t="n">
        <v>10</v>
      </c>
      <c r="D7" s="24" t="n">
        <v>200</v>
      </c>
      <c r="E7" s="24" t="n">
        <v>37</v>
      </c>
      <c r="F7" s="24" t="n">
        <v>38</v>
      </c>
      <c r="G7" s="25" t="n">
        <f aca="false">F7/D7</f>
        <v>0.19</v>
      </c>
      <c r="H7" s="25" t="n">
        <f aca="false">IF(D7=0,"",((F7/D7)+1.959964^2/(2*D7)-1.959964*SQRT((F7/D7)*(1-(F7/D7))/D7+1.959964^2/(4*D7^2)))/(1+1.959964^2/D7))</f>
        <v>0.14167171494422</v>
      </c>
      <c r="I7" s="25" t="n">
        <f aca="false">IF(D7=0,"",((F7/D7)+1.959964^2/(2*D7)+1.959964*SQRT((F7/D7)*(1-(F7/D7))/D7+1.959964^2/(4*D7^2)))/(1+1.959964^2/D7))</f>
        <v>0.250012387590537</v>
      </c>
      <c r="J7" s="24" t="n">
        <v>20</v>
      </c>
      <c r="K7" s="24" t="n">
        <v>16</v>
      </c>
      <c r="L7" s="25" t="n">
        <f aca="false">K7/J7</f>
        <v>0.8</v>
      </c>
      <c r="M7" s="25" t="n">
        <f aca="false">IF(J7=0,"",((K7/J7)+1.959964^2/(2*J7)-1.959964*SQRT((K7/J7)*(1-(K7/J7))/J7+1.959964^2/(4*J7^2)))/(1+1.959964^2/J7))</f>
        <v>0.583982565906683</v>
      </c>
      <c r="N7" s="25" t="n">
        <f aca="false">IF(J7=0,"",((K7/J7)+1.959964^2/(2*J7)+1.959964*SQRT((K7/J7)*(1-(K7/J7))/J7+1.959964^2/(4*J7^2)))/(1+1.959964^2/J7))</f>
        <v>0.919342337982239</v>
      </c>
      <c r="O7" s="24" t="n">
        <v>48.05</v>
      </c>
    </row>
    <row r="8" customFormat="false" ht="15" hidden="false" customHeight="false" outlineLevel="0" collapsed="false">
      <c r="A8" s="24" t="n">
        <v>12</v>
      </c>
      <c r="B8" s="24" t="n">
        <v>4</v>
      </c>
      <c r="C8" s="24" t="n">
        <v>10</v>
      </c>
      <c r="D8" s="24" t="n">
        <v>200</v>
      </c>
      <c r="E8" s="24" t="n">
        <v>22</v>
      </c>
      <c r="F8" s="24" t="n">
        <v>23</v>
      </c>
      <c r="G8" s="25" t="n">
        <f aca="false">F8/D8</f>
        <v>0.115</v>
      </c>
      <c r="H8" s="25" t="n">
        <f aca="false">IF(D8=0,"",((F8/D8)+1.959964^2/(2*D8)-1.959964*SQRT((F8/D8)*(1-(F8/D8))/D8+1.959964^2/(4*D8^2)))/(1+1.959964^2/D8))</f>
        <v>0.0778637320851877</v>
      </c>
      <c r="I8" s="25" t="n">
        <f aca="false">IF(D8=0,"",((F8/D8)+1.959964^2/(2*D8)+1.959964*SQRT((F8/D8)*(1-(F8/D8))/D8+1.959964^2/(4*D8^2)))/(1+1.959964^2/D8))</f>
        <v>0.166647169449914</v>
      </c>
      <c r="J8" s="24" t="n">
        <v>20</v>
      </c>
      <c r="K8" s="24" t="n">
        <v>14</v>
      </c>
      <c r="L8" s="25" t="n">
        <f aca="false">K8/J8</f>
        <v>0.7</v>
      </c>
      <c r="M8" s="25" t="n">
        <f aca="false">IF(J8=0,"",((K8/J8)+1.959964^2/(2*J8)-1.959964*SQRT((K8/J8)*(1-(K8/J8))/J8+1.959964^2/(4*J8^2)))/(1+1.959964^2/J8))</f>
        <v>0.481027179947521</v>
      </c>
      <c r="N8" s="25" t="n">
        <f aca="false">IF(J8=0,"",((K8/J8)+1.959964^2/(2*J8)+1.959964*SQRT((K8/J8)*(1-(K8/J8))/J8+1.959964^2/(4*J8^2)))/(1+1.959964^2/J8))</f>
        <v>0.854522755978427</v>
      </c>
      <c r="O8" s="24" t="n">
        <v>47.77</v>
      </c>
    </row>
    <row r="9" customFormat="false" ht="15" hidden="false" customHeight="false" outlineLevel="0" collapsed="false">
      <c r="A9" s="24" t="n">
        <v>13</v>
      </c>
      <c r="B9" s="24" t="n">
        <v>5</v>
      </c>
      <c r="C9" s="24" t="n">
        <v>10</v>
      </c>
      <c r="D9" s="24" t="n">
        <v>200</v>
      </c>
      <c r="E9" s="24" t="n">
        <v>15</v>
      </c>
      <c r="F9" s="24" t="n">
        <v>16</v>
      </c>
      <c r="G9" s="25" t="n">
        <f aca="false">F9/D9</f>
        <v>0.08</v>
      </c>
      <c r="H9" s="25" t="n">
        <f aca="false">IF(D9=0,"",((F9/D9)+1.959964^2/(2*D9)-1.959964*SQRT((F9/D9)*(1-(F9/D9))/D9+1.959964^2/(4*D9^2)))/(1+1.959964^2/D9))</f>
        <v>0.0498405857048716</v>
      </c>
      <c r="I9" s="25" t="n">
        <f aca="false">IF(D9=0,"",((F9/D9)+1.959964^2/(2*D9)+1.959964*SQRT((F9/D9)*(1-(F9/D9))/D9+1.959964^2/(4*D9^2)))/(1+1.959964^2/D9))</f>
        <v>0.125989488697057</v>
      </c>
      <c r="J9" s="24" t="n">
        <v>20</v>
      </c>
      <c r="K9" s="24" t="n">
        <v>12</v>
      </c>
      <c r="L9" s="25" t="n">
        <f aca="false">K9/J9</f>
        <v>0.6</v>
      </c>
      <c r="M9" s="25" t="n">
        <f aca="false">IF(J9=0,"",((K9/J9)+1.959964^2/(2*J9)-1.959964*SQRT((K9/J9)*(1-(K9/J9))/J9+1.959964^2/(4*J9^2)))/(1+1.959964^2/J9))</f>
        <v>0.386581499234754</v>
      </c>
      <c r="N9" s="25" t="n">
        <f aca="false">IF(J9=0,"",((K9/J9)+1.959964^2/(2*J9)+1.959964*SQRT((K9/J9)*(1-(K9/J9))/J9+1.959964^2/(4*J9^2)))/(1+1.959964^2/J9))</f>
        <v>0.78119346872822</v>
      </c>
      <c r="O9" s="24" t="n">
        <v>47.79</v>
      </c>
    </row>
    <row r="11" customFormat="false" ht="15" hidden="false" customHeight="false" outlineLevel="0" collapsed="false">
      <c r="A11" s="26" t="s">
        <v>8494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2026-10-16T14:51:33Z</dcterms:created>
  <dc:creator>openpyxl</dc:creator>
  <dc:description/>
  <dc:language>en-US</dc:language>
  <cp:lastModifiedBy/>
  <dcterms:modified xsi:type="dcterms:W3CDTF">2026-10-27T11:22:48Z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